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_bugfix\"/>
    </mc:Choice>
  </mc:AlternateContent>
  <xr:revisionPtr revIDLastSave="0" documentId="13_ncr:1_{415F872D-F86E-4461-8E9C-3F29273209B8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显卡参数新" sheetId="2" r:id="rId1"/>
    <sheet name="显卡" sheetId="3" r:id="rId2"/>
    <sheet name="利益点对照表" sheetId="1" r:id="rId3"/>
    <sheet name="显卡新设计" sheetId="8" r:id="rId4"/>
    <sheet name="利益点对照表 (新设计)" sheetId="9" r:id="rId5"/>
    <sheet name="板U卡" sheetId="4" r:id="rId6"/>
    <sheet name="主板内存" sheetId="7" r:id="rId7"/>
    <sheet name="机电散显" sheetId="5" r:id="rId8"/>
    <sheet name="晒单模板" sheetId="6" r:id="rId9"/>
    <sheet name="Sheet1" sheetId="10" r:id="rId10"/>
  </sheets>
  <definedNames>
    <definedName name="_xleta.OR" hidden="1" xlm="1">#NAME?</definedName>
    <definedName name="colse_ps">显卡参数新!$B$6</definedName>
    <definedName name="export_folder" localSheetId="5">板U卡!$B$3</definedName>
    <definedName name="export_folder" localSheetId="7">机电散显!$B$3</definedName>
    <definedName name="export_folder" localSheetId="8">晒单模板!$B$3</definedName>
    <definedName name="export_folder" localSheetId="1">显卡!$B$3</definedName>
    <definedName name="export_folder" localSheetId="0">显卡参数新!$B$3</definedName>
    <definedName name="export_folder" localSheetId="3">显卡新设计!$B$3</definedName>
    <definedName name="export_folder" localSheetId="6">主板内存!$B$3</definedName>
    <definedName name="file_format" localSheetId="5">板U卡!$B$4</definedName>
    <definedName name="file_format" localSheetId="7">机电散显!$B$4</definedName>
    <definedName name="file_format" localSheetId="8">晒单模板!$B$4</definedName>
    <definedName name="file_format" localSheetId="1">显卡!$B$4</definedName>
    <definedName name="file_format" localSheetId="0">显卡参数新!$B$4</definedName>
    <definedName name="file_format" localSheetId="3">显卡新设计!$B$4</definedName>
    <definedName name="file_format" localSheetId="6">主板内存!$B$4</definedName>
    <definedName name="psd_file_path" localSheetId="5">板U卡!$B$1</definedName>
    <definedName name="psd_file_path" localSheetId="7">机电散显!$B$1</definedName>
    <definedName name="psd_file_path" localSheetId="8">晒单模板!$B$1</definedName>
    <definedName name="psd_file_path" localSheetId="1">显卡!$B$1</definedName>
    <definedName name="psd_file_path" localSheetId="0">显卡参数新!$B$1</definedName>
    <definedName name="psd_file_path" localSheetId="3">显卡新设计!$B$1</definedName>
    <definedName name="psd_file_path" localSheetId="6">主板内存!$B$1</definedName>
    <definedName name="psd_name" localSheetId="5">板U卡!$B$2</definedName>
    <definedName name="psd_name" localSheetId="7">机电散显!$B$2</definedName>
    <definedName name="psd_name" localSheetId="8">晒单模板!$B$2</definedName>
    <definedName name="psd_name" localSheetId="1">显卡!$B$2</definedName>
    <definedName name="psd_name" localSheetId="0">显卡参数新!$B$2</definedName>
    <definedName name="psd_name" localSheetId="3">显卡新设计!$B$2</definedName>
    <definedName name="psd_name" localSheetId="6">主板内存!$B$2</definedName>
    <definedName name="suffix" localSheetId="5">板U卡!$B$5</definedName>
    <definedName name="suffix" localSheetId="7">机电散显!$B$5</definedName>
    <definedName name="suffix" localSheetId="8">晒单模板!$B$5</definedName>
    <definedName name="suffix" localSheetId="1">显卡!$B$5</definedName>
    <definedName name="suffix" localSheetId="0">显卡参数新!$B$5</definedName>
    <definedName name="suffix" localSheetId="3">显卡新设计!$B$5</definedName>
    <definedName name="suffix" localSheetId="6">主板内存!$B$5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4" i="8" l="1"/>
  <c r="G164" i="8"/>
  <c r="H164" i="8"/>
  <c r="I164" i="8"/>
  <c r="J164" i="8"/>
  <c r="K164" i="8"/>
  <c r="L164" i="8"/>
  <c r="M164" i="8"/>
  <c r="N164" i="8"/>
  <c r="O164" i="8"/>
  <c r="Q164" i="8" a="1"/>
  <c r="Q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L165" i="8"/>
  <c r="L166" i="8"/>
  <c r="L167" i="8"/>
  <c r="L168" i="8"/>
  <c r="Q168" i="8" s="1" a="1"/>
  <c r="Q168" i="8" s="1"/>
  <c r="L169" i="8"/>
  <c r="Q169" i="8" s="1" a="1"/>
  <c r="Q169" i="8" s="1"/>
  <c r="L170" i="8"/>
  <c r="Q170" i="8" s="1" a="1"/>
  <c r="Q170" i="8" s="1"/>
  <c r="L171" i="8"/>
  <c r="Q171" i="8" s="1" a="1"/>
  <c r="Q171" i="8" s="1"/>
  <c r="L172" i="8"/>
  <c r="Q172" i="8" s="1" a="1"/>
  <c r="Q172" i="8" s="1"/>
  <c r="L173" i="8"/>
  <c r="Q173" i="8" s="1" a="1"/>
  <c r="Q173" i="8" s="1"/>
  <c r="L174" i="8"/>
  <c r="Q174" i="8" s="1" a="1"/>
  <c r="Q174" i="8" s="1"/>
  <c r="L175" i="8"/>
  <c r="Q175" i="8" s="1" a="1"/>
  <c r="Q175" i="8" s="1"/>
  <c r="L176" i="8"/>
  <c r="Q176" i="8" s="1" a="1"/>
  <c r="Q176" i="8" s="1"/>
  <c r="L177" i="8"/>
  <c r="Q177" i="8" s="1" a="1"/>
  <c r="Q177" i="8" s="1"/>
  <c r="L178" i="8"/>
  <c r="Q178" i="8" s="1" a="1"/>
  <c r="Q178" i="8" s="1"/>
  <c r="L179" i="8"/>
  <c r="Q179" i="8" s="1" a="1"/>
  <c r="Q179" i="8" s="1"/>
  <c r="L180" i="8"/>
  <c r="L181" i="8"/>
  <c r="L182" i="8"/>
  <c r="Q182" i="8" s="1" a="1"/>
  <c r="Q182" i="8" s="1"/>
  <c r="L183" i="8"/>
  <c r="L184" i="8"/>
  <c r="Q184" i="8" s="1" a="1"/>
  <c r="Q184" i="8" s="1"/>
  <c r="L185" i="8"/>
  <c r="Q185" i="8" s="1" a="1"/>
  <c r="Q185" i="8" s="1"/>
  <c r="L186" i="8"/>
  <c r="Q186" i="8" s="1" a="1"/>
  <c r="Q186" i="8" s="1"/>
  <c r="L187" i="8"/>
  <c r="Q187" i="8" s="1" a="1"/>
  <c r="Q187" i="8" s="1"/>
  <c r="L188" i="8"/>
  <c r="Q188" i="8" s="1" a="1"/>
  <c r="Q188" i="8" s="1"/>
  <c r="L189" i="8"/>
  <c r="Q189" i="8" s="1" a="1"/>
  <c r="Q189" i="8" s="1"/>
  <c r="L190" i="8"/>
  <c r="Q190" i="8" s="1" a="1"/>
  <c r="Q190" i="8" s="1"/>
  <c r="L191" i="8"/>
  <c r="Q191" i="8" s="1" a="1"/>
  <c r="Q191" i="8" s="1"/>
  <c r="L192" i="8"/>
  <c r="Q192" i="8" s="1" a="1"/>
  <c r="Q192" i="8" s="1"/>
  <c r="L193" i="8"/>
  <c r="Q193" i="8" s="1" a="1"/>
  <c r="Q193" i="8" s="1"/>
  <c r="L194" i="8"/>
  <c r="Q194" i="8" s="1" a="1"/>
  <c r="Q194" i="8" s="1"/>
  <c r="L195" i="8"/>
  <c r="L196" i="8"/>
  <c r="Q196" i="8" s="1" a="1"/>
  <c r="Q196" i="8" s="1"/>
  <c r="L197" i="8"/>
  <c r="L198" i="8"/>
  <c r="L199" i="8"/>
  <c r="Q199" i="8" s="1" a="1"/>
  <c r="Q199" i="8" s="1"/>
  <c r="L200" i="8"/>
  <c r="Q200" i="8" s="1" a="1"/>
  <c r="Q200" i="8" s="1"/>
  <c r="L201" i="8"/>
  <c r="Q201" i="8" s="1" a="1"/>
  <c r="Q201" i="8" s="1"/>
  <c r="L202" i="8"/>
  <c r="Q202" i="8" s="1" a="1"/>
  <c r="Q202" i="8" s="1"/>
  <c r="L203" i="8"/>
  <c r="Q203" i="8" s="1" a="1"/>
  <c r="Q203" i="8" s="1"/>
  <c r="L204" i="8"/>
  <c r="Q204" i="8" s="1" a="1"/>
  <c r="Q204" i="8" s="1"/>
  <c r="L205" i="8"/>
  <c r="Q205" i="8" s="1" a="1"/>
  <c r="Q205" i="8" s="1"/>
  <c r="L206" i="8"/>
  <c r="Q206" i="8" s="1" a="1"/>
  <c r="Q206" i="8" s="1"/>
  <c r="L207" i="8"/>
  <c r="Q207" i="8" s="1" a="1"/>
  <c r="Q207" i="8" s="1"/>
  <c r="L208" i="8"/>
  <c r="Q208" i="8" s="1" a="1"/>
  <c r="Q208" i="8" s="1"/>
  <c r="L209" i="8"/>
  <c r="Q209" i="8" s="1" a="1"/>
  <c r="Q209" i="8" s="1"/>
  <c r="L210" i="8"/>
  <c r="Q210" i="8" s="1" a="1"/>
  <c r="Q210" i="8" s="1"/>
  <c r="L211" i="8"/>
  <c r="L212" i="8"/>
  <c r="L213" i="8"/>
  <c r="L214" i="8"/>
  <c r="L215" i="8"/>
  <c r="Q215" i="8" s="1" a="1"/>
  <c r="Q215" i="8" s="1"/>
  <c r="L216" i="8"/>
  <c r="Q216" i="8" s="1" a="1"/>
  <c r="Q216" i="8" s="1"/>
  <c r="L217" i="8"/>
  <c r="Q217" i="8" s="1" a="1"/>
  <c r="Q217" i="8" s="1"/>
  <c r="L218" i="8"/>
  <c r="Q218" i="8" s="1" a="1"/>
  <c r="Q218" i="8" s="1"/>
  <c r="L219" i="8"/>
  <c r="Q219" i="8" s="1" a="1"/>
  <c r="Q219" i="8" s="1"/>
  <c r="L220" i="8"/>
  <c r="Q220" i="8" s="1" a="1"/>
  <c r="Q220" i="8" s="1"/>
  <c r="L221" i="8"/>
  <c r="Q221" i="8" s="1" a="1"/>
  <c r="Q221" i="8" s="1"/>
  <c r="L222" i="8"/>
  <c r="Q222" i="8" s="1" a="1"/>
  <c r="Q222" i="8" s="1"/>
  <c r="L223" i="8"/>
  <c r="Q223" i="8" s="1" a="1"/>
  <c r="Q223" i="8" s="1"/>
  <c r="L224" i="8"/>
  <c r="Q224" i="8" s="1" a="1"/>
  <c r="Q224" i="8" s="1"/>
  <c r="L225" i="8"/>
  <c r="Q225" i="8" s="1" a="1"/>
  <c r="Q225" i="8" s="1"/>
  <c r="L226" i="8"/>
  <c r="Q226" i="8" s="1" a="1"/>
  <c r="Q226" i="8" s="1"/>
  <c r="L227" i="8"/>
  <c r="L228" i="8"/>
  <c r="Q228" i="8" s="1" a="1"/>
  <c r="Q228" i="8" s="1"/>
  <c r="L229" i="8"/>
  <c r="L230" i="8"/>
  <c r="L231" i="8"/>
  <c r="L232" i="8"/>
  <c r="Q232" i="8" s="1" a="1"/>
  <c r="Q232" i="8" s="1"/>
  <c r="L233" i="8"/>
  <c r="Q233" i="8" s="1" a="1"/>
  <c r="Q233" i="8" s="1"/>
  <c r="L234" i="8"/>
  <c r="Q234" i="8" s="1" a="1"/>
  <c r="Q234" i="8" s="1"/>
  <c r="L235" i="8"/>
  <c r="Q235" i="8" s="1" a="1"/>
  <c r="Q235" i="8" s="1"/>
  <c r="L236" i="8"/>
  <c r="Q236" i="8" s="1" a="1"/>
  <c r="Q236" i="8" s="1"/>
  <c r="L237" i="8"/>
  <c r="Q237" i="8" s="1" a="1"/>
  <c r="Q237" i="8" s="1"/>
  <c r="L238" i="8"/>
  <c r="Q238" i="8" s="1" a="1"/>
  <c r="Q238" i="8" s="1"/>
  <c r="L239" i="8"/>
  <c r="Q239" i="8" s="1" a="1"/>
  <c r="Q239" i="8" s="1"/>
  <c r="L240" i="8"/>
  <c r="Q240" i="8" s="1" a="1"/>
  <c r="Q240" i="8" s="1"/>
  <c r="L241" i="8"/>
  <c r="Q241" i="8" s="1" a="1"/>
  <c r="Q241" i="8" s="1"/>
  <c r="L242" i="8"/>
  <c r="Q242" i="8" s="1" a="1"/>
  <c r="Q242" i="8" s="1"/>
  <c r="L243" i="8"/>
  <c r="L244" i="8"/>
  <c r="L245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Q165" i="8" a="1"/>
  <c r="Q165" i="8" s="1"/>
  <c r="Q166" i="8" a="1"/>
  <c r="Q166" i="8"/>
  <c r="Q167" i="8" a="1"/>
  <c r="Q167" i="8"/>
  <c r="Q180" i="8" a="1"/>
  <c r="Q180" i="8"/>
  <c r="Q181" i="8" a="1"/>
  <c r="Q181" i="8" s="1"/>
  <c r="Q183" i="8" a="1"/>
  <c r="Q183" i="8" s="1"/>
  <c r="Q195" i="8" a="1"/>
  <c r="Q195" i="8" s="1"/>
  <c r="Q197" i="8" a="1"/>
  <c r="Q197" i="8" s="1"/>
  <c r="Q198" i="8" a="1"/>
  <c r="Q198" i="8" s="1"/>
  <c r="Q211" i="8" a="1"/>
  <c r="Q211" i="8" s="1"/>
  <c r="Q212" i="8" a="1"/>
  <c r="Q212" i="8"/>
  <c r="Q213" i="8" a="1"/>
  <c r="Q213" i="8" s="1"/>
  <c r="Q214" i="8" a="1"/>
  <c r="Q214" i="8"/>
  <c r="Q227" i="8" a="1"/>
  <c r="Q227" i="8"/>
  <c r="Q229" i="8" a="1"/>
  <c r="Q229" i="8" s="1"/>
  <c r="Q230" i="8" a="1"/>
  <c r="Q230" i="8"/>
  <c r="Q231" i="8" a="1"/>
  <c r="Q231" i="8" s="1"/>
  <c r="Q243" i="8" a="1"/>
  <c r="Q243" i="8" s="1"/>
  <c r="Q244" i="8" a="1"/>
  <c r="Q244" i="8" s="1"/>
  <c r="Q245" i="8" a="1"/>
  <c r="Q245" i="8" s="1"/>
  <c r="F82" i="8"/>
  <c r="G82" i="8"/>
  <c r="H82" i="8"/>
  <c r="I82" i="8"/>
  <c r="J82" i="8"/>
  <c r="K82" i="8"/>
  <c r="L82" i="8"/>
  <c r="Q82" i="8" s="1" a="1"/>
  <c r="Q82" i="8" s="1"/>
  <c r="M82" i="8"/>
  <c r="N82" i="8"/>
  <c r="O82" i="8"/>
  <c r="F83" i="8"/>
  <c r="G83" i="8"/>
  <c r="H83" i="8"/>
  <c r="I83" i="8"/>
  <c r="J83" i="8"/>
  <c r="K83" i="8"/>
  <c r="L83" i="8"/>
  <c r="Q83" i="8" s="1" a="1"/>
  <c r="Q83" i="8" s="1"/>
  <c r="M83" i="8"/>
  <c r="N83" i="8"/>
  <c r="O83" i="8"/>
  <c r="F67" i="8"/>
  <c r="G67" i="8"/>
  <c r="H67" i="8"/>
  <c r="I67" i="8"/>
  <c r="J67" i="8"/>
  <c r="K67" i="8"/>
  <c r="L67" i="8"/>
  <c r="Q67" i="8" s="1" a="1"/>
  <c r="Q67" i="8" s="1"/>
  <c r="M67" i="8"/>
  <c r="N67" i="8"/>
  <c r="O67" i="8"/>
  <c r="F68" i="8"/>
  <c r="G68" i="8"/>
  <c r="H68" i="8"/>
  <c r="I68" i="8"/>
  <c r="J68" i="8"/>
  <c r="K68" i="8"/>
  <c r="L68" i="8"/>
  <c r="Q68" i="8" s="1" a="1"/>
  <c r="Q68" i="8" s="1"/>
  <c r="M68" i="8"/>
  <c r="N68" i="8"/>
  <c r="O68" i="8"/>
  <c r="F48" i="8"/>
  <c r="G48" i="8"/>
  <c r="H48" i="8"/>
  <c r="I48" i="8"/>
  <c r="J48" i="8"/>
  <c r="K48" i="8"/>
  <c r="L48" i="8"/>
  <c r="Q48" i="8" s="1" a="1"/>
  <c r="Q48" i="8" s="1"/>
  <c r="M48" i="8"/>
  <c r="N48" i="8"/>
  <c r="O48" i="8"/>
  <c r="F49" i="8"/>
  <c r="G49" i="8"/>
  <c r="H49" i="8"/>
  <c r="I49" i="8"/>
  <c r="J49" i="8"/>
  <c r="K49" i="8"/>
  <c r="L49" i="8"/>
  <c r="Q49" i="8" s="1" a="1"/>
  <c r="Q49" i="8" s="1"/>
  <c r="M49" i="8"/>
  <c r="N49" i="8"/>
  <c r="O49" i="8"/>
  <c r="F50" i="8"/>
  <c r="G50" i="8"/>
  <c r="H50" i="8"/>
  <c r="I50" i="8"/>
  <c r="J50" i="8"/>
  <c r="K50" i="8"/>
  <c r="L50" i="8"/>
  <c r="Q50" i="8" s="1" a="1"/>
  <c r="Q50" i="8" s="1"/>
  <c r="M50" i="8"/>
  <c r="N50" i="8"/>
  <c r="O50" i="8"/>
  <c r="F51" i="8"/>
  <c r="G51" i="8"/>
  <c r="H51" i="8"/>
  <c r="I51" i="8"/>
  <c r="J51" i="8"/>
  <c r="K51" i="8"/>
  <c r="L51" i="8"/>
  <c r="Q51" i="8" s="1" a="1"/>
  <c r="Q51" i="8" s="1"/>
  <c r="M51" i="8"/>
  <c r="N51" i="8"/>
  <c r="O51" i="8"/>
  <c r="F52" i="8"/>
  <c r="G52" i="8"/>
  <c r="H52" i="8"/>
  <c r="I52" i="8"/>
  <c r="J52" i="8"/>
  <c r="K52" i="8"/>
  <c r="L52" i="8"/>
  <c r="Q52" i="8" s="1" a="1"/>
  <c r="Q52" i="8" s="1"/>
  <c r="M52" i="8"/>
  <c r="N52" i="8"/>
  <c r="O52" i="8"/>
  <c r="F53" i="8"/>
  <c r="G53" i="8"/>
  <c r="H53" i="8"/>
  <c r="I53" i="8"/>
  <c r="J53" i="8"/>
  <c r="K53" i="8"/>
  <c r="L53" i="8"/>
  <c r="Q53" i="8" s="1" a="1"/>
  <c r="Q53" i="8" s="1"/>
  <c r="M53" i="8"/>
  <c r="N53" i="8"/>
  <c r="O53" i="8"/>
  <c r="F54" i="8"/>
  <c r="G54" i="8"/>
  <c r="H54" i="8"/>
  <c r="I54" i="8"/>
  <c r="J54" i="8"/>
  <c r="K54" i="8"/>
  <c r="L54" i="8"/>
  <c r="Q54" i="8" s="1" a="1"/>
  <c r="Q54" i="8" s="1"/>
  <c r="M54" i="8"/>
  <c r="N54" i="8"/>
  <c r="O54" i="8"/>
  <c r="F55" i="8"/>
  <c r="G55" i="8"/>
  <c r="H55" i="8"/>
  <c r="I55" i="8"/>
  <c r="J55" i="8"/>
  <c r="K55" i="8"/>
  <c r="L55" i="8"/>
  <c r="Q55" i="8" s="1" a="1"/>
  <c r="Q55" i="8" s="1"/>
  <c r="M55" i="8"/>
  <c r="N55" i="8"/>
  <c r="O55" i="8"/>
  <c r="F56" i="8"/>
  <c r="G56" i="8"/>
  <c r="H56" i="8"/>
  <c r="I56" i="8"/>
  <c r="J56" i="8"/>
  <c r="K56" i="8"/>
  <c r="L56" i="8"/>
  <c r="Q56" i="8" s="1" a="1"/>
  <c r="Q56" i="8" s="1"/>
  <c r="M56" i="8"/>
  <c r="N56" i="8"/>
  <c r="O56" i="8"/>
  <c r="F57" i="8"/>
  <c r="G57" i="8"/>
  <c r="H57" i="8"/>
  <c r="I57" i="8"/>
  <c r="J57" i="8"/>
  <c r="K57" i="8"/>
  <c r="L57" i="8"/>
  <c r="Q57" i="8" s="1" a="1"/>
  <c r="Q57" i="8" s="1"/>
  <c r="M57" i="8"/>
  <c r="N57" i="8"/>
  <c r="O57" i="8"/>
  <c r="F58" i="8"/>
  <c r="G58" i="8"/>
  <c r="H58" i="8"/>
  <c r="I58" i="8"/>
  <c r="J58" i="8"/>
  <c r="K58" i="8"/>
  <c r="L58" i="8"/>
  <c r="Q58" i="8" s="1" a="1"/>
  <c r="Q58" i="8" s="1"/>
  <c r="M58" i="8"/>
  <c r="N58" i="8"/>
  <c r="O58" i="8"/>
  <c r="F59" i="8"/>
  <c r="G59" i="8"/>
  <c r="H59" i="8"/>
  <c r="I59" i="8"/>
  <c r="J59" i="8"/>
  <c r="K59" i="8"/>
  <c r="L59" i="8"/>
  <c r="Q59" i="8" s="1" a="1"/>
  <c r="Q59" i="8" s="1"/>
  <c r="M59" i="8"/>
  <c r="N59" i="8"/>
  <c r="O59" i="8"/>
  <c r="F60" i="8"/>
  <c r="G60" i="8"/>
  <c r="H60" i="8"/>
  <c r="I60" i="8"/>
  <c r="J60" i="8"/>
  <c r="K60" i="8"/>
  <c r="L60" i="8"/>
  <c r="Q60" i="8" s="1" a="1"/>
  <c r="Q60" i="8" s="1"/>
  <c r="M60" i="8"/>
  <c r="N60" i="8"/>
  <c r="O60" i="8"/>
  <c r="F61" i="8"/>
  <c r="G61" i="8"/>
  <c r="H61" i="8"/>
  <c r="I61" i="8"/>
  <c r="J61" i="8"/>
  <c r="K61" i="8"/>
  <c r="L61" i="8"/>
  <c r="Q61" i="8" s="1" a="1"/>
  <c r="Q61" i="8" s="1"/>
  <c r="M61" i="8"/>
  <c r="N61" i="8"/>
  <c r="O61" i="8"/>
  <c r="F62" i="8"/>
  <c r="G62" i="8"/>
  <c r="H62" i="8"/>
  <c r="I62" i="8"/>
  <c r="J62" i="8"/>
  <c r="K62" i="8"/>
  <c r="L62" i="8"/>
  <c r="Q62" i="8" s="1" a="1"/>
  <c r="Q62" i="8" s="1"/>
  <c r="M62" i="8"/>
  <c r="N62" i="8"/>
  <c r="O62" i="8"/>
  <c r="F63" i="8"/>
  <c r="G63" i="8"/>
  <c r="H63" i="8"/>
  <c r="I63" i="8"/>
  <c r="J63" i="8"/>
  <c r="K63" i="8"/>
  <c r="L63" i="8"/>
  <c r="Q63" i="8" s="1" a="1"/>
  <c r="Q63" i="8" s="1"/>
  <c r="M63" i="8"/>
  <c r="N63" i="8"/>
  <c r="O63" i="8"/>
  <c r="F28" i="8"/>
  <c r="G28" i="8"/>
  <c r="H28" i="8"/>
  <c r="I28" i="8"/>
  <c r="J28" i="8"/>
  <c r="K28" i="8"/>
  <c r="L28" i="8"/>
  <c r="Q28" i="8" s="1" a="1"/>
  <c r="Q28" i="8" s="1"/>
  <c r="M28" i="8"/>
  <c r="N28" i="8"/>
  <c r="O28" i="8"/>
  <c r="F12" i="8"/>
  <c r="G12" i="8"/>
  <c r="H12" i="8"/>
  <c r="I12" i="8"/>
  <c r="J12" i="8"/>
  <c r="K12" i="8"/>
  <c r="L12" i="8"/>
  <c r="Q12" i="8" s="1" a="1"/>
  <c r="Q12" i="8" s="1"/>
  <c r="M12" i="8"/>
  <c r="N12" i="8"/>
  <c r="O12" i="8"/>
  <c r="F13" i="8"/>
  <c r="G13" i="8"/>
  <c r="H13" i="8"/>
  <c r="I13" i="8"/>
  <c r="J13" i="8"/>
  <c r="K13" i="8"/>
  <c r="L13" i="8"/>
  <c r="Q13" i="8" s="1" a="1"/>
  <c r="Q13" i="8" s="1"/>
  <c r="M13" i="8"/>
  <c r="N13" i="8"/>
  <c r="O13" i="8"/>
  <c r="F14" i="8"/>
  <c r="G14" i="8"/>
  <c r="H14" i="8"/>
  <c r="I14" i="8"/>
  <c r="J14" i="8"/>
  <c r="K14" i="8"/>
  <c r="L14" i="8"/>
  <c r="Q14" i="8" s="1" a="1"/>
  <c r="Q14" i="8" s="1"/>
  <c r="M14" i="8"/>
  <c r="N14" i="8"/>
  <c r="O14" i="8"/>
  <c r="F15" i="8"/>
  <c r="G15" i="8"/>
  <c r="H15" i="8"/>
  <c r="I15" i="8"/>
  <c r="J15" i="8"/>
  <c r="K15" i="8"/>
  <c r="L15" i="8"/>
  <c r="Q15" i="8" s="1" a="1"/>
  <c r="Q15" i="8" s="1"/>
  <c r="M15" i="8"/>
  <c r="N15" i="8"/>
  <c r="O15" i="8"/>
  <c r="F16" i="8"/>
  <c r="G16" i="8"/>
  <c r="H16" i="8"/>
  <c r="I16" i="8"/>
  <c r="J16" i="8"/>
  <c r="K16" i="8"/>
  <c r="L16" i="8"/>
  <c r="Q16" i="8" s="1" a="1"/>
  <c r="Q16" i="8" s="1"/>
  <c r="M16" i="8"/>
  <c r="N16" i="8"/>
  <c r="O16" i="8"/>
  <c r="F17" i="8"/>
  <c r="G17" i="8"/>
  <c r="H17" i="8"/>
  <c r="I17" i="8"/>
  <c r="J17" i="8"/>
  <c r="K17" i="8"/>
  <c r="L17" i="8"/>
  <c r="Q17" i="8" s="1" a="1"/>
  <c r="Q17" i="8" s="1"/>
  <c r="M17" i="8"/>
  <c r="N17" i="8"/>
  <c r="O17" i="8"/>
  <c r="F18" i="8"/>
  <c r="G18" i="8"/>
  <c r="H18" i="8"/>
  <c r="I18" i="8"/>
  <c r="J18" i="8"/>
  <c r="K18" i="8"/>
  <c r="L18" i="8"/>
  <c r="Q18" i="8" s="1" a="1"/>
  <c r="Q18" i="8" s="1"/>
  <c r="M18" i="8"/>
  <c r="N18" i="8"/>
  <c r="O18" i="8"/>
  <c r="F19" i="8"/>
  <c r="G19" i="8"/>
  <c r="H19" i="8"/>
  <c r="I19" i="8"/>
  <c r="J19" i="8"/>
  <c r="K19" i="8"/>
  <c r="L19" i="8"/>
  <c r="Q19" i="8" s="1" a="1"/>
  <c r="Q19" i="8" s="1"/>
  <c r="M19" i="8"/>
  <c r="N19" i="8"/>
  <c r="O19" i="8"/>
  <c r="F20" i="8"/>
  <c r="G20" i="8"/>
  <c r="H20" i="8"/>
  <c r="I20" i="8"/>
  <c r="J20" i="8"/>
  <c r="K20" i="8"/>
  <c r="L20" i="8"/>
  <c r="Q20" i="8" s="1" a="1"/>
  <c r="Q20" i="8" s="1"/>
  <c r="M20" i="8"/>
  <c r="N20" i="8"/>
  <c r="O20" i="8"/>
  <c r="F21" i="8"/>
  <c r="G21" i="8"/>
  <c r="H21" i="8"/>
  <c r="I21" i="8"/>
  <c r="J21" i="8"/>
  <c r="K21" i="8"/>
  <c r="L21" i="8"/>
  <c r="Q21" i="8" s="1" a="1"/>
  <c r="Q21" i="8" s="1"/>
  <c r="M21" i="8"/>
  <c r="N21" i="8"/>
  <c r="O21" i="8"/>
  <c r="F22" i="8"/>
  <c r="G22" i="8"/>
  <c r="H22" i="8"/>
  <c r="I22" i="8"/>
  <c r="J22" i="8"/>
  <c r="K22" i="8"/>
  <c r="L22" i="8"/>
  <c r="Q22" i="8" s="1" a="1"/>
  <c r="Q22" i="8" s="1"/>
  <c r="M22" i="8"/>
  <c r="N22" i="8"/>
  <c r="O22" i="8"/>
  <c r="F23" i="8"/>
  <c r="G23" i="8"/>
  <c r="H23" i="8"/>
  <c r="I23" i="8"/>
  <c r="J23" i="8"/>
  <c r="K23" i="8"/>
  <c r="L23" i="8"/>
  <c r="Q23" i="8" s="1" a="1"/>
  <c r="Q23" i="8" s="1"/>
  <c r="M23" i="8"/>
  <c r="N23" i="8"/>
  <c r="O23" i="8"/>
  <c r="F24" i="8"/>
  <c r="G24" i="8"/>
  <c r="H24" i="8"/>
  <c r="I24" i="8"/>
  <c r="J24" i="8"/>
  <c r="K24" i="8"/>
  <c r="L24" i="8"/>
  <c r="Q24" i="8" s="1" a="1"/>
  <c r="Q24" i="8" s="1"/>
  <c r="M24" i="8"/>
  <c r="N24" i="8"/>
  <c r="O24" i="8"/>
  <c r="F25" i="8"/>
  <c r="G25" i="8"/>
  <c r="H25" i="8"/>
  <c r="I25" i="8"/>
  <c r="J25" i="8"/>
  <c r="K25" i="8"/>
  <c r="L25" i="8"/>
  <c r="Q25" i="8" s="1" a="1"/>
  <c r="Q25" i="8" s="1"/>
  <c r="M25" i="8"/>
  <c r="N25" i="8"/>
  <c r="O25" i="8"/>
  <c r="F26" i="8"/>
  <c r="G26" i="8"/>
  <c r="H26" i="8"/>
  <c r="I26" i="8"/>
  <c r="J26" i="8"/>
  <c r="K26" i="8"/>
  <c r="L26" i="8"/>
  <c r="Q26" i="8" s="1" a="1"/>
  <c r="Q26" i="8" s="1"/>
  <c r="M26" i="8"/>
  <c r="N26" i="8"/>
  <c r="O26" i="8"/>
  <c r="F27" i="8"/>
  <c r="G27" i="8"/>
  <c r="H27" i="8"/>
  <c r="I27" i="8"/>
  <c r="J27" i="8"/>
  <c r="K27" i="8"/>
  <c r="L27" i="8"/>
  <c r="Q27" i="8" s="1" a="1"/>
  <c r="Q27" i="8" s="1"/>
  <c r="M27" i="8"/>
  <c r="N27" i="8"/>
  <c r="O27" i="8"/>
  <c r="F146" i="8"/>
  <c r="G146" i="8"/>
  <c r="H146" i="8"/>
  <c r="I146" i="8"/>
  <c r="J146" i="8"/>
  <c r="K146" i="8"/>
  <c r="L146" i="8"/>
  <c r="Q146" i="8" s="1" a="1"/>
  <c r="Q146" i="8" s="1"/>
  <c r="M146" i="8"/>
  <c r="N146" i="8"/>
  <c r="O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L147" i="8"/>
  <c r="Q147" i="8" s="1" a="1"/>
  <c r="Q147" i="8" s="1"/>
  <c r="L148" i="8"/>
  <c r="Q148" i="8" s="1" a="1"/>
  <c r="Q148" i="8" s="1"/>
  <c r="L149" i="8"/>
  <c r="Q149" i="8" s="1" a="1"/>
  <c r="Q149" i="8" s="1"/>
  <c r="L150" i="8"/>
  <c r="Q150" i="8" s="1" a="1"/>
  <c r="Q150" i="8" s="1"/>
  <c r="L151" i="8"/>
  <c r="Q151" i="8" s="1" a="1"/>
  <c r="Q151" i="8" s="1"/>
  <c r="L152" i="8"/>
  <c r="Q152" i="8" s="1" a="1"/>
  <c r="Q152" i="8" s="1"/>
  <c r="L153" i="8"/>
  <c r="Q153" i="8" s="1" a="1"/>
  <c r="Q153" i="8" s="1"/>
  <c r="L154" i="8"/>
  <c r="Q154" i="8" s="1" a="1"/>
  <c r="Q154" i="8" s="1"/>
  <c r="L155" i="8"/>
  <c r="Q155" i="8" s="1" a="1"/>
  <c r="Q155" i="8" s="1"/>
  <c r="L156" i="8"/>
  <c r="Q156" i="8" s="1" a="1"/>
  <c r="Q156" i="8" s="1"/>
  <c r="L157" i="8"/>
  <c r="Q157" i="8" s="1" a="1"/>
  <c r="Q157" i="8" s="1"/>
  <c r="L158" i="8"/>
  <c r="Q158" i="8" s="1" a="1"/>
  <c r="Q158" i="8" s="1"/>
  <c r="L159" i="8"/>
  <c r="Q159" i="8" s="1" a="1"/>
  <c r="Q159" i="8" s="1"/>
  <c r="L160" i="8"/>
  <c r="Q160" i="8" s="1" a="1"/>
  <c r="Q160" i="8" s="1"/>
  <c r="L161" i="8"/>
  <c r="Q161" i="8" s="1" a="1"/>
  <c r="Q161" i="8" s="1"/>
  <c r="L162" i="8"/>
  <c r="Q162" i="8" s="1" a="1"/>
  <c r="Q162" i="8" s="1"/>
  <c r="L163" i="8"/>
  <c r="Q163" i="8" s="1" a="1"/>
  <c r="Q163" i="8" s="1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F124" i="8"/>
  <c r="G124" i="8"/>
  <c r="H124" i="8"/>
  <c r="I124" i="8"/>
  <c r="J124" i="8"/>
  <c r="K124" i="8"/>
  <c r="L124" i="8"/>
  <c r="Q124" i="8" s="1" a="1"/>
  <c r="Q124" i="8" s="1"/>
  <c r="M124" i="8"/>
  <c r="N124" i="8"/>
  <c r="O124" i="8"/>
  <c r="F125" i="8"/>
  <c r="G125" i="8"/>
  <c r="H125" i="8"/>
  <c r="I125" i="8"/>
  <c r="J125" i="8"/>
  <c r="K125" i="8"/>
  <c r="L125" i="8"/>
  <c r="Q125" i="8" s="1" a="1"/>
  <c r="Q125" i="8" s="1"/>
  <c r="M125" i="8"/>
  <c r="N125" i="8"/>
  <c r="O125" i="8"/>
  <c r="F126" i="8"/>
  <c r="G126" i="8"/>
  <c r="H126" i="8"/>
  <c r="I126" i="8"/>
  <c r="J126" i="8"/>
  <c r="K126" i="8"/>
  <c r="L126" i="8"/>
  <c r="Q126" i="8" s="1" a="1"/>
  <c r="Q126" i="8" s="1"/>
  <c r="M126" i="8"/>
  <c r="N126" i="8"/>
  <c r="O126" i="8"/>
  <c r="F127" i="8"/>
  <c r="G127" i="8"/>
  <c r="H127" i="8"/>
  <c r="I127" i="8"/>
  <c r="J127" i="8"/>
  <c r="K127" i="8"/>
  <c r="L127" i="8"/>
  <c r="Q127" i="8" s="1" a="1"/>
  <c r="Q127" i="8" s="1"/>
  <c r="M127" i="8"/>
  <c r="N127" i="8"/>
  <c r="O127" i="8"/>
  <c r="F128" i="8"/>
  <c r="G128" i="8"/>
  <c r="H128" i="8"/>
  <c r="I128" i="8"/>
  <c r="J128" i="8"/>
  <c r="K128" i="8"/>
  <c r="L128" i="8"/>
  <c r="Q128" i="8" s="1" a="1"/>
  <c r="Q128" i="8" s="1"/>
  <c r="M128" i="8"/>
  <c r="N128" i="8"/>
  <c r="O128" i="8"/>
  <c r="F129" i="8"/>
  <c r="G129" i="8"/>
  <c r="H129" i="8"/>
  <c r="I129" i="8"/>
  <c r="J129" i="8"/>
  <c r="K129" i="8"/>
  <c r="L129" i="8"/>
  <c r="Q129" i="8" s="1" a="1"/>
  <c r="Q129" i="8" s="1"/>
  <c r="M129" i="8"/>
  <c r="N129" i="8"/>
  <c r="O129" i="8"/>
  <c r="F130" i="8"/>
  <c r="G130" i="8"/>
  <c r="H130" i="8"/>
  <c r="I130" i="8"/>
  <c r="J130" i="8"/>
  <c r="K130" i="8"/>
  <c r="L130" i="8"/>
  <c r="Q130" i="8" s="1" a="1"/>
  <c r="Q130" i="8" s="1"/>
  <c r="M130" i="8"/>
  <c r="N130" i="8"/>
  <c r="O130" i="8"/>
  <c r="F142" i="8"/>
  <c r="F143" i="8"/>
  <c r="F144" i="8"/>
  <c r="F145" i="8"/>
  <c r="G142" i="8"/>
  <c r="G143" i="8"/>
  <c r="G144" i="8"/>
  <c r="G145" i="8"/>
  <c r="H142" i="8"/>
  <c r="H143" i="8"/>
  <c r="H144" i="8"/>
  <c r="H145" i="8"/>
  <c r="I142" i="8"/>
  <c r="I143" i="8"/>
  <c r="I144" i="8"/>
  <c r="I145" i="8"/>
  <c r="J142" i="8"/>
  <c r="J143" i="8"/>
  <c r="J144" i="8"/>
  <c r="J145" i="8"/>
  <c r="K142" i="8"/>
  <c r="K143" i="8"/>
  <c r="K144" i="8"/>
  <c r="K145" i="8"/>
  <c r="L142" i="8"/>
  <c r="Q142" i="8" s="1" a="1"/>
  <c r="Q142" i="8" s="1"/>
  <c r="L143" i="8"/>
  <c r="Q143" i="8" s="1" a="1"/>
  <c r="Q143" i="8" s="1"/>
  <c r="L144" i="8"/>
  <c r="Q144" i="8" s="1" a="1"/>
  <c r="Q144" i="8" s="1"/>
  <c r="L145" i="8"/>
  <c r="Q145" i="8" s="1" a="1"/>
  <c r="Q145" i="8" s="1"/>
  <c r="M142" i="8"/>
  <c r="M143" i="8"/>
  <c r="M144" i="8"/>
  <c r="M145" i="8"/>
  <c r="N142" i="8"/>
  <c r="N143" i="8"/>
  <c r="N144" i="8"/>
  <c r="N145" i="8"/>
  <c r="O142" i="8"/>
  <c r="O143" i="8"/>
  <c r="O144" i="8"/>
  <c r="O145" i="8"/>
  <c r="F137" i="8" l="1"/>
  <c r="F136" i="8"/>
  <c r="G136" i="8"/>
  <c r="H136" i="8"/>
  <c r="I136" i="8"/>
  <c r="J136" i="8"/>
  <c r="K136" i="8"/>
  <c r="L136" i="8"/>
  <c r="Q136" i="8" s="1" a="1"/>
  <c r="Q136" i="8" s="1"/>
  <c r="M136" i="8"/>
  <c r="N136" i="8"/>
  <c r="O136" i="8"/>
  <c r="F138" i="8"/>
  <c r="F139" i="8"/>
  <c r="F140" i="8"/>
  <c r="F141" i="8"/>
  <c r="G137" i="8"/>
  <c r="G138" i="8"/>
  <c r="G139" i="8"/>
  <c r="G140" i="8"/>
  <c r="G141" i="8"/>
  <c r="H137" i="8"/>
  <c r="H138" i="8"/>
  <c r="H139" i="8"/>
  <c r="H140" i="8"/>
  <c r="H141" i="8"/>
  <c r="I137" i="8"/>
  <c r="I138" i="8"/>
  <c r="I139" i="8"/>
  <c r="I140" i="8"/>
  <c r="I141" i="8"/>
  <c r="J137" i="8"/>
  <c r="J138" i="8"/>
  <c r="J139" i="8"/>
  <c r="J140" i="8"/>
  <c r="J141" i="8"/>
  <c r="K137" i="8"/>
  <c r="K138" i="8"/>
  <c r="K139" i="8"/>
  <c r="K140" i="8"/>
  <c r="K141" i="8"/>
  <c r="L137" i="8"/>
  <c r="Q137" i="8" s="1" a="1"/>
  <c r="Q137" i="8" s="1"/>
  <c r="L138" i="8"/>
  <c r="Q138" i="8" s="1" a="1"/>
  <c r="Q138" i="8" s="1"/>
  <c r="L139" i="8"/>
  <c r="Q139" i="8" s="1" a="1"/>
  <c r="Q139" i="8" s="1"/>
  <c r="L140" i="8"/>
  <c r="Q140" i="8" s="1" a="1"/>
  <c r="Q140" i="8" s="1"/>
  <c r="L141" i="8"/>
  <c r="Q141" i="8" s="1" a="1"/>
  <c r="Q141" i="8" s="1"/>
  <c r="M137" i="8"/>
  <c r="M138" i="8"/>
  <c r="M139" i="8"/>
  <c r="M140" i="8"/>
  <c r="M141" i="8"/>
  <c r="N137" i="8"/>
  <c r="N138" i="8"/>
  <c r="N139" i="8"/>
  <c r="N140" i="8"/>
  <c r="N141" i="8"/>
  <c r="O137" i="8"/>
  <c r="O138" i="8"/>
  <c r="O139" i="8"/>
  <c r="O140" i="8"/>
  <c r="O141" i="8"/>
  <c r="F25" i="3" l="1"/>
  <c r="G25" i="3"/>
  <c r="H25" i="3"/>
  <c r="I25" i="3"/>
  <c r="J25" i="3"/>
  <c r="K25" i="3"/>
  <c r="L25" i="3"/>
  <c r="Q25" i="3" s="1" a="1"/>
  <c r="Q25" i="3" s="1"/>
  <c r="M25" i="3"/>
  <c r="N25" i="3"/>
  <c r="O25" i="3"/>
  <c r="F26" i="3"/>
  <c r="G26" i="3"/>
  <c r="H26" i="3"/>
  <c r="I26" i="3"/>
  <c r="J26" i="3"/>
  <c r="K26" i="3"/>
  <c r="L26" i="3"/>
  <c r="Q26" i="3" s="1" a="1"/>
  <c r="Q26" i="3" s="1"/>
  <c r="M26" i="3"/>
  <c r="N26" i="3"/>
  <c r="O26" i="3"/>
  <c r="F133" i="8"/>
  <c r="F134" i="8"/>
  <c r="F135" i="8"/>
  <c r="G133" i="8"/>
  <c r="G134" i="8"/>
  <c r="G135" i="8"/>
  <c r="H133" i="8"/>
  <c r="H134" i="8"/>
  <c r="H135" i="8"/>
  <c r="I133" i="8"/>
  <c r="I134" i="8"/>
  <c r="I135" i="8"/>
  <c r="J133" i="8"/>
  <c r="J134" i="8"/>
  <c r="J135" i="8"/>
  <c r="K133" i="8"/>
  <c r="K134" i="8"/>
  <c r="K135" i="8"/>
  <c r="L133" i="8"/>
  <c r="Q133" i="8" s="1" a="1"/>
  <c r="Q133" i="8" s="1"/>
  <c r="L134" i="8"/>
  <c r="Q134" i="8" s="1" a="1"/>
  <c r="Q134" i="8" s="1"/>
  <c r="L135" i="8"/>
  <c r="Q135" i="8" s="1" a="1"/>
  <c r="Q135" i="8" s="1"/>
  <c r="M133" i="8"/>
  <c r="M134" i="8"/>
  <c r="M135" i="8"/>
  <c r="N133" i="8"/>
  <c r="N134" i="8"/>
  <c r="N135" i="8"/>
  <c r="O133" i="8"/>
  <c r="O134" i="8"/>
  <c r="O135" i="8"/>
  <c r="N11" i="8"/>
  <c r="N37" i="8"/>
  <c r="N38" i="8"/>
  <c r="N29" i="8"/>
  <c r="N30" i="8"/>
  <c r="N31" i="8"/>
  <c r="N32" i="8"/>
  <c r="N33" i="8"/>
  <c r="N34" i="8"/>
  <c r="N35" i="8"/>
  <c r="N36" i="8"/>
  <c r="N39" i="8"/>
  <c r="N40" i="8"/>
  <c r="N41" i="8"/>
  <c r="N42" i="8"/>
  <c r="N43" i="8"/>
  <c r="N44" i="8"/>
  <c r="N45" i="8"/>
  <c r="N46" i="8"/>
  <c r="N47" i="8"/>
  <c r="N64" i="8"/>
  <c r="N65" i="8"/>
  <c r="N66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31" i="8"/>
  <c r="N132" i="8"/>
  <c r="F46" i="8" l="1"/>
  <c r="G46" i="8"/>
  <c r="H46" i="8"/>
  <c r="I46" i="8"/>
  <c r="J46" i="8"/>
  <c r="K46" i="8"/>
  <c r="L46" i="8"/>
  <c r="Q46" i="8" s="1" a="1"/>
  <c r="Q46" i="8" s="1"/>
  <c r="M46" i="8"/>
  <c r="O46" i="8"/>
  <c r="F47" i="8"/>
  <c r="G47" i="8"/>
  <c r="H47" i="8"/>
  <c r="I47" i="8"/>
  <c r="J47" i="8"/>
  <c r="K47" i="8"/>
  <c r="L47" i="8"/>
  <c r="Q47" i="8" s="1" a="1"/>
  <c r="Q47" i="8" s="1"/>
  <c r="M47" i="8"/>
  <c r="O47" i="8"/>
  <c r="F64" i="8"/>
  <c r="G64" i="8"/>
  <c r="H64" i="8"/>
  <c r="I64" i="8"/>
  <c r="J64" i="8"/>
  <c r="K64" i="8"/>
  <c r="L64" i="8"/>
  <c r="Q64" i="8" s="1" a="1"/>
  <c r="Q64" i="8" s="1"/>
  <c r="M64" i="8"/>
  <c r="O64" i="8"/>
  <c r="F12" i="3" l="1"/>
  <c r="G12" i="3"/>
  <c r="H12" i="3"/>
  <c r="I12" i="3"/>
  <c r="J12" i="3"/>
  <c r="K12" i="3"/>
  <c r="L12" i="3"/>
  <c r="Q12" i="3" s="1" a="1"/>
  <c r="Q12" i="3" s="1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Q13" i="3" a="1"/>
  <c r="Q13" i="3" s="1"/>
  <c r="J24" i="10" l="1"/>
  <c r="J23" i="10"/>
  <c r="J22" i="10"/>
  <c r="J21" i="10"/>
  <c r="J20" i="10"/>
  <c r="J19" i="10"/>
  <c r="J18" i="10"/>
  <c r="J17" i="10"/>
  <c r="J16" i="10"/>
  <c r="J15" i="10"/>
  <c r="G93" i="8"/>
  <c r="G37" i="8"/>
  <c r="G11" i="8"/>
  <c r="G38" i="8"/>
  <c r="G29" i="8"/>
  <c r="G30" i="8"/>
  <c r="G31" i="8"/>
  <c r="G32" i="8"/>
  <c r="G33" i="8"/>
  <c r="G34" i="8"/>
  <c r="G35" i="8"/>
  <c r="G36" i="8"/>
  <c r="G39" i="8"/>
  <c r="G40" i="8"/>
  <c r="G41" i="8"/>
  <c r="G42" i="8"/>
  <c r="G43" i="8"/>
  <c r="G44" i="8"/>
  <c r="G45" i="8"/>
  <c r="G65" i="8"/>
  <c r="G66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4" i="8"/>
  <c r="G85" i="8"/>
  <c r="G86" i="8"/>
  <c r="G87" i="8"/>
  <c r="G88" i="8"/>
  <c r="G89" i="8"/>
  <c r="G90" i="8"/>
  <c r="G91" i="8"/>
  <c r="G92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31" i="8"/>
  <c r="G132" i="8"/>
  <c r="M40" i="8"/>
  <c r="M39" i="8"/>
  <c r="H37" i="8"/>
  <c r="O37" i="8"/>
  <c r="O11" i="8"/>
  <c r="O38" i="8"/>
  <c r="O29" i="8"/>
  <c r="O30" i="8"/>
  <c r="O31" i="8"/>
  <c r="O32" i="8"/>
  <c r="O33" i="8"/>
  <c r="O34" i="8"/>
  <c r="O35" i="8"/>
  <c r="O36" i="8"/>
  <c r="O39" i="8"/>
  <c r="O40" i="8"/>
  <c r="O41" i="8"/>
  <c r="O42" i="8"/>
  <c r="O43" i="8"/>
  <c r="O44" i="8"/>
  <c r="O45" i="8"/>
  <c r="O65" i="8"/>
  <c r="O66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31" i="8"/>
  <c r="O132" i="8"/>
  <c r="M11" i="8"/>
  <c r="M37" i="8"/>
  <c r="M38" i="8"/>
  <c r="M29" i="8"/>
  <c r="M30" i="8"/>
  <c r="M31" i="8"/>
  <c r="M32" i="8"/>
  <c r="M33" i="8"/>
  <c r="M34" i="8"/>
  <c r="M35" i="8"/>
  <c r="M36" i="8"/>
  <c r="M41" i="8"/>
  <c r="M42" i="8"/>
  <c r="M43" i="8"/>
  <c r="M44" i="8"/>
  <c r="M45" i="8"/>
  <c r="M65" i="8"/>
  <c r="M66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31" i="8"/>
  <c r="M132" i="8"/>
  <c r="L11" i="8"/>
  <c r="Q11" i="8" s="1" a="1"/>
  <c r="Q11" i="8" s="1"/>
  <c r="L37" i="8"/>
  <c r="Q37" i="8" s="1" a="1"/>
  <c r="Q37" i="8" s="1"/>
  <c r="L38" i="8"/>
  <c r="Q38" i="8" s="1" a="1"/>
  <c r="Q38" i="8" s="1"/>
  <c r="L29" i="8"/>
  <c r="Q29" i="8" s="1" a="1"/>
  <c r="Q29" i="8" s="1"/>
  <c r="L30" i="8"/>
  <c r="Q30" i="8" s="1" a="1"/>
  <c r="Q30" i="8" s="1"/>
  <c r="L31" i="8"/>
  <c r="Q31" i="8" s="1" a="1"/>
  <c r="Q31" i="8" s="1"/>
  <c r="L32" i="8"/>
  <c r="Q32" i="8" s="1" a="1"/>
  <c r="Q32" i="8" s="1"/>
  <c r="L33" i="8"/>
  <c r="Q33" i="8" s="1" a="1"/>
  <c r="Q33" i="8" s="1"/>
  <c r="L34" i="8"/>
  <c r="Q34" i="8" s="1" a="1"/>
  <c r="Q34" i="8" s="1"/>
  <c r="L35" i="8"/>
  <c r="Q35" i="8" s="1" a="1"/>
  <c r="Q35" i="8" s="1"/>
  <c r="L36" i="8"/>
  <c r="Q36" i="8" s="1" a="1"/>
  <c r="Q36" i="8" s="1"/>
  <c r="L39" i="8"/>
  <c r="Q39" i="8" s="1" a="1"/>
  <c r="Q39" i="8" s="1"/>
  <c r="L40" i="8"/>
  <c r="Q40" i="8" s="1" a="1"/>
  <c r="Q40" i="8" s="1"/>
  <c r="L41" i="8"/>
  <c r="Q41" i="8" s="1" a="1"/>
  <c r="Q41" i="8" s="1"/>
  <c r="L42" i="8"/>
  <c r="Q42" i="8" s="1" a="1"/>
  <c r="Q42" i="8" s="1"/>
  <c r="L43" i="8"/>
  <c r="Q43" i="8" s="1" a="1"/>
  <c r="Q43" i="8" s="1"/>
  <c r="L44" i="8"/>
  <c r="Q44" i="8" s="1" a="1"/>
  <c r="Q44" i="8" s="1"/>
  <c r="L45" i="8"/>
  <c r="Q45" i="8" s="1" a="1"/>
  <c r="Q45" i="8" s="1"/>
  <c r="L65" i="8"/>
  <c r="Q65" i="8" s="1" a="1"/>
  <c r="Q65" i="8" s="1"/>
  <c r="L66" i="8"/>
  <c r="Q66" i="8" s="1" a="1"/>
  <c r="Q66" i="8" s="1"/>
  <c r="L69" i="8"/>
  <c r="Q69" i="8" s="1" a="1"/>
  <c r="Q69" i="8" s="1"/>
  <c r="L70" i="8"/>
  <c r="Q70" i="8" s="1" a="1"/>
  <c r="Q70" i="8" s="1"/>
  <c r="L71" i="8"/>
  <c r="Q71" i="8" s="1" a="1"/>
  <c r="Q71" i="8" s="1"/>
  <c r="L72" i="8"/>
  <c r="Q72" i="8" s="1" a="1"/>
  <c r="Q72" i="8" s="1"/>
  <c r="L73" i="8"/>
  <c r="Q73" i="8" s="1" a="1"/>
  <c r="Q73" i="8" s="1"/>
  <c r="L74" i="8"/>
  <c r="Q74" i="8" s="1" a="1"/>
  <c r="Q74" i="8" s="1"/>
  <c r="L75" i="8"/>
  <c r="Q75" i="8" s="1" a="1"/>
  <c r="Q75" i="8" s="1"/>
  <c r="L76" i="8"/>
  <c r="Q76" i="8" s="1" a="1"/>
  <c r="Q76" i="8" s="1"/>
  <c r="L77" i="8"/>
  <c r="Q77" i="8" s="1" a="1"/>
  <c r="Q77" i="8" s="1"/>
  <c r="L78" i="8"/>
  <c r="Q78" i="8" s="1" a="1"/>
  <c r="Q78" i="8" s="1"/>
  <c r="L79" i="8"/>
  <c r="Q79" i="8" s="1" a="1"/>
  <c r="Q79" i="8" s="1"/>
  <c r="L80" i="8"/>
  <c r="Q80" i="8" s="1" a="1"/>
  <c r="Q80" i="8" s="1"/>
  <c r="L81" i="8"/>
  <c r="Q81" i="8" s="1" a="1"/>
  <c r="Q81" i="8" s="1"/>
  <c r="L84" i="8"/>
  <c r="Q84" i="8" s="1" a="1"/>
  <c r="Q84" i="8" s="1"/>
  <c r="L85" i="8"/>
  <c r="Q85" i="8" s="1" a="1"/>
  <c r="Q85" i="8" s="1"/>
  <c r="L86" i="8"/>
  <c r="Q86" i="8" s="1" a="1"/>
  <c r="Q86" i="8" s="1"/>
  <c r="L87" i="8"/>
  <c r="Q87" i="8" s="1" a="1"/>
  <c r="Q87" i="8" s="1"/>
  <c r="L88" i="8"/>
  <c r="Q88" i="8" s="1" a="1"/>
  <c r="Q88" i="8" s="1"/>
  <c r="L89" i="8"/>
  <c r="Q89" i="8" s="1" a="1"/>
  <c r="Q89" i="8" s="1"/>
  <c r="L90" i="8"/>
  <c r="Q90" i="8" s="1" a="1"/>
  <c r="Q90" i="8" s="1"/>
  <c r="L91" i="8"/>
  <c r="Q91" i="8" s="1" a="1"/>
  <c r="Q91" i="8" s="1"/>
  <c r="L92" i="8"/>
  <c r="Q92" i="8" s="1" a="1"/>
  <c r="Q92" i="8" s="1"/>
  <c r="L93" i="8"/>
  <c r="Q93" i="8" s="1" a="1"/>
  <c r="Q93" i="8" s="1"/>
  <c r="L94" i="8"/>
  <c r="Q94" i="8" s="1" a="1"/>
  <c r="Q94" i="8" s="1"/>
  <c r="L95" i="8"/>
  <c r="Q95" i="8" s="1" a="1"/>
  <c r="Q95" i="8" s="1"/>
  <c r="L96" i="8"/>
  <c r="Q96" i="8" s="1" a="1"/>
  <c r="Q96" i="8" s="1"/>
  <c r="L97" i="8"/>
  <c r="Q97" i="8" s="1" a="1"/>
  <c r="Q97" i="8" s="1"/>
  <c r="L98" i="8"/>
  <c r="Q98" i="8" s="1" a="1"/>
  <c r="Q98" i="8" s="1"/>
  <c r="L99" i="8"/>
  <c r="Q99" i="8" s="1" a="1"/>
  <c r="Q99" i="8" s="1"/>
  <c r="L100" i="8"/>
  <c r="Q100" i="8" s="1" a="1"/>
  <c r="Q100" i="8" s="1"/>
  <c r="L101" i="8"/>
  <c r="Q101" i="8" s="1" a="1"/>
  <c r="Q101" i="8" s="1"/>
  <c r="L102" i="8"/>
  <c r="Q102" i="8" s="1" a="1"/>
  <c r="Q102" i="8" s="1"/>
  <c r="L103" i="8"/>
  <c r="Q103" i="8" s="1" a="1"/>
  <c r="Q103" i="8" s="1"/>
  <c r="L104" i="8"/>
  <c r="Q104" i="8" s="1" a="1"/>
  <c r="Q104" i="8" s="1"/>
  <c r="L105" i="8"/>
  <c r="Q105" i="8" s="1" a="1"/>
  <c r="Q105" i="8" s="1"/>
  <c r="L106" i="8"/>
  <c r="Q106" i="8" s="1" a="1"/>
  <c r="Q106" i="8" s="1"/>
  <c r="L107" i="8"/>
  <c r="Q107" i="8" s="1" a="1"/>
  <c r="Q107" i="8" s="1"/>
  <c r="L108" i="8"/>
  <c r="Q108" i="8" s="1" a="1"/>
  <c r="Q108" i="8" s="1"/>
  <c r="L109" i="8"/>
  <c r="Q109" i="8" s="1" a="1"/>
  <c r="Q109" i="8" s="1"/>
  <c r="L110" i="8"/>
  <c r="Q110" i="8" s="1" a="1"/>
  <c r="Q110" i="8" s="1"/>
  <c r="L111" i="8"/>
  <c r="Q111" i="8" s="1" a="1"/>
  <c r="Q111" i="8" s="1"/>
  <c r="L112" i="8"/>
  <c r="Q112" i="8" s="1" a="1"/>
  <c r="Q112" i="8" s="1"/>
  <c r="L113" i="8"/>
  <c r="Q113" i="8" s="1" a="1"/>
  <c r="Q113" i="8" s="1"/>
  <c r="L114" i="8"/>
  <c r="Q114" i="8" s="1" a="1"/>
  <c r="Q114" i="8" s="1"/>
  <c r="L115" i="8"/>
  <c r="Q115" i="8" s="1" a="1"/>
  <c r="Q115" i="8" s="1"/>
  <c r="L116" i="8"/>
  <c r="Q116" i="8" s="1" a="1"/>
  <c r="Q116" i="8" s="1"/>
  <c r="L117" i="8"/>
  <c r="Q117" i="8" s="1" a="1"/>
  <c r="Q117" i="8" s="1"/>
  <c r="L118" i="8"/>
  <c r="Q118" i="8" s="1" a="1"/>
  <c r="Q118" i="8" s="1"/>
  <c r="L119" i="8"/>
  <c r="Q119" i="8" s="1" a="1"/>
  <c r="Q119" i="8" s="1"/>
  <c r="L120" i="8"/>
  <c r="Q120" i="8" s="1" a="1"/>
  <c r="Q120" i="8" s="1"/>
  <c r="L121" i="8"/>
  <c r="Q121" i="8" s="1" a="1"/>
  <c r="Q121" i="8" s="1"/>
  <c r="L122" i="8"/>
  <c r="Q122" i="8" s="1" a="1"/>
  <c r="Q122" i="8" s="1"/>
  <c r="L123" i="8"/>
  <c r="Q123" i="8" s="1" a="1"/>
  <c r="Q123" i="8" s="1"/>
  <c r="L131" i="8"/>
  <c r="Q131" i="8" s="1" a="1"/>
  <c r="Q131" i="8" s="1"/>
  <c r="L132" i="8"/>
  <c r="Q132" i="8" s="1" a="1"/>
  <c r="Q132" i="8" s="1"/>
  <c r="K11" i="8"/>
  <c r="K37" i="8"/>
  <c r="K38" i="8"/>
  <c r="K29" i="8"/>
  <c r="K30" i="8"/>
  <c r="K31" i="8"/>
  <c r="K32" i="8"/>
  <c r="K33" i="8"/>
  <c r="K34" i="8"/>
  <c r="K35" i="8"/>
  <c r="K36" i="8"/>
  <c r="K39" i="8"/>
  <c r="K40" i="8"/>
  <c r="K41" i="8"/>
  <c r="K42" i="8"/>
  <c r="K43" i="8"/>
  <c r="K44" i="8"/>
  <c r="K45" i="8"/>
  <c r="K65" i="8"/>
  <c r="K66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31" i="8"/>
  <c r="K132" i="8"/>
  <c r="J11" i="8"/>
  <c r="J37" i="8"/>
  <c r="J38" i="8"/>
  <c r="J29" i="8"/>
  <c r="J30" i="8"/>
  <c r="J31" i="8"/>
  <c r="J32" i="8"/>
  <c r="J33" i="8"/>
  <c r="J34" i="8"/>
  <c r="J35" i="8"/>
  <c r="J36" i="8"/>
  <c r="J39" i="8"/>
  <c r="J40" i="8"/>
  <c r="J41" i="8"/>
  <c r="J42" i="8"/>
  <c r="J43" i="8"/>
  <c r="J44" i="8"/>
  <c r="J45" i="8"/>
  <c r="J65" i="8"/>
  <c r="J66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31" i="8"/>
  <c r="J132" i="8"/>
  <c r="I11" i="8"/>
  <c r="I37" i="8"/>
  <c r="I38" i="8"/>
  <c r="I29" i="8"/>
  <c r="I30" i="8"/>
  <c r="I31" i="8"/>
  <c r="I32" i="8"/>
  <c r="I33" i="8"/>
  <c r="I34" i="8"/>
  <c r="I35" i="8"/>
  <c r="I36" i="8"/>
  <c r="I39" i="8"/>
  <c r="I40" i="8"/>
  <c r="I41" i="8"/>
  <c r="I42" i="8"/>
  <c r="I43" i="8"/>
  <c r="I44" i="8"/>
  <c r="I45" i="8"/>
  <c r="I65" i="8"/>
  <c r="I66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31" i="8"/>
  <c r="I132" i="8"/>
  <c r="H11" i="8"/>
  <c r="H38" i="8"/>
  <c r="H29" i="8"/>
  <c r="H30" i="8"/>
  <c r="H31" i="8"/>
  <c r="H32" i="8"/>
  <c r="H33" i="8"/>
  <c r="H34" i="8"/>
  <c r="H35" i="8"/>
  <c r="H36" i="8"/>
  <c r="H39" i="8"/>
  <c r="H40" i="8"/>
  <c r="H41" i="8"/>
  <c r="H42" i="8"/>
  <c r="H43" i="8"/>
  <c r="H44" i="8"/>
  <c r="H45" i="8"/>
  <c r="H65" i="8"/>
  <c r="H66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31" i="8"/>
  <c r="H132" i="8"/>
  <c r="F11" i="8"/>
  <c r="F37" i="8"/>
  <c r="F38" i="8"/>
  <c r="F29" i="8"/>
  <c r="F30" i="8"/>
  <c r="F31" i="8"/>
  <c r="F32" i="8"/>
  <c r="F33" i="8"/>
  <c r="F34" i="8"/>
  <c r="F35" i="8"/>
  <c r="F36" i="8"/>
  <c r="F39" i="8"/>
  <c r="F40" i="8"/>
  <c r="F41" i="8"/>
  <c r="F42" i="8"/>
  <c r="F43" i="8"/>
  <c r="F44" i="8"/>
  <c r="F45" i="8"/>
  <c r="F65" i="8"/>
  <c r="F66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31" i="8"/>
  <c r="F132" i="8"/>
  <c r="F106" i="3"/>
  <c r="G106" i="3"/>
  <c r="H106" i="3"/>
  <c r="I106" i="3"/>
  <c r="J106" i="3"/>
  <c r="K106" i="3"/>
  <c r="L106" i="3"/>
  <c r="Q106" i="3" s="1" a="1"/>
  <c r="Q106" i="3" s="1"/>
  <c r="M106" i="3"/>
  <c r="N106" i="3"/>
  <c r="O106" i="3"/>
  <c r="F108" i="3"/>
  <c r="G108" i="3"/>
  <c r="H108" i="3"/>
  <c r="I108" i="3"/>
  <c r="J108" i="3"/>
  <c r="K108" i="3"/>
  <c r="L108" i="3"/>
  <c r="Q108" i="3" s="1" a="1"/>
  <c r="Q108" i="3" s="1"/>
  <c r="M108" i="3"/>
  <c r="N108" i="3"/>
  <c r="O108" i="3"/>
  <c r="F109" i="3"/>
  <c r="G109" i="3"/>
  <c r="H109" i="3"/>
  <c r="I109" i="3"/>
  <c r="J109" i="3"/>
  <c r="K109" i="3"/>
  <c r="L109" i="3"/>
  <c r="Q109" i="3" s="1" a="1"/>
  <c r="Q109" i="3" s="1"/>
  <c r="M109" i="3"/>
  <c r="N109" i="3"/>
  <c r="O109" i="3"/>
  <c r="F110" i="3"/>
  <c r="G110" i="3"/>
  <c r="H110" i="3"/>
  <c r="I110" i="3"/>
  <c r="J110" i="3"/>
  <c r="K110" i="3"/>
  <c r="L110" i="3"/>
  <c r="Q110" i="3" s="1" a="1"/>
  <c r="Q110" i="3" s="1"/>
  <c r="M110" i="3"/>
  <c r="N110" i="3"/>
  <c r="O110" i="3"/>
  <c r="F71" i="3"/>
  <c r="G71" i="3"/>
  <c r="H71" i="3"/>
  <c r="I71" i="3"/>
  <c r="J71" i="3"/>
  <c r="K71" i="3"/>
  <c r="L71" i="3"/>
  <c r="Q71" i="3" s="1" a="1"/>
  <c r="Q71" i="3" s="1"/>
  <c r="M71" i="3"/>
  <c r="N71" i="3"/>
  <c r="O71" i="3"/>
  <c r="F72" i="3"/>
  <c r="G72" i="3"/>
  <c r="H72" i="3"/>
  <c r="I72" i="3"/>
  <c r="J72" i="3"/>
  <c r="K72" i="3"/>
  <c r="L72" i="3"/>
  <c r="Q72" i="3" s="1" a="1"/>
  <c r="Q72" i="3" s="1"/>
  <c r="M72" i="3"/>
  <c r="N72" i="3"/>
  <c r="O72" i="3"/>
  <c r="F73" i="3"/>
  <c r="G73" i="3"/>
  <c r="H73" i="3"/>
  <c r="I73" i="3"/>
  <c r="J73" i="3"/>
  <c r="K73" i="3"/>
  <c r="L73" i="3"/>
  <c r="Q73" i="3" s="1" a="1"/>
  <c r="Q73" i="3" s="1"/>
  <c r="M73" i="3"/>
  <c r="N73" i="3"/>
  <c r="O73" i="3"/>
  <c r="F74" i="3"/>
  <c r="G74" i="3"/>
  <c r="H74" i="3"/>
  <c r="I74" i="3"/>
  <c r="J74" i="3"/>
  <c r="K74" i="3"/>
  <c r="L74" i="3"/>
  <c r="Q74" i="3" s="1" a="1"/>
  <c r="Q74" i="3" s="1"/>
  <c r="M74" i="3"/>
  <c r="N74" i="3"/>
  <c r="O74" i="3"/>
  <c r="F75" i="3"/>
  <c r="G75" i="3"/>
  <c r="H75" i="3"/>
  <c r="I75" i="3"/>
  <c r="J75" i="3"/>
  <c r="K75" i="3"/>
  <c r="L75" i="3"/>
  <c r="Q75" i="3" s="1" a="1"/>
  <c r="Q75" i="3" s="1"/>
  <c r="M75" i="3"/>
  <c r="N75" i="3"/>
  <c r="O75" i="3"/>
  <c r="F76" i="3"/>
  <c r="G76" i="3"/>
  <c r="H76" i="3"/>
  <c r="I76" i="3"/>
  <c r="J76" i="3"/>
  <c r="K76" i="3"/>
  <c r="L76" i="3"/>
  <c r="Q76" i="3" s="1" a="1"/>
  <c r="Q76" i="3" s="1"/>
  <c r="M76" i="3"/>
  <c r="N76" i="3"/>
  <c r="O76" i="3"/>
  <c r="F77" i="3"/>
  <c r="G77" i="3"/>
  <c r="H77" i="3"/>
  <c r="I77" i="3"/>
  <c r="J77" i="3"/>
  <c r="K77" i="3"/>
  <c r="L77" i="3"/>
  <c r="Q77" i="3" s="1" a="1"/>
  <c r="Q77" i="3" s="1"/>
  <c r="M77" i="3"/>
  <c r="N77" i="3"/>
  <c r="O77" i="3"/>
  <c r="F78" i="3"/>
  <c r="G78" i="3"/>
  <c r="H78" i="3"/>
  <c r="I78" i="3"/>
  <c r="J78" i="3"/>
  <c r="K78" i="3"/>
  <c r="L78" i="3"/>
  <c r="Q78" i="3" s="1" a="1"/>
  <c r="Q78" i="3" s="1"/>
  <c r="M78" i="3"/>
  <c r="N78" i="3"/>
  <c r="O78" i="3"/>
  <c r="F79" i="3"/>
  <c r="G79" i="3"/>
  <c r="H79" i="3"/>
  <c r="I79" i="3"/>
  <c r="J79" i="3"/>
  <c r="K79" i="3"/>
  <c r="L79" i="3"/>
  <c r="Q79" i="3" s="1" a="1"/>
  <c r="Q79" i="3" s="1"/>
  <c r="M79" i="3"/>
  <c r="N79" i="3"/>
  <c r="O79" i="3"/>
  <c r="F80" i="3"/>
  <c r="G80" i="3"/>
  <c r="H80" i="3"/>
  <c r="I80" i="3"/>
  <c r="J80" i="3"/>
  <c r="K80" i="3"/>
  <c r="L80" i="3"/>
  <c r="Q80" i="3" s="1" a="1"/>
  <c r="Q80" i="3" s="1"/>
  <c r="M80" i="3"/>
  <c r="N80" i="3"/>
  <c r="O80" i="3"/>
  <c r="F81" i="3"/>
  <c r="G81" i="3"/>
  <c r="H81" i="3"/>
  <c r="I81" i="3"/>
  <c r="J81" i="3"/>
  <c r="K81" i="3"/>
  <c r="L81" i="3"/>
  <c r="Q81" i="3" s="1" a="1"/>
  <c r="Q81" i="3" s="1"/>
  <c r="M81" i="3"/>
  <c r="N81" i="3"/>
  <c r="O81" i="3"/>
  <c r="F82" i="3"/>
  <c r="G82" i="3"/>
  <c r="H82" i="3"/>
  <c r="I82" i="3"/>
  <c r="J82" i="3"/>
  <c r="K82" i="3"/>
  <c r="L82" i="3"/>
  <c r="Q82" i="3" s="1" a="1"/>
  <c r="Q82" i="3" s="1"/>
  <c r="M82" i="3"/>
  <c r="N82" i="3"/>
  <c r="O82" i="3"/>
  <c r="L11" i="3"/>
  <c r="Q11" i="3" s="1" a="1"/>
  <c r="Q11" i="3" s="1"/>
  <c r="L14" i="3"/>
  <c r="Q14" i="3" s="1" a="1"/>
  <c r="Q14" i="3" s="1"/>
  <c r="L15" i="3"/>
  <c r="Q15" i="3" s="1" a="1"/>
  <c r="Q15" i="3" s="1"/>
  <c r="L16" i="3"/>
  <c r="Q16" i="3" s="1" a="1"/>
  <c r="Q16" i="3" s="1"/>
  <c r="L17" i="3"/>
  <c r="Q17" i="3" s="1" a="1"/>
  <c r="Q17" i="3" s="1"/>
  <c r="L18" i="3"/>
  <c r="Q18" i="3" s="1" a="1"/>
  <c r="Q18" i="3" s="1"/>
  <c r="L19" i="3"/>
  <c r="Q19" i="3" s="1" a="1"/>
  <c r="Q19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L60" i="3"/>
  <c r="Q60" i="3" s="1" a="1"/>
  <c r="Q60" i="3" s="1"/>
  <c r="L61" i="3"/>
  <c r="Q61" i="3" s="1" a="1"/>
  <c r="Q61" i="3" s="1"/>
  <c r="L62" i="3"/>
  <c r="Q62" i="3" s="1" a="1"/>
  <c r="Q62" i="3" s="1"/>
  <c r="L63" i="3"/>
  <c r="Q63" i="3" s="1" a="1"/>
  <c r="Q63" i="3" s="1"/>
  <c r="L64" i="3"/>
  <c r="Q64" i="3" s="1" a="1"/>
  <c r="Q64" i="3" s="1"/>
  <c r="L65" i="3"/>
  <c r="Q65" i="3" s="1" a="1"/>
  <c r="Q65" i="3" s="1"/>
  <c r="L66" i="3"/>
  <c r="Q66" i="3" s="1" a="1"/>
  <c r="Q66" i="3" s="1"/>
  <c r="L67" i="3"/>
  <c r="Q67" i="3" s="1" a="1"/>
  <c r="Q67" i="3" s="1"/>
  <c r="L68" i="3"/>
  <c r="Q68" i="3" s="1" a="1"/>
  <c r="Q68" i="3" s="1"/>
  <c r="L69" i="3"/>
  <c r="Q69" i="3" s="1" a="1"/>
  <c r="Q69" i="3" s="1"/>
  <c r="L70" i="3"/>
  <c r="Q70" i="3" s="1" a="1"/>
  <c r="Q70" i="3" s="1"/>
  <c r="L83" i="3"/>
  <c r="Q83" i="3" s="1" a="1"/>
  <c r="Q83" i="3" s="1"/>
  <c r="L84" i="3"/>
  <c r="Q84" i="3" s="1" a="1"/>
  <c r="Q84" i="3" s="1"/>
  <c r="L85" i="3"/>
  <c r="Q85" i="3" s="1" a="1"/>
  <c r="Q85" i="3" s="1"/>
  <c r="L86" i="3"/>
  <c r="Q86" i="3" s="1" a="1"/>
  <c r="Q86" i="3" s="1"/>
  <c r="L87" i="3"/>
  <c r="Q87" i="3" s="1" a="1"/>
  <c r="Q87" i="3" s="1"/>
  <c r="L88" i="3"/>
  <c r="Q88" i="3" s="1" a="1"/>
  <c r="Q88" i="3" s="1"/>
  <c r="L89" i="3"/>
  <c r="Q89" i="3" s="1" a="1"/>
  <c r="Q89" i="3" s="1"/>
  <c r="L90" i="3"/>
  <c r="Q90" i="3" s="1" a="1"/>
  <c r="Q90" i="3" s="1"/>
  <c r="L91" i="3"/>
  <c r="Q91" i="3" s="1" a="1"/>
  <c r="Q91" i="3" s="1"/>
  <c r="L92" i="3"/>
  <c r="Q92" i="3" s="1" a="1"/>
  <c r="Q92" i="3" s="1"/>
  <c r="L93" i="3"/>
  <c r="Q93" i="3" s="1" a="1"/>
  <c r="Q93" i="3" s="1"/>
  <c r="L94" i="3"/>
  <c r="Q94" i="3" s="1" a="1"/>
  <c r="Q94" i="3" s="1"/>
  <c r="L95" i="3"/>
  <c r="Q95" i="3" s="1" a="1"/>
  <c r="Q95" i="3" s="1"/>
  <c r="L96" i="3"/>
  <c r="Q96" i="3" s="1" a="1"/>
  <c r="Q96" i="3" s="1"/>
  <c r="L97" i="3"/>
  <c r="Q97" i="3" s="1" a="1"/>
  <c r="Q97" i="3" s="1"/>
  <c r="L98" i="3"/>
  <c r="Q98" i="3" s="1" a="1"/>
  <c r="Q98" i="3" s="1"/>
  <c r="L99" i="3"/>
  <c r="Q99" i="3" s="1" a="1"/>
  <c r="Q99" i="3" s="1"/>
  <c r="L100" i="3"/>
  <c r="Q100" i="3" s="1" a="1"/>
  <c r="Q100" i="3" s="1"/>
  <c r="L101" i="3"/>
  <c r="Q101" i="3" s="1" a="1"/>
  <c r="Q101" i="3" s="1"/>
  <c r="L102" i="3"/>
  <c r="Q102" i="3" s="1" a="1"/>
  <c r="Q102" i="3" s="1"/>
  <c r="L103" i="3"/>
  <c r="Q103" i="3" s="1" a="1"/>
  <c r="Q103" i="3" s="1"/>
  <c r="L104" i="3"/>
  <c r="Q104" i="3" s="1" a="1"/>
  <c r="Q104" i="3" s="1"/>
  <c r="L105" i="3"/>
  <c r="Q105" i="3" s="1" a="1"/>
  <c r="Q105" i="3" s="1"/>
  <c r="L107" i="3"/>
  <c r="Q107" i="3" s="1" a="1"/>
  <c r="Q107" i="3" s="1"/>
  <c r="L111" i="3"/>
  <c r="Q111" i="3" s="1" a="1"/>
  <c r="Q111" i="3" s="1"/>
  <c r="L112" i="3"/>
  <c r="Q112" i="3" s="1" a="1"/>
  <c r="Q112" i="3" s="1"/>
  <c r="L113" i="3"/>
  <c r="Q113" i="3" s="1" a="1"/>
  <c r="Q113" i="3" s="1"/>
  <c r="L114" i="3"/>
  <c r="Q114" i="3" s="1" a="1"/>
  <c r="Q114" i="3" s="1"/>
  <c r="L115" i="3"/>
  <c r="Q115" i="3" s="1" a="1"/>
  <c r="Q115" i="3" s="1"/>
  <c r="L116" i="3"/>
  <c r="Q116" i="3" s="1" a="1"/>
  <c r="Q116" i="3" s="1"/>
  <c r="L117" i="3"/>
  <c r="Q117" i="3" s="1" a="1"/>
  <c r="Q117" i="3" s="1"/>
  <c r="L118" i="3"/>
  <c r="Q118" i="3" s="1" a="1"/>
  <c r="Q118" i="3" s="1"/>
  <c r="L119" i="3"/>
  <c r="Q119" i="3" s="1" a="1"/>
  <c r="Q119" i="3" s="1"/>
  <c r="L120" i="3"/>
  <c r="Q120" i="3" s="1" a="1"/>
  <c r="Q120" i="3" s="1"/>
  <c r="L121" i="3"/>
  <c r="Q121" i="3" s="1" a="1"/>
  <c r="Q121" i="3" s="1"/>
  <c r="L122" i="3"/>
  <c r="Q122" i="3" s="1" a="1"/>
  <c r="Q122" i="3" s="1"/>
  <c r="L123" i="3"/>
  <c r="Q123" i="3" s="1" a="1"/>
  <c r="Q123" i="3" s="1"/>
  <c r="L124" i="3"/>
  <c r="Q124" i="3" s="1" a="1"/>
  <c r="Q124" i="3" s="1"/>
  <c r="L125" i="3"/>
  <c r="Q125" i="3" s="1" a="1"/>
  <c r="Q125" i="3" s="1"/>
  <c r="L126" i="3"/>
  <c r="Q126" i="3" s="1" a="1"/>
  <c r="Q126" i="3" s="1"/>
  <c r="L127" i="3"/>
  <c r="Q127" i="3" s="1" a="1"/>
  <c r="Q127" i="3" s="1"/>
  <c r="L128" i="3"/>
  <c r="Q128" i="3" s="1" a="1"/>
  <c r="Q128" i="3" s="1"/>
  <c r="L129" i="3"/>
  <c r="Q129" i="3" s="1" a="1"/>
  <c r="Q129" i="3" s="1"/>
  <c r="L130" i="3"/>
  <c r="Q130" i="3" s="1" a="1"/>
  <c r="Q130" i="3" s="1"/>
  <c r="L131" i="3"/>
  <c r="Q131" i="3" s="1" a="1"/>
  <c r="Q131" i="3" s="1"/>
  <c r="K115" i="3"/>
  <c r="K124" i="3"/>
  <c r="K123" i="3"/>
  <c r="K11" i="3"/>
  <c r="K14" i="3"/>
  <c r="K15" i="3"/>
  <c r="K16" i="3"/>
  <c r="K17" i="3"/>
  <c r="K18" i="3"/>
  <c r="K19" i="3"/>
  <c r="K20" i="3"/>
  <c r="K21" i="3"/>
  <c r="K22" i="3"/>
  <c r="K23" i="3"/>
  <c r="K24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7" i="3"/>
  <c r="K111" i="3"/>
  <c r="K112" i="3"/>
  <c r="K113" i="3"/>
  <c r="K114" i="3"/>
  <c r="K116" i="3"/>
  <c r="K117" i="3"/>
  <c r="K118" i="3"/>
  <c r="K119" i="3"/>
  <c r="K120" i="3"/>
  <c r="K121" i="3"/>
  <c r="K122" i="3"/>
  <c r="K125" i="3"/>
  <c r="K126" i="3"/>
  <c r="K127" i="3"/>
  <c r="K128" i="3"/>
  <c r="K129" i="3"/>
  <c r="K130" i="3"/>
  <c r="K131" i="3"/>
  <c r="M11" i="3"/>
  <c r="M14" i="3"/>
  <c r="M15" i="3"/>
  <c r="M16" i="3"/>
  <c r="M17" i="3"/>
  <c r="M18" i="3"/>
  <c r="M19" i="3"/>
  <c r="M20" i="3"/>
  <c r="M21" i="3"/>
  <c r="M22" i="3"/>
  <c r="M23" i="3"/>
  <c r="M24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7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F54" i="3"/>
  <c r="G54" i="3"/>
  <c r="H54" i="3"/>
  <c r="I54" i="3"/>
  <c r="J54" i="3"/>
  <c r="N54" i="3"/>
  <c r="O54" i="3"/>
  <c r="O11" i="3"/>
  <c r="O14" i="3"/>
  <c r="O15" i="3"/>
  <c r="O16" i="3"/>
  <c r="O17" i="3"/>
  <c r="O18" i="3"/>
  <c r="O19" i="3"/>
  <c r="O20" i="3"/>
  <c r="O21" i="3"/>
  <c r="O22" i="3"/>
  <c r="O23" i="3"/>
  <c r="O24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7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F131" i="3" l="1"/>
  <c r="G131" i="3"/>
  <c r="H131" i="3"/>
  <c r="I131" i="3"/>
  <c r="J131" i="3"/>
  <c r="N131" i="3"/>
  <c r="F130" i="3"/>
  <c r="G130" i="3"/>
  <c r="H130" i="3"/>
  <c r="I130" i="3"/>
  <c r="J130" i="3"/>
  <c r="N130" i="3"/>
  <c r="F129" i="3"/>
  <c r="G129" i="3"/>
  <c r="H129" i="3"/>
  <c r="I129" i="3"/>
  <c r="J129" i="3"/>
  <c r="N129" i="3"/>
  <c r="K50" i="4"/>
  <c r="K51" i="4"/>
  <c r="K52" i="4"/>
  <c r="K53" i="4"/>
  <c r="K54" i="4"/>
  <c r="K55" i="4"/>
  <c r="K56" i="4"/>
  <c r="K57" i="4"/>
  <c r="K58" i="4"/>
  <c r="K59" i="4"/>
  <c r="K60" i="4"/>
  <c r="N98" i="3"/>
  <c r="J98" i="3"/>
  <c r="I98" i="3"/>
  <c r="H98" i="3"/>
  <c r="G98" i="3"/>
  <c r="F98" i="3"/>
  <c r="F97" i="3"/>
  <c r="G97" i="3"/>
  <c r="H97" i="3"/>
  <c r="I97" i="3"/>
  <c r="J97" i="3"/>
  <c r="N97" i="3"/>
  <c r="K49" i="4"/>
  <c r="K38" i="4"/>
  <c r="K39" i="4"/>
  <c r="K40" i="4"/>
  <c r="K41" i="4"/>
  <c r="K42" i="4"/>
  <c r="K43" i="4"/>
  <c r="K44" i="4"/>
  <c r="K45" i="4"/>
  <c r="K46" i="4"/>
  <c r="K47" i="4"/>
  <c r="K36" i="4"/>
  <c r="K37" i="4"/>
  <c r="K32" i="4"/>
  <c r="K33" i="4"/>
  <c r="K34" i="4"/>
  <c r="K35" i="4"/>
  <c r="K31" i="4" l="1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F66" i="3"/>
  <c r="G66" i="3"/>
  <c r="H66" i="3"/>
  <c r="I66" i="3"/>
  <c r="J66" i="3"/>
  <c r="N66" i="3"/>
  <c r="F67" i="3"/>
  <c r="G67" i="3"/>
  <c r="H67" i="3"/>
  <c r="I67" i="3"/>
  <c r="J67" i="3"/>
  <c r="N67" i="3"/>
  <c r="F68" i="3"/>
  <c r="G68" i="3"/>
  <c r="H68" i="3"/>
  <c r="I68" i="3"/>
  <c r="J68" i="3"/>
  <c r="N68" i="3"/>
  <c r="F69" i="3"/>
  <c r="G69" i="3"/>
  <c r="H69" i="3"/>
  <c r="I69" i="3"/>
  <c r="J69" i="3"/>
  <c r="N69" i="3"/>
  <c r="F70" i="3"/>
  <c r="G70" i="3"/>
  <c r="H70" i="3"/>
  <c r="I70" i="3"/>
  <c r="J70" i="3"/>
  <c r="N70" i="3"/>
  <c r="F83" i="3"/>
  <c r="G83" i="3"/>
  <c r="H83" i="3"/>
  <c r="I83" i="3"/>
  <c r="J83" i="3"/>
  <c r="N83" i="3"/>
  <c r="F85" i="3"/>
  <c r="G85" i="3"/>
  <c r="H85" i="3"/>
  <c r="I85" i="3"/>
  <c r="J85" i="3"/>
  <c r="N85" i="3"/>
  <c r="F86" i="3"/>
  <c r="G86" i="3"/>
  <c r="H86" i="3"/>
  <c r="I86" i="3"/>
  <c r="J86" i="3"/>
  <c r="N86" i="3"/>
  <c r="F87" i="3"/>
  <c r="G87" i="3"/>
  <c r="H87" i="3"/>
  <c r="I87" i="3"/>
  <c r="J87" i="3"/>
  <c r="N87" i="3"/>
  <c r="F102" i="3" l="1"/>
  <c r="F103" i="3"/>
  <c r="F104" i="3"/>
  <c r="F105" i="3"/>
  <c r="F107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G102" i="3"/>
  <c r="G103" i="3"/>
  <c r="G104" i="3"/>
  <c r="G105" i="3"/>
  <c r="G107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H102" i="3"/>
  <c r="H103" i="3"/>
  <c r="H104" i="3"/>
  <c r="H105" i="3"/>
  <c r="H107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I102" i="3"/>
  <c r="I103" i="3"/>
  <c r="I104" i="3"/>
  <c r="I105" i="3"/>
  <c r="I107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J102" i="3"/>
  <c r="J103" i="3"/>
  <c r="J104" i="3"/>
  <c r="J105" i="3"/>
  <c r="J107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N102" i="3"/>
  <c r="N103" i="3"/>
  <c r="N104" i="3"/>
  <c r="N105" i="3"/>
  <c r="N107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F16" i="3"/>
  <c r="G16" i="3"/>
  <c r="H16" i="3"/>
  <c r="I16" i="3"/>
  <c r="J16" i="3"/>
  <c r="N16" i="3"/>
  <c r="F15" i="3"/>
  <c r="G15" i="3"/>
  <c r="H15" i="3"/>
  <c r="I15" i="3"/>
  <c r="J15" i="3"/>
  <c r="N15" i="3"/>
  <c r="F17" i="3"/>
  <c r="G17" i="3"/>
  <c r="H17" i="3"/>
  <c r="I17" i="3"/>
  <c r="J17" i="3"/>
  <c r="N17" i="3"/>
  <c r="F18" i="3"/>
  <c r="G18" i="3"/>
  <c r="H18" i="3"/>
  <c r="I18" i="3"/>
  <c r="J18" i="3"/>
  <c r="N18" i="3"/>
  <c r="F19" i="3"/>
  <c r="G19" i="3"/>
  <c r="H19" i="3"/>
  <c r="I19" i="3"/>
  <c r="J19" i="3"/>
  <c r="N19" i="3"/>
  <c r="F20" i="3"/>
  <c r="G20" i="3"/>
  <c r="H20" i="3"/>
  <c r="I20" i="3"/>
  <c r="J20" i="3"/>
  <c r="N20" i="3"/>
  <c r="N100" i="3" l="1"/>
  <c r="J100" i="3"/>
  <c r="I100" i="3"/>
  <c r="H100" i="3"/>
  <c r="G100" i="3"/>
  <c r="F100" i="3"/>
  <c r="F94" i="3" l="1"/>
  <c r="F95" i="3"/>
  <c r="F96" i="3"/>
  <c r="F99" i="3"/>
  <c r="F101" i="3"/>
  <c r="G94" i="3"/>
  <c r="G95" i="3"/>
  <c r="G96" i="3"/>
  <c r="G99" i="3"/>
  <c r="G101" i="3"/>
  <c r="H94" i="3"/>
  <c r="H95" i="3"/>
  <c r="H96" i="3"/>
  <c r="H99" i="3"/>
  <c r="H101" i="3"/>
  <c r="I94" i="3"/>
  <c r="I95" i="3"/>
  <c r="I96" i="3"/>
  <c r="I99" i="3"/>
  <c r="I101" i="3"/>
  <c r="J94" i="3"/>
  <c r="J95" i="3"/>
  <c r="J96" i="3"/>
  <c r="J99" i="3"/>
  <c r="J101" i="3"/>
  <c r="N94" i="3"/>
  <c r="N95" i="3"/>
  <c r="N96" i="3"/>
  <c r="N99" i="3"/>
  <c r="N101" i="3"/>
  <c r="N36" i="3"/>
  <c r="F28" i="3" l="1"/>
  <c r="G28" i="3"/>
  <c r="H28" i="3"/>
  <c r="I28" i="3"/>
  <c r="J28" i="3"/>
  <c r="N28" i="3"/>
  <c r="F29" i="3"/>
  <c r="G29" i="3"/>
  <c r="H29" i="3"/>
  <c r="I29" i="3"/>
  <c r="J29" i="3"/>
  <c r="N29" i="3"/>
  <c r="F30" i="3"/>
  <c r="G30" i="3"/>
  <c r="H30" i="3"/>
  <c r="I30" i="3"/>
  <c r="J30" i="3"/>
  <c r="N30" i="3"/>
  <c r="F31" i="3"/>
  <c r="G31" i="3"/>
  <c r="H31" i="3"/>
  <c r="I31" i="3"/>
  <c r="J31" i="3"/>
  <c r="N31" i="3"/>
  <c r="F32" i="3"/>
  <c r="G32" i="3"/>
  <c r="H32" i="3"/>
  <c r="I32" i="3"/>
  <c r="J32" i="3"/>
  <c r="N32" i="3"/>
  <c r="F33" i="3"/>
  <c r="G33" i="3"/>
  <c r="H33" i="3"/>
  <c r="I33" i="3"/>
  <c r="J33" i="3"/>
  <c r="N33" i="3"/>
  <c r="F34" i="3"/>
  <c r="G34" i="3"/>
  <c r="H34" i="3"/>
  <c r="I34" i="3"/>
  <c r="J34" i="3"/>
  <c r="N34" i="3"/>
  <c r="F35" i="3"/>
  <c r="G35" i="3"/>
  <c r="H35" i="3"/>
  <c r="I35" i="3"/>
  <c r="J35" i="3"/>
  <c r="N35" i="3"/>
  <c r="F36" i="3"/>
  <c r="G36" i="3"/>
  <c r="H36" i="3"/>
  <c r="I36" i="3"/>
  <c r="J36" i="3"/>
  <c r="F37" i="3"/>
  <c r="G37" i="3"/>
  <c r="H37" i="3"/>
  <c r="I37" i="3"/>
  <c r="J37" i="3"/>
  <c r="N37" i="3"/>
  <c r="F38" i="3"/>
  <c r="G38" i="3"/>
  <c r="H38" i="3"/>
  <c r="I38" i="3"/>
  <c r="J38" i="3"/>
  <c r="N38" i="3"/>
  <c r="F39" i="3"/>
  <c r="G39" i="3"/>
  <c r="H39" i="3"/>
  <c r="I39" i="3"/>
  <c r="J39" i="3"/>
  <c r="N39" i="3"/>
  <c r="F40" i="3"/>
  <c r="G40" i="3"/>
  <c r="H40" i="3"/>
  <c r="I40" i="3"/>
  <c r="J40" i="3"/>
  <c r="N40" i="3"/>
  <c r="F14" i="3"/>
  <c r="G14" i="3"/>
  <c r="H14" i="3"/>
  <c r="I14" i="3"/>
  <c r="J14" i="3"/>
  <c r="N14" i="3"/>
  <c r="F21" i="3"/>
  <c r="G21" i="3"/>
  <c r="H21" i="3"/>
  <c r="I21" i="3"/>
  <c r="J21" i="3"/>
  <c r="N21" i="3"/>
  <c r="F22" i="3"/>
  <c r="G22" i="3"/>
  <c r="H22" i="3"/>
  <c r="I22" i="3"/>
  <c r="J22" i="3"/>
  <c r="N22" i="3"/>
  <c r="F23" i="3"/>
  <c r="G23" i="3"/>
  <c r="H23" i="3"/>
  <c r="I23" i="3"/>
  <c r="J23" i="3"/>
  <c r="N23" i="3"/>
  <c r="F24" i="3"/>
  <c r="G24" i="3"/>
  <c r="H24" i="3"/>
  <c r="I24" i="3"/>
  <c r="J24" i="3"/>
  <c r="N24" i="3"/>
  <c r="F27" i="3"/>
  <c r="G27" i="3"/>
  <c r="H27" i="3"/>
  <c r="I27" i="3"/>
  <c r="J27" i="3"/>
  <c r="N27" i="3"/>
  <c r="F41" i="3"/>
  <c r="G41" i="3"/>
  <c r="H41" i="3"/>
  <c r="I41" i="3"/>
  <c r="J41" i="3"/>
  <c r="N41" i="3"/>
  <c r="F65" i="3"/>
  <c r="F88" i="3"/>
  <c r="F89" i="3"/>
  <c r="F90" i="3"/>
  <c r="F91" i="3"/>
  <c r="F92" i="3"/>
  <c r="F93" i="3"/>
  <c r="G65" i="3"/>
  <c r="G88" i="3"/>
  <c r="G89" i="3"/>
  <c r="G90" i="3"/>
  <c r="G91" i="3"/>
  <c r="G92" i="3"/>
  <c r="G93" i="3"/>
  <c r="H65" i="3"/>
  <c r="H88" i="3"/>
  <c r="H89" i="3"/>
  <c r="H90" i="3"/>
  <c r="H91" i="3"/>
  <c r="H92" i="3"/>
  <c r="H93" i="3"/>
  <c r="I65" i="3"/>
  <c r="I88" i="3"/>
  <c r="I89" i="3"/>
  <c r="I90" i="3"/>
  <c r="I91" i="3"/>
  <c r="I92" i="3"/>
  <c r="I93" i="3"/>
  <c r="J65" i="3"/>
  <c r="J88" i="3"/>
  <c r="J89" i="3"/>
  <c r="J90" i="3"/>
  <c r="J91" i="3"/>
  <c r="J92" i="3"/>
  <c r="J93" i="3"/>
  <c r="N65" i="3"/>
  <c r="N88" i="3"/>
  <c r="N89" i="3"/>
  <c r="N90" i="3"/>
  <c r="N91" i="3"/>
  <c r="N92" i="3"/>
  <c r="N93" i="3"/>
  <c r="H11" i="3"/>
  <c r="H42" i="3"/>
  <c r="H43" i="3"/>
  <c r="H44" i="3"/>
  <c r="H45" i="3"/>
  <c r="H46" i="3"/>
  <c r="H47" i="3"/>
  <c r="H48" i="3"/>
  <c r="H49" i="3"/>
  <c r="H50" i="3"/>
  <c r="H51" i="3"/>
  <c r="H52" i="3"/>
  <c r="H53" i="3"/>
  <c r="H55" i="3"/>
  <c r="H56" i="3"/>
  <c r="H57" i="3"/>
  <c r="H58" i="3"/>
  <c r="H59" i="3"/>
  <c r="H60" i="3"/>
  <c r="H61" i="3"/>
  <c r="H62" i="3"/>
  <c r="H63" i="3"/>
  <c r="H64" i="3"/>
  <c r="N11" i="3"/>
  <c r="N42" i="3"/>
  <c r="N43" i="3"/>
  <c r="N44" i="3"/>
  <c r="N45" i="3"/>
  <c r="N46" i="3"/>
  <c r="N47" i="3"/>
  <c r="N48" i="3"/>
  <c r="N49" i="3"/>
  <c r="N50" i="3"/>
  <c r="N51" i="3"/>
  <c r="N52" i="3"/>
  <c r="N53" i="3"/>
  <c r="N55" i="3"/>
  <c r="N56" i="3"/>
  <c r="N57" i="3"/>
  <c r="N58" i="3"/>
  <c r="N59" i="3"/>
  <c r="N60" i="3"/>
  <c r="N61" i="3"/>
  <c r="N62" i="3"/>
  <c r="N63" i="3"/>
  <c r="N64" i="3"/>
  <c r="J11" i="3" l="1"/>
  <c r="J42" i="3"/>
  <c r="J43" i="3"/>
  <c r="J44" i="3"/>
  <c r="J45" i="3"/>
  <c r="J46" i="3"/>
  <c r="J47" i="3"/>
  <c r="J48" i="3"/>
  <c r="J49" i="3"/>
  <c r="J50" i="3"/>
  <c r="J51" i="3"/>
  <c r="J52" i="3"/>
  <c r="J53" i="3"/>
  <c r="J55" i="3"/>
  <c r="J56" i="3"/>
  <c r="J57" i="3"/>
  <c r="J58" i="3"/>
  <c r="J59" i="3"/>
  <c r="J60" i="3"/>
  <c r="J61" i="3"/>
  <c r="J62" i="3"/>
  <c r="J63" i="3"/>
  <c r="J64" i="3"/>
  <c r="I11" i="3"/>
  <c r="I42" i="3"/>
  <c r="I43" i="3"/>
  <c r="I44" i="3"/>
  <c r="I45" i="3"/>
  <c r="I46" i="3"/>
  <c r="I47" i="3"/>
  <c r="I48" i="3"/>
  <c r="I49" i="3"/>
  <c r="I50" i="3"/>
  <c r="I51" i="3"/>
  <c r="I52" i="3"/>
  <c r="I53" i="3"/>
  <c r="I55" i="3"/>
  <c r="I56" i="3"/>
  <c r="I57" i="3"/>
  <c r="I58" i="3"/>
  <c r="I59" i="3"/>
  <c r="I60" i="3"/>
  <c r="I61" i="3"/>
  <c r="I62" i="3"/>
  <c r="I63" i="3"/>
  <c r="I64" i="3"/>
  <c r="G11" i="3"/>
  <c r="G42" i="3"/>
  <c r="G43" i="3"/>
  <c r="G44" i="3"/>
  <c r="G45" i="3"/>
  <c r="G46" i="3"/>
  <c r="G47" i="3"/>
  <c r="G48" i="3"/>
  <c r="G49" i="3"/>
  <c r="G50" i="3"/>
  <c r="G51" i="3"/>
  <c r="G52" i="3"/>
  <c r="G53" i="3"/>
  <c r="G55" i="3"/>
  <c r="G56" i="3"/>
  <c r="G57" i="3"/>
  <c r="G58" i="3"/>
  <c r="G59" i="3"/>
  <c r="G60" i="3"/>
  <c r="G61" i="3"/>
  <c r="G62" i="3"/>
  <c r="G63" i="3"/>
  <c r="G64" i="3"/>
  <c r="F11" i="3"/>
  <c r="F42" i="3"/>
  <c r="F43" i="3"/>
  <c r="F44" i="3"/>
  <c r="F45" i="3"/>
  <c r="F46" i="3"/>
  <c r="F47" i="3"/>
  <c r="F48" i="3"/>
  <c r="F49" i="3"/>
  <c r="F50" i="3"/>
  <c r="F51" i="3"/>
  <c r="F52" i="3"/>
  <c r="F53" i="3"/>
  <c r="F55" i="3"/>
  <c r="F56" i="3"/>
  <c r="F57" i="3"/>
  <c r="F58" i="3"/>
  <c r="F59" i="3"/>
  <c r="F60" i="3"/>
  <c r="F61" i="3"/>
  <c r="F62" i="3"/>
  <c r="F63" i="3"/>
  <c r="F64" i="3"/>
  <c r="T56" i="2" l="1" a="1"/>
  <c r="T5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<sst xmlns="http://schemas.openxmlformats.org/spreadsheetml/2006/main" count="5290" uniqueCount="1109">
  <si>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</si>
  <si>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</si>
  <si>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</si>
  <si>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</si>
  <si>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</si>
  <si>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</si>
  <si>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</si>
  <si>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</si>
  <si>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</si>
  <si>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</si>
  <si>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</si>
  <si>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</si>
  <si>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</si>
  <si>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</si>
  <si>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</si>
  <si>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</si>
  <si>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</si>
  <si>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</si>
  <si>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</si>
  <si>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</si>
  <si>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</si>
  <si>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</si>
  <si>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</si>
  <si>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</si>
  <si>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</si>
  <si>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</si>
  <si>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</si>
  <si>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</si>
  <si>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</si>
  <si>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</si>
  <si>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</si>
  <si>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</si>
  <si>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</si>
  <si>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</si>
  <si>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</si>
  <si>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</si>
  <si>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</si>
  <si>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</si>
  <si>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</si>
  <si>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</si>
  <si>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</si>
  <si>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</si>
  <si>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</si>
  <si>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</si>
  <si>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</si>
  <si>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</si>
  <si>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</si>
  <si>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</si>
  <si>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</si>
  <si>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</si>
  <si>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</si>
  <si>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</si>
  <si>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</si>
  <si>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</si>
  <si>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</si>
  <si>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</si>
  <si>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</si>
  <si>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</si>
  <si>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</si>
  <si>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</si>
  <si>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</si>
  <si>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</si>
  <si>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</si>
  <si>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</si>
  <si>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</si>
  <si>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</si>
  <si>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</si>
  <si>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</si>
  <si>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</si>
  <si>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</si>
  <si>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</si>
  <si>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</si>
  <si>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</si>
  <si>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</si>
  <si>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</si>
  <si>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</si>
  <si>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</si>
  <si>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</si>
  <si>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</si>
  <si>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</si>
  <si>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</si>
  <si>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</si>
  <si>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</si>
  <si>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</si>
  <si>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</si>
  <si>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</si>
  <si>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</si>
  <si>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</si>
  <si>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</si>
  <si>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</si>
  <si>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</si>
  <si>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</si>
  <si>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</si>
  <si>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</si>
  <si>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</si>
  <si>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</si>
  <si>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</si>
  <si>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</si>
  <si>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</si>
  <si>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</si>
  <si>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</si>
  <si>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</si>
  <si>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</si>
  <si>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</si>
  <si>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</si>
  <si>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</si>
  <si>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</si>
  <si>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</si>
  <si>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</si>
  <si>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</si>
  <si>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</si>
  <si>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</si>
  <si>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</si>
  <si>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</si>
  <si>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</si>
  <si>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</si>
  <si>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</si>
  <si>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</si>
  <si>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</si>
  <si>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</si>
  <si>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</si>
  <si>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</si>
  <si>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</si>
  <si>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</si>
  <si>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</si>
  <si>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</si>
  <si>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</si>
  <si>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</si>
  <si>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</si>
  <si>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</si>
  <si>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</si>
  <si>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</si>
  <si>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</si>
  <si>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</si>
  <si>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</si>
  <si>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</si>
  <si>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</si>
  <si>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</si>
  <si>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</si>
  <si>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</si>
  <si>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</si>
  <si>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</si>
  <si>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</si>
  <si>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</si>
  <si>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</si>
  <si>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</si>
  <si>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</si>
  <si>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</si>
  <si>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</si>
  <si>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</si>
  <si>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</si>
  <si>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</si>
  <si>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</si>
  <si>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</si>
  <si>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</si>
  <si>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</si>
  <si>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</si>
  <si>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</si>
  <si>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</si>
  <si>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</si>
  <si>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</si>
  <si>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</si>
  <si>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</si>
  <si>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</si>
  <si>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</si>
  <si>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</si>
  <si>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</si>
  <si>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</si>
  <si>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</si>
  <si>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</si>
  <si>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</si>
  <si>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</si>
  <si>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</si>
  <si>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</si>
  <si>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</si>
  <si>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</si>
  <si>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</si>
  <si>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</si>
  <si>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</si>
  <si>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</si>
  <si>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</si>
  <si>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</si>
  <si>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</si>
  <si>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</si>
  <si>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</si>
  <si>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</si>
  <si>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</si>
  <si>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</si>
  <si>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</si>
  <si>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</si>
  <si>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</si>
  <si>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</si>
  <si>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</si>
  <si>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</si>
  <si>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</si>
  <si>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</si>
  <si>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</si>
  <si>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</si>
  <si>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</si>
  <si>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</si>
  <si>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</si>
  <si>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</si>
  <si>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</si>
  <si>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</si>
  <si>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</si>
  <si>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</si>
  <si>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</si>
  <si>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</si>
  <si>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</si>
  <si>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</si>
  <si>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</si>
  <si>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</si>
  <si>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</si>
  <si>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+1000W全模电源</t>
  </si>
  <si>
    <t>UD1000GM PG5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</si>
  <si>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</si>
  <si>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</si>
  <si>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</si>
  <si>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</si>
  <si>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</si>
  <si>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</si>
  <si>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</si>
  <si>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</si>
  <si>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</si>
  <si>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</si>
  <si>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</si>
  <si>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</si>
  <si>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</si>
  <si>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</si>
  <si>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</si>
  <si>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</si>
  <si>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</si>
  <si>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</si>
  <si>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</si>
  <si>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</si>
  <si>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</si>
  <si>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</si>
  <si>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</si>
  <si>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</si>
  <si>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</si>
  <si>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</si>
  <si>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</si>
  <si>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</si>
  <si>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</si>
  <si>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</si>
  <si>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</si>
  <si>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</si>
  <si>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</si>
  <si>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</si>
  <si>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</si>
  <si>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</si>
  <si>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</si>
  <si>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</si>
  <si>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</si>
  <si>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</si>
  <si>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</si>
  <si>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</si>
  <si>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</si>
  <si>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</si>
  <si>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</si>
  <si>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</si>
  <si>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</si>
  <si>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</si>
  <si>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</si>
  <si>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</si>
  <si>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</si>
  <si>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</si>
  <si>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UD850GM</t>
  </si>
  <si>
    <t>P550SS 黑色(ATX3.1/银牌)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</si>
  <si>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</si>
  <si>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</si>
  <si>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</si>
  <si>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</si>
  <si>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</si>
  <si>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</si>
  <si>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</si>
  <si>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</si>
  <si>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</si>
  <si>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</si>
  <si>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</si>
  <si>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</si>
  <si>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</si>
  <si>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</si>
  <si>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</si>
  <si>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</si>
  <si>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</si>
  <si>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</si>
  <si>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</si>
  <si>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</si>
  <si>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</si>
  <si>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</si>
  <si>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</si>
  <si>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</si>
  <si>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</si>
  <si>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</si>
  <si>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</si>
  <si>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</si>
  <si>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</si>
  <si>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</si>
  <si>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</si>
  <si>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</si>
  <si>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</si>
  <si>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</si>
  <si>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</si>
  <si>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</si>
  <si>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</si>
  <si>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</si>
  <si>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</si>
  <si>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</si>
  <si>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</si>
  <si>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</si>
  <si>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</si>
  <si>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</si>
  <si>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</si>
  <si>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</si>
  <si>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</si>
  <si>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</si>
  <si>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</si>
  <si>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</si>
  <si>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</si>
  <si>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</si>
  <si>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</si>
  <si>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</si>
  <si>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</si>
  <si>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</si>
  <si>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</si>
  <si>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</si>
  <si>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</si>
  <si>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</si>
  <si>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</si>
  <si>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</si>
  <si>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</si>
  <si>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</si>
  <si>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</si>
  <si>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</si>
  <si>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</si>
  <si>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</si>
  <si>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</si>
  <si>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</si>
  <si>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</si>
  <si>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</si>
  <si>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</si>
  <si>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</si>
  <si>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</si>
  <si>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</si>
  <si>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</si>
  <si>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</si>
  <si>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</si>
  <si>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</si>
  <si>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</si>
  <si>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</si>
  <si>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</si>
  <si>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</si>
  <si>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</si>
  <si>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</si>
  <si>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</si>
  <si>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</si>
  <si>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</si>
  <si>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</si>
  <si>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</si>
  <si>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</si>
  <si>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</si>
  <si>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</si>
  <si>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</si>
  <si>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</si>
  <si>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</si>
  <si>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</si>
  <si>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</si>
  <si>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</si>
  <si>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</si>
  <si>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</si>
  <si>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</si>
  <si>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</si>
  <si>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</si>
  <si>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</si>
  <si>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</si>
  <si>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</si>
  <si>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</si>
  <si>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</si>
  <si>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</si>
  <si>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</si>
  <si>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</si>
  <si>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</si>
  <si>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</si>
  <si>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</si>
  <si>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</si>
  <si>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</si>
  <si>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</si>
  <si>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</si>
  <si>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</si>
  <si>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</si>
  <si>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</si>
  <si>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</si>
  <si>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</si>
  <si>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</si>
  <si>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</si>
  <si>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</si>
  <si>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</si>
  <si>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</si>
  <si>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</si>
  <si>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</si>
  <si>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</si>
  <si>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</si>
  <si>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</si>
  <si>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</si>
  <si>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</si>
  <si>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</si>
  <si>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</si>
  <si>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</si>
  <si>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</si>
  <si>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</si>
  <si>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</si>
  <si>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</si>
  <si>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</si>
  <si>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</si>
  <si>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</si>
  <si>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</si>
  <si>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</si>
  <si>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</si>
  <si>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</si>
  <si>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</si>
  <si>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</si>
  <si>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</si>
  <si>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</si>
  <si>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</si>
  <si>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</si>
  <si>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</si>
  <si>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</si>
  <si>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</si>
  <si>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</si>
  <si>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</si>
  <si>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</si>
  <si>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</si>
  <si>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</si>
  <si>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</si>
  <si>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</si>
  <si>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</si>
  <si>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>16G 小雕</t>
    <phoneticPr fontId="6" type="noConversion"/>
  </si>
  <si>
    <t>服务器级导热凝胶</t>
  </si>
  <si>
    <t>正逆转仿生风扇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</si>
  <si>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</si>
  <si>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</si>
  <si>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</si>
  <si>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</si>
  <si>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</si>
  <si>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</si>
  <si>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</si>
  <si>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</si>
  <si>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</si>
  <si>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</si>
  <si>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</si>
  <si>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</si>
  <si>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</si>
  <si>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</si>
  <si>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</si>
  <si>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</si>
  <si>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</si>
  <si>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</si>
  <si>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</si>
  <si>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</si>
  <si>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</si>
  <si>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</si>
  <si>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</si>
  <si>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</si>
  <si>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</si>
  <si>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</si>
  <si>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</si>
  <si>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</si>
  <si>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</si>
  <si>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</si>
  <si>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</si>
  <si>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</si>
  <si>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</si>
  <si>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</si>
  <si>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</si>
  <si>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</si>
  <si>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</si>
  <si>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</si>
  <si>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</si>
  <si>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</si>
  <si>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</si>
  <si>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</si>
  <si>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</si>
  <si>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</si>
  <si>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</si>
  <si>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GV-N5050GAMING OC-8GD</t>
    <phoneticPr fontId="6" type="noConversion"/>
  </si>
  <si>
    <t>GV-N5050OC-8GL</t>
    <phoneticPr fontId="6" type="noConversion"/>
  </si>
  <si>
    <t>GV-N5050WF2OC-8GD</t>
    <phoneticPr fontId="6" type="noConversion"/>
  </si>
  <si>
    <t>RTX5050 8G</t>
    <phoneticPr fontId="6" type="noConversion"/>
  </si>
  <si>
    <t>DP2.1bx2+HDM2.1bx2</t>
    <phoneticPr fontId="6" type="noConversion"/>
  </si>
  <si>
    <t>280*117*40 mm</t>
    <phoneticPr fontId="6" type="noConversion"/>
  </si>
  <si>
    <t>8GB / GDDR6</t>
    <phoneticPr fontId="6" type="noConversion"/>
  </si>
  <si>
    <t>2632 MHz</t>
    <phoneticPr fontId="6" type="noConversion"/>
  </si>
  <si>
    <t>2560</t>
    <phoneticPr fontId="6" type="noConversion"/>
  </si>
  <si>
    <t>421 AI TOPS</t>
    <phoneticPr fontId="6" type="noConversion"/>
  </si>
  <si>
    <t>RTX5050</t>
    <phoneticPr fontId="6" type="noConversion"/>
  </si>
  <si>
    <t>WF OC</t>
    <phoneticPr fontId="6" type="noConversion"/>
  </si>
  <si>
    <t>AI算力421 TOPS</t>
    <phoneticPr fontId="6" type="noConversion"/>
  </si>
  <si>
    <t>石墨烯润滑油</t>
  </si>
  <si>
    <t>精巧半高卡设计丨25</t>
    <phoneticPr fontId="6" type="noConversion"/>
  </si>
  <si>
    <t>3D智能启停</t>
    <phoneticPr fontId="6" type="noConversion"/>
  </si>
  <si>
    <t>5050 OC-8GL半高卡</t>
  </si>
  <si>
    <t>5050 WF2OC-8GD风魔</t>
  </si>
  <si>
    <t>5050 GAMING OC-8GD魔鹰</t>
  </si>
  <si>
    <t>5050 OC-8GL半高卡2</t>
    <phoneticPr fontId="6" type="noConversion"/>
  </si>
  <si>
    <t>5050 WF2OC-8GD风魔2</t>
    <phoneticPr fontId="6" type="noConversion"/>
  </si>
  <si>
    <t>5050 GAMING OC-8GD魔鹰</t>
    <phoneticPr fontId="6" type="noConversion"/>
  </si>
  <si>
    <t>5050 GAMING OC-8GD魔鹰2</t>
    <phoneticPr fontId="6" type="noConversion"/>
  </si>
  <si>
    <t>4060 OC-8GL 半高刀卡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</si>
  <si>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</si>
  <si>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</si>
  <si>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</si>
  <si>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</si>
  <si>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</si>
  <si>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4060Ti EAGLE OC-8GD 猎鹰OC</t>
  </si>
  <si>
    <t>4070S GAMING OC-12GD 魔鹰</t>
  </si>
  <si>
    <t>1030OC-2GI</t>
  </si>
  <si>
    <t>OC - 2GI</t>
    <phoneticPr fontId="6" type="noConversion"/>
  </si>
  <si>
    <t>耐久之选</t>
    <phoneticPr fontId="6" type="noConversion"/>
  </si>
  <si>
    <t>半高刀卡</t>
    <phoneticPr fontId="6" type="noConversion"/>
  </si>
  <si>
    <t>RTX4060</t>
    <phoneticPr fontId="6" type="noConversion"/>
  </si>
  <si>
    <t>GT1030 2GI</t>
    <phoneticPr fontId="6" type="noConversion"/>
  </si>
  <si>
    <t>OC - 8GL</t>
    <phoneticPr fontId="6" type="noConversion"/>
  </si>
  <si>
    <t>8G 风魔</t>
    <phoneticPr fontId="6" type="noConversion"/>
  </si>
  <si>
    <t>8G 雪鹰</t>
    <phoneticPr fontId="6" type="noConversion"/>
  </si>
  <si>
    <t>8G 冰猎鹰</t>
    <phoneticPr fontId="6" type="noConversion"/>
  </si>
  <si>
    <t>8G 猎鹰</t>
    <phoneticPr fontId="6" type="noConversion"/>
  </si>
  <si>
    <t>WF2OC</t>
    <phoneticPr fontId="6" type="noConversion"/>
  </si>
  <si>
    <t>EAGLE OC</t>
    <phoneticPr fontId="6" type="noConversion"/>
  </si>
  <si>
    <t>EAGLE ICE OC</t>
    <phoneticPr fontId="6" type="noConversion"/>
  </si>
  <si>
    <t>RTX4060Ti</t>
    <phoneticPr fontId="6" type="noConversion"/>
  </si>
  <si>
    <t>RTX4070 S</t>
    <phoneticPr fontId="6" type="noConversion"/>
  </si>
  <si>
    <t>12G魔鹰</t>
    <phoneticPr fontId="6" type="noConversion"/>
  </si>
  <si>
    <t>正逆转风扇</t>
    <phoneticPr fontId="6" type="noConversion"/>
  </si>
  <si>
    <t>白金雕 AE1000PM PG5 黑（ATX3.1）</t>
  </si>
  <si>
    <t>GV-N5060WF2MAX OC-8GD</t>
  </si>
  <si>
    <t>GV-N5060EAGLEMAX OC-8GD</t>
  </si>
  <si>
    <t>GV-N5060EAGLEMAX OC-8GD</t>
    <phoneticPr fontId="6" type="noConversion"/>
  </si>
  <si>
    <t>GV-N506TWF2MAX OC-8GD</t>
  </si>
  <si>
    <t>GV-N506TWF2MAX OC-8GD</t>
    <phoneticPr fontId="6" type="noConversion"/>
  </si>
  <si>
    <t>GV-N506TEAGLEMAX OC-8GD</t>
  </si>
  <si>
    <t>GV-N506TEAGLEMAX OC-8GD</t>
    <phoneticPr fontId="6" type="noConversion"/>
  </si>
  <si>
    <t>GV-N506TWF2MAX OC-16GD</t>
  </si>
  <si>
    <t>GV-N506TWF2MAX OC-16GD</t>
    <phoneticPr fontId="6" type="noConversion"/>
  </si>
  <si>
    <t>5060 WF2MAX OC-8GD风魔MAX</t>
  </si>
  <si>
    <t>5060 EAGLEMAX OC-8GD猎鹰MAX</t>
  </si>
  <si>
    <t>5060Ti EAGLEMAX OC-8GD猎鹰MAX</t>
  </si>
  <si>
    <t>5060Ti EAGLEMAX OC-16GD猎鹰MAX</t>
  </si>
  <si>
    <t>新上</t>
  </si>
  <si>
    <t>5060 AORUS E-8GD小雕</t>
    <phoneticPr fontId="6" type="noConversion"/>
  </si>
  <si>
    <t>正逆转三风扇</t>
    <phoneticPr fontId="6" type="noConversion"/>
  </si>
  <si>
    <t>GV-N506TEAGLEMAX OC-16GD</t>
  </si>
  <si>
    <t>GV-N506TWF2-8GD</t>
    <phoneticPr fontId="6" type="noConversion"/>
  </si>
  <si>
    <t>WF2 MAX OC</t>
    <phoneticPr fontId="6" type="noConversion"/>
  </si>
  <si>
    <t>EAGLE MAX</t>
    <phoneticPr fontId="6" type="noConversion"/>
  </si>
  <si>
    <t>16G大显存</t>
  </si>
  <si>
    <t>RTX5060Ti 8G</t>
  </si>
  <si>
    <t>759 AI TOPS</t>
  </si>
  <si>
    <t>4608</t>
  </si>
  <si>
    <t>8GB / GDDR7</t>
  </si>
  <si>
    <t>28 Gbps /128bit</t>
  </si>
  <si>
    <t>8 pin*1 /650W</t>
  </si>
  <si>
    <t>208*120*40 mm</t>
  </si>
  <si>
    <t>WF MAX OC风魔</t>
    <phoneticPr fontId="6" type="noConversion"/>
  </si>
  <si>
    <t>EAGLE MAX OC 猎鹰</t>
  </si>
  <si>
    <t>EAGLE MAX OC 猎鹰</t>
    <phoneticPr fontId="6" type="noConversion"/>
  </si>
  <si>
    <t>281*115*40 mm</t>
  </si>
  <si>
    <t>281*115*40 mm</t>
    <phoneticPr fontId="6" type="noConversion"/>
  </si>
  <si>
    <t>可显性丨CPU丨</t>
    <phoneticPr fontId="6" type="noConversion"/>
  </si>
  <si>
    <t>可显性丨主板丨</t>
    <phoneticPr fontId="6" type="noConversion"/>
  </si>
  <si>
    <t>5060Ti WF2MAX OC-8GD风魔MAX</t>
  </si>
  <si>
    <t>5060Ti WF2MAX OC-16GD风魔MAX</t>
  </si>
  <si>
    <t>Z790M双雕</t>
    <phoneticPr fontId="6" type="noConversion"/>
  </si>
  <si>
    <t>intel logo</t>
    <phoneticPr fontId="6" type="noConversion"/>
  </si>
  <si>
    <t>i5 14600KF</t>
  </si>
  <si>
    <t>板U卡</t>
    <phoneticPr fontId="6" type="noConversion"/>
  </si>
  <si>
    <t>5060Ti WF2MAX OC-16GD风魔MAX</t>
    <phoneticPr fontId="6" type="noConversion"/>
  </si>
  <si>
    <t>5060Ti WF2MAX OC-8GD风魔MAX</t>
    <phoneticPr fontId="6" type="noConversion"/>
  </si>
  <si>
    <t>板U卡专用</t>
    <phoneticPr fontId="6" type="noConversion"/>
  </si>
  <si>
    <t>RTX5060</t>
  </si>
  <si>
    <t>WF2 MAX OC</t>
  </si>
  <si>
    <t>雪鹰 8G</t>
  </si>
  <si>
    <t>雪鹰 16G</t>
  </si>
  <si>
    <t>RTX5070</t>
  </si>
  <si>
    <t>正逆转三风扇</t>
  </si>
  <si>
    <t>5060 风魔</t>
  </si>
  <si>
    <t>5060 风魔</t>
    <phoneticPr fontId="6" type="noConversion"/>
  </si>
  <si>
    <t>5060 魔鹰</t>
  </si>
  <si>
    <t>5060 魔鹰</t>
    <phoneticPr fontId="6" type="noConversion"/>
  </si>
  <si>
    <t>5060 雪鹰</t>
  </si>
  <si>
    <t>5060 Ti 风魔</t>
  </si>
  <si>
    <t>5060 Ti 魔鹰</t>
  </si>
  <si>
    <t>5060 Ti 雪鹰</t>
  </si>
  <si>
    <t>5070 猎鹰</t>
  </si>
  <si>
    <t>5070 猎鹰</t>
    <phoneticPr fontId="6" type="noConversion"/>
  </si>
  <si>
    <t>5070 冰猎鹰</t>
  </si>
  <si>
    <t>5070 魔鹰</t>
  </si>
  <si>
    <t>5070 雪鹰</t>
  </si>
  <si>
    <t>5070Ti 猎鹰</t>
  </si>
  <si>
    <t>5070Ti 冰猎鹰</t>
  </si>
  <si>
    <t>5070Ti 魔鹰</t>
  </si>
  <si>
    <t>5070Ti 雪鹰</t>
  </si>
  <si>
    <t>14600KF</t>
    <phoneticPr fontId="6" type="noConversion"/>
  </si>
  <si>
    <t>Z790M雕</t>
    <phoneticPr fontId="6" type="noConversion"/>
  </si>
  <si>
    <t>主板注册四年保</t>
    <phoneticPr fontId="6" type="noConversion"/>
  </si>
  <si>
    <t>14核20线程</t>
    <phoneticPr fontId="6" type="noConversion"/>
  </si>
  <si>
    <t>i7 14700KF</t>
    <phoneticPr fontId="6" type="noConversion"/>
  </si>
  <si>
    <t>20核28线程</t>
    <phoneticPr fontId="6" type="noConversion"/>
  </si>
  <si>
    <t>技嘉 Z890 AORUS ELITE WIFI7 (小雕)</t>
  </si>
  <si>
    <t>Ultra 9 285K</t>
  </si>
  <si>
    <t>24核心24线程</t>
    <phoneticPr fontId="6" type="noConversion"/>
  </si>
  <si>
    <t>5090D GAMING-32GD 魔鹰</t>
  </si>
  <si>
    <t>5070魔鹰</t>
  </si>
  <si>
    <t>5070魔鹰</t>
    <phoneticPr fontId="6" type="noConversion"/>
  </si>
  <si>
    <t>5070雪鹰</t>
  </si>
  <si>
    <t>5070超级雕</t>
  </si>
  <si>
    <t>5080魔鹰</t>
  </si>
  <si>
    <t>5080雪鹰</t>
  </si>
  <si>
    <t>5080超级雕</t>
  </si>
  <si>
    <t>5080超级雕白</t>
  </si>
  <si>
    <t>5070雪鹰</t>
    <phoneticPr fontId="6" type="noConversion"/>
  </si>
  <si>
    <t>U9 285K</t>
    <phoneticPr fontId="6" type="noConversion"/>
  </si>
  <si>
    <t>Z890小雕</t>
    <phoneticPr fontId="6" type="noConversion"/>
  </si>
  <si>
    <t>RGB幻彩光圈</t>
  </si>
  <si>
    <t>银白雪装显卡</t>
  </si>
  <si>
    <t>5090D魔鹰</t>
    <phoneticPr fontId="6" type="noConversion"/>
  </si>
  <si>
    <t>5090D超级雕</t>
    <phoneticPr fontId="6" type="noConversion"/>
  </si>
  <si>
    <t>5090D超级雕白丨40</t>
    <phoneticPr fontId="6" type="noConversion"/>
  </si>
  <si>
    <t>白金雕</t>
    <phoneticPr fontId="6" type="noConversion"/>
  </si>
  <si>
    <t>全日系电容</t>
    <phoneticPr fontId="6" type="noConversion"/>
  </si>
  <si>
    <t>文本丨利益点丨利益点4</t>
  </si>
  <si>
    <t>GP-AE850PM PG5</t>
  </si>
  <si>
    <t>GP-AE850PM PG5</t>
    <phoneticPr fontId="6" type="noConversion"/>
  </si>
  <si>
    <t>GP-AE850PM PG5 ICE</t>
  </si>
  <si>
    <t>GP-AE1000PM PG5</t>
  </si>
  <si>
    <t>GP-AE1000PM PG5 ICE</t>
  </si>
  <si>
    <t>GP-AE850PM PG5 ICE</t>
    <phoneticPr fontId="6" type="noConversion"/>
  </si>
  <si>
    <t>GP-AE1000PM PG5</t>
    <phoneticPr fontId="6" type="noConversion"/>
  </si>
  <si>
    <t>AORUS磁吸板设计丨27</t>
    <phoneticPr fontId="6" type="noConversion"/>
  </si>
  <si>
    <t>可显性丨机电散丨</t>
    <phoneticPr fontId="6" type="noConversion"/>
  </si>
  <si>
    <t>M27UP</t>
  </si>
  <si>
    <t>M27UP</t>
    <phoneticPr fontId="6" type="noConversion"/>
  </si>
  <si>
    <t>FO27Q5P</t>
  </si>
  <si>
    <t>FO27Q2</t>
  </si>
  <si>
    <t>FO27Q3</t>
  </si>
  <si>
    <t>KVM支持 +战术键</t>
    <phoneticPr fontId="6" type="noConversion"/>
  </si>
  <si>
    <t>技嘉 OLED Care</t>
  </si>
  <si>
    <t>游戏辅助</t>
    <phoneticPr fontId="6" type="noConversion"/>
  </si>
  <si>
    <t>240Hz / 0.03ms</t>
    <phoneticPr fontId="6" type="noConversion"/>
  </si>
  <si>
    <t>机电散</t>
    <phoneticPr fontId="6" type="noConversion"/>
  </si>
  <si>
    <t>显卡日常优化</t>
    <phoneticPr fontId="6" type="noConversion"/>
  </si>
  <si>
    <t>AMD双雕</t>
  </si>
  <si>
    <t>RX7700XT GAMING OC 12G魔鹰</t>
  </si>
  <si>
    <t>7700XT魔鹰</t>
    <phoneticPr fontId="6" type="noConversion"/>
  </si>
  <si>
    <t>9060XT魔鹰</t>
  </si>
  <si>
    <t>9070GRE魔鹰</t>
  </si>
  <si>
    <t>9070魔鹰</t>
  </si>
  <si>
    <t>9070XT魔鹰</t>
  </si>
  <si>
    <t>9070XT小雕</t>
  </si>
  <si>
    <t>AMD  技嘉 logo</t>
    <phoneticPr fontId="6" type="noConversion"/>
  </si>
  <si>
    <t>GV-R77XTGAMING OC-12GD</t>
    <phoneticPr fontId="6" type="noConversion"/>
  </si>
  <si>
    <t>RX7700XT</t>
    <phoneticPr fontId="6" type="noConversion"/>
  </si>
  <si>
    <t>8G魔鹰</t>
    <phoneticPr fontId="6" type="noConversion"/>
  </si>
  <si>
    <t>板卡注册四年保</t>
    <phoneticPr fontId="6" type="noConversion"/>
  </si>
  <si>
    <t>电竞黑白双雕</t>
    <phoneticPr fontId="6" type="noConversion"/>
  </si>
  <si>
    <t>8核心16线程</t>
    <phoneticPr fontId="6" type="noConversion"/>
  </si>
  <si>
    <t>9000系 锐龙7</t>
    <phoneticPr fontId="6" type="noConversion"/>
  </si>
  <si>
    <t>RGB滑动侧板</t>
    <phoneticPr fontId="6" type="noConversion"/>
  </si>
  <si>
    <t>3D智能启停风扇丨30</t>
    <phoneticPr fontId="6" type="noConversion"/>
  </si>
  <si>
    <t>战圣Ⅱ P750GM</t>
  </si>
  <si>
    <t>XPG 魔核IISE 750G白(ATX3.0/PCIe5.0)</t>
  </si>
  <si>
    <t>战圣Ⅱ P750GM</t>
    <phoneticPr fontId="6" type="noConversion"/>
  </si>
  <si>
    <t>+750W模组电源</t>
    <phoneticPr fontId="6" type="noConversion"/>
  </si>
  <si>
    <t>XPG 魔核IISE 750G白</t>
    <phoneticPr fontId="6" type="noConversion"/>
  </si>
  <si>
    <t>24期</t>
  </si>
  <si>
    <t>12期</t>
    <phoneticPr fontId="6" type="noConversion"/>
  </si>
  <si>
    <t>GS27FC</t>
  </si>
  <si>
    <t>GS27QC</t>
  </si>
  <si>
    <t>GS32QC</t>
  </si>
  <si>
    <t>KVM支持 +战术键</t>
  </si>
  <si>
    <t>游戏辅助</t>
  </si>
  <si>
    <t>OSD仪表盘</t>
  </si>
  <si>
    <t>360Hz / 0.03ms</t>
  </si>
  <si>
    <t>500Hz / 0.03ms</t>
  </si>
  <si>
    <t>战术键2.0</t>
  </si>
  <si>
    <t>DP2.1 UHBR20</t>
  </si>
  <si>
    <t>OLED 0.03ms</t>
  </si>
  <si>
    <t>菊花链技术</t>
  </si>
  <si>
    <t>2K 170Hz 曲面</t>
    <phoneticPr fontId="6" type="noConversion"/>
  </si>
  <si>
    <t>OSD助手</t>
    <phoneticPr fontId="6" type="noConversion"/>
  </si>
  <si>
    <t>黑平衡</t>
    <phoneticPr fontId="6" type="noConversion"/>
  </si>
  <si>
    <t>快速 1ms响应</t>
    <phoneticPr fontId="6" type="noConversion"/>
  </si>
  <si>
    <t>2K 180Hz 曲面</t>
    <phoneticPr fontId="6" type="noConversion"/>
  </si>
  <si>
    <t>GS25F2</t>
  </si>
  <si>
    <t>G27QA</t>
  </si>
  <si>
    <t>G27Q3</t>
  </si>
  <si>
    <t>M27QA</t>
  </si>
  <si>
    <t>FHD 200HZ 直面</t>
    <phoneticPr fontId="6" type="noConversion"/>
  </si>
  <si>
    <t>2K 180Hz 直面</t>
    <phoneticPr fontId="6" type="noConversion"/>
  </si>
  <si>
    <t>SS IPS 1ms响应</t>
    <phoneticPr fontId="6" type="noConversion"/>
  </si>
  <si>
    <t>2K 300Hz 直面</t>
    <phoneticPr fontId="6" type="noConversion"/>
  </si>
  <si>
    <t>升降旋转</t>
    <phoneticPr fontId="6" type="noConversion"/>
  </si>
  <si>
    <t>899</t>
    <phoneticPr fontId="6" type="noConversion"/>
  </si>
  <si>
    <t>MO27Q2</t>
  </si>
  <si>
    <t>G27QX</t>
  </si>
  <si>
    <t>M32U</t>
  </si>
  <si>
    <t>GS27U</t>
  </si>
  <si>
    <t>双模 显示器</t>
    <phoneticPr fontId="6" type="noConversion"/>
  </si>
  <si>
    <t>一键切换</t>
    <phoneticPr fontId="6" type="noConversion"/>
  </si>
  <si>
    <t>KVM 多设备切换</t>
    <phoneticPr fontId="6" type="noConversion"/>
  </si>
  <si>
    <t>4K 144Hz 直面</t>
    <phoneticPr fontId="6" type="noConversion"/>
  </si>
  <si>
    <t>4K 160Hz 直面</t>
    <phoneticPr fontId="6" type="noConversion"/>
  </si>
  <si>
    <t>2K 240Hz 直面</t>
    <phoneticPr fontId="6" type="noConversion"/>
  </si>
  <si>
    <t>QD-OLED</t>
  </si>
  <si>
    <t>Ai 防烧屏</t>
    <phoneticPr fontId="6" type="noConversion"/>
  </si>
  <si>
    <t>4K 160Hz / 1K 320Hz丨25</t>
    <phoneticPr fontId="6" type="noConversion"/>
  </si>
  <si>
    <t>949</t>
    <phoneticPr fontId="6" type="noConversion"/>
  </si>
  <si>
    <t>备注</t>
    <phoneticPr fontId="6" type="noConversion"/>
  </si>
  <si>
    <t>晒单主图</t>
    <phoneticPr fontId="6" type="noConversion"/>
  </si>
  <si>
    <t>晒单模板</t>
    <phoneticPr fontId="6" type="noConversion"/>
  </si>
  <si>
    <t>4060Ti WF2OC-8GD 风魔</t>
  </si>
  <si>
    <t>4060Ti EAGLE OC ICE-8GD 冰猎鹰</t>
  </si>
  <si>
    <t>4060Ti GAMING OC-8GD 魔鹰</t>
  </si>
  <si>
    <t>ICE EAGLE</t>
    <phoneticPr fontId="6" type="noConversion"/>
  </si>
  <si>
    <t>GeForce RTX™ 4060 GAMING OC 8G</t>
    <phoneticPr fontId="6" type="noConversion"/>
  </si>
  <si>
    <t>GeForce RTX™ 4060 AERO OC 8G</t>
    <phoneticPr fontId="6" type="noConversion"/>
  </si>
  <si>
    <t>GeForce RTX™ 4060 Ti EAGLE OC ICE 8G</t>
  </si>
  <si>
    <t>GeForce RTX™ 4060 EAGLE OC 8G</t>
    <phoneticPr fontId="6" type="noConversion"/>
  </si>
  <si>
    <t>GeForce RTX™ 4060 Ti GAMING OC 8G</t>
    <phoneticPr fontId="6" type="noConversion"/>
  </si>
  <si>
    <t>GeForce RTX™ 4060 Ti EAGLE OC ICE 8G</t>
    <phoneticPr fontId="6" type="noConversion"/>
  </si>
  <si>
    <t>GeForce RTX™ 4060 Ti WINDFORCE OC 8G</t>
    <phoneticPr fontId="6" type="noConversion"/>
  </si>
  <si>
    <t>GeForce RTX™ 4060 WINDFORCE OC 8G</t>
    <phoneticPr fontId="6" type="noConversion"/>
  </si>
  <si>
    <t>GeForce RTX™ 4060 Ti EAGLE OC 8G</t>
    <phoneticPr fontId="6" type="noConversion"/>
  </si>
  <si>
    <t>风扇智能启停</t>
    <phoneticPr fontId="6" type="noConversion"/>
  </si>
  <si>
    <t>AE850PM PG5</t>
    <phoneticPr fontId="6" type="noConversion"/>
  </si>
  <si>
    <t>AE1000PM PG5</t>
    <phoneticPr fontId="6" type="noConversion"/>
  </si>
  <si>
    <t>GP-P650G</t>
  </si>
  <si>
    <t>GP-P750GM</t>
  </si>
  <si>
    <t>GP-UD750GM</t>
  </si>
  <si>
    <t>GP-UD850GM</t>
  </si>
  <si>
    <t>GP-UD1000GM</t>
  </si>
  <si>
    <t>GP-UD850GM-PG5</t>
  </si>
  <si>
    <t>GP-UD850GM-PG5W</t>
  </si>
  <si>
    <t>GP-UD1000GM-PG5</t>
  </si>
  <si>
    <t>GP-UD1300GM-PG5</t>
  </si>
  <si>
    <t>战圣II750</t>
    <phoneticPr fontId="6" type="noConversion"/>
  </si>
  <si>
    <t>战圣650</t>
    <phoneticPr fontId="6" type="noConversion"/>
  </si>
  <si>
    <t>P650G</t>
    <phoneticPr fontId="6" type="noConversion"/>
  </si>
  <si>
    <t>P750GM</t>
    <phoneticPr fontId="6" type="noConversion"/>
  </si>
  <si>
    <t>UD750GM</t>
    <phoneticPr fontId="6" type="noConversion"/>
  </si>
  <si>
    <t>UD850GM</t>
    <phoneticPr fontId="6" type="noConversion"/>
  </si>
  <si>
    <t>UD1000GM</t>
    <phoneticPr fontId="6" type="noConversion"/>
  </si>
  <si>
    <t>UD850GM-PG5</t>
    <phoneticPr fontId="6" type="noConversion"/>
  </si>
  <si>
    <t>UD1000GM-PG5</t>
    <phoneticPr fontId="6" type="noConversion"/>
  </si>
  <si>
    <t>五年质保</t>
    <phoneticPr fontId="6" type="noConversion"/>
  </si>
  <si>
    <t>十年质保</t>
    <phoneticPr fontId="6" type="noConversion"/>
  </si>
  <si>
    <t>ATX3.0标准</t>
    <phoneticPr fontId="6" type="noConversion"/>
  </si>
  <si>
    <t>全模组扁平化线材</t>
    <phoneticPr fontId="6" type="noConversion"/>
  </si>
  <si>
    <t>金牌认证</t>
    <phoneticPr fontId="6" type="noConversion"/>
  </si>
  <si>
    <t>白金认证</t>
    <phoneticPr fontId="6" type="noConversion"/>
  </si>
  <si>
    <t>智能温控风扇</t>
    <phoneticPr fontId="6" type="noConversion"/>
  </si>
  <si>
    <t>智能温控风扇启停</t>
    <phoneticPr fontId="6" type="noConversion"/>
  </si>
  <si>
    <t>AE850PM PG5 ICE丨30</t>
    <phoneticPr fontId="6" type="noConversion"/>
  </si>
  <si>
    <t>AE1000PM PG5 ICE丨30</t>
    <phoneticPr fontId="6" type="noConversion"/>
  </si>
  <si>
    <t>猎鹰750GM丨50</t>
    <phoneticPr fontId="6" type="noConversion"/>
  </si>
  <si>
    <t>猎鹰850GM丨50</t>
  </si>
  <si>
    <t>猎鹰1000GM丨50</t>
  </si>
  <si>
    <t>魔鹰750PG5丨50</t>
  </si>
  <si>
    <t>魔鹰850PG5丨50</t>
  </si>
  <si>
    <t>雪鹰850PG5丨50</t>
  </si>
  <si>
    <t>魔鹰1000PG5丨50</t>
  </si>
  <si>
    <t>魔鹰1300PG5丨50</t>
  </si>
  <si>
    <t>UD850GM-PG5W丨30</t>
    <phoneticPr fontId="6" type="noConversion"/>
  </si>
  <si>
    <t>GP-P550SS</t>
  </si>
  <si>
    <t>GP-P550SS ICE</t>
  </si>
  <si>
    <t>GP-P650SS</t>
  </si>
  <si>
    <t>GP-P650SS ICE</t>
  </si>
  <si>
    <t>黑色扁平化线材</t>
    <phoneticPr fontId="6" type="noConversion"/>
  </si>
  <si>
    <t>白色扁平化线材</t>
    <phoneticPr fontId="6" type="noConversion"/>
  </si>
  <si>
    <t>大电流单路+12V</t>
    <phoneticPr fontId="6" type="noConversion"/>
  </si>
  <si>
    <t>银牌认证</t>
    <phoneticPr fontId="6" type="noConversion"/>
  </si>
  <si>
    <t>P550SS</t>
  </si>
  <si>
    <t>P550SS ICE</t>
  </si>
  <si>
    <t>P650SS</t>
  </si>
  <si>
    <t>P650SS ICE</t>
  </si>
  <si>
    <t>GP-GIGABYTE GME 360</t>
  </si>
  <si>
    <t>GP-GIGABYTE GME 360I</t>
  </si>
  <si>
    <t>GP-AORUS WATERFORCE II 360</t>
  </si>
  <si>
    <t>GP-AORUS WATERFORCE II 360I</t>
  </si>
  <si>
    <t>GP-AORUS WATERFORCE X II 360</t>
  </si>
  <si>
    <t>GP-AORUS WATERFORCE X II 360I</t>
  </si>
  <si>
    <t>魔鹰360</t>
    <phoneticPr fontId="6" type="noConversion"/>
  </si>
  <si>
    <t>雪鹰360</t>
    <phoneticPr fontId="6" type="noConversion"/>
  </si>
  <si>
    <t>水雕Ⅱ360</t>
    <phoneticPr fontId="6" type="noConversion"/>
  </si>
  <si>
    <t>冰雕Ⅱ360</t>
    <phoneticPr fontId="6" type="noConversion"/>
  </si>
  <si>
    <t>冰雕 X 360</t>
    <phoneticPr fontId="6" type="noConversion"/>
  </si>
  <si>
    <t>水雕 X 360</t>
    <phoneticPr fontId="6" type="noConversion"/>
  </si>
  <si>
    <t>GME 360</t>
    <phoneticPr fontId="6" type="noConversion"/>
  </si>
  <si>
    <t>GME 360 ICE</t>
    <phoneticPr fontId="6" type="noConversion"/>
  </si>
  <si>
    <t>全彩LCD 显示屏</t>
    <phoneticPr fontId="6" type="noConversion"/>
  </si>
  <si>
    <t>磁吸式菊花链风扇</t>
    <phoneticPr fontId="6" type="noConversion"/>
  </si>
  <si>
    <t>温度监控+GIF+视频</t>
    <phoneticPr fontId="6" type="noConversion"/>
  </si>
  <si>
    <t>磁吸可拆冷头盖</t>
    <phoneticPr fontId="6" type="noConversion"/>
  </si>
  <si>
    <t>双滚针轴承风扇</t>
    <phoneticPr fontId="6" type="noConversion"/>
  </si>
  <si>
    <t>六年质保</t>
    <phoneticPr fontId="6" type="noConversion"/>
  </si>
  <si>
    <t>可旋转AORUS 冷头</t>
    <phoneticPr fontId="6" type="noConversion"/>
  </si>
  <si>
    <t>卡扣式连锁风扇</t>
    <phoneticPr fontId="6" type="noConversion"/>
  </si>
  <si>
    <t>AORUS 幻彩灯光同步</t>
    <phoneticPr fontId="6" type="noConversion"/>
  </si>
  <si>
    <t>AORUS WFⅡ</t>
    <phoneticPr fontId="6" type="noConversion"/>
  </si>
  <si>
    <t>AORUS WFⅡICE</t>
    <phoneticPr fontId="6" type="noConversion"/>
  </si>
  <si>
    <t>AORUS WF XⅡ</t>
    <phoneticPr fontId="6" type="noConversion"/>
  </si>
  <si>
    <t>AORUS WF XⅡICE</t>
    <phoneticPr fontId="6" type="noConversion"/>
  </si>
  <si>
    <t>GB-C301G</t>
  </si>
  <si>
    <t>GB-C301GW</t>
  </si>
  <si>
    <t>MASTER ICE</t>
  </si>
  <si>
    <t>5090D GAMING-24GD V2魔鹰</t>
  </si>
  <si>
    <t>5090D GAMING OC-24GD V2魔鹰</t>
  </si>
  <si>
    <t>5090D AORUS M-24GD V2超级雕</t>
  </si>
  <si>
    <t>5090D AORUSM ICE-24GD V2超级雕白</t>
  </si>
  <si>
    <t>GV-N509DAORUS M-24GD</t>
  </si>
  <si>
    <t>GV-N509DAORUSM ICE-24GD</t>
  </si>
  <si>
    <t>GV-N509DAORUSM ICE-24GD</t>
    <phoneticPr fontId="6" type="noConversion"/>
  </si>
  <si>
    <t>GV-N509DAORUS M-24GD</t>
    <phoneticPr fontId="6" type="noConversion"/>
  </si>
  <si>
    <t>GV-N509DGAMING OC-24GD</t>
  </si>
  <si>
    <t>GV-N509DGAMING OC-24GD</t>
    <phoneticPr fontId="6" type="noConversion"/>
  </si>
  <si>
    <t>GV-N509DGAMING-24GD</t>
  </si>
  <si>
    <t>GV-N509DGAMING-24GD</t>
    <phoneticPr fontId="6" type="noConversion"/>
  </si>
  <si>
    <t>24G 魔鹰</t>
    <phoneticPr fontId="6" type="noConversion"/>
  </si>
  <si>
    <t>24G 超级雕</t>
    <phoneticPr fontId="6" type="noConversion"/>
  </si>
  <si>
    <t>24G 超级雕白</t>
    <phoneticPr fontId="6" type="noConversion"/>
  </si>
  <si>
    <t>RTX5090D V2</t>
    <phoneticPr fontId="6" type="noConversion"/>
  </si>
  <si>
    <t>GAMING</t>
    <phoneticPr fontId="6" type="noConversion"/>
  </si>
  <si>
    <t>魔鹰 UD1000GM PG5黑(ATX3.0/PCIE5.0)</t>
  </si>
  <si>
    <t>白金雕 AE1000PM PG5 ICE 白（ATX3.1）</t>
  </si>
  <si>
    <t>GP-AE1000PM PG5 ICE</t>
    <phoneticPr fontId="6" type="noConversion"/>
  </si>
  <si>
    <t>均热板</t>
  </si>
  <si>
    <t>24G 魔鹰OC</t>
    <phoneticPr fontId="6" type="noConversion"/>
  </si>
  <si>
    <t>2375 AI TOPS</t>
  </si>
  <si>
    <t>21760</t>
  </si>
  <si>
    <t>16 pin*1 /1000W</t>
  </si>
  <si>
    <t>342*150*65 mm</t>
  </si>
  <si>
    <t>2550 MHz</t>
  </si>
  <si>
    <t>342*152*70 mm</t>
  </si>
  <si>
    <t>2655 MHz</t>
  </si>
  <si>
    <t>360*150*75 mm</t>
  </si>
  <si>
    <t>AORUS M ICE 超级雕白</t>
  </si>
  <si>
    <t>24GB / GDDR7</t>
    <phoneticPr fontId="6" type="noConversion"/>
  </si>
  <si>
    <t>28 Gbps /384bit</t>
    <phoneticPr fontId="6" type="noConversion"/>
  </si>
  <si>
    <t>2407 MHz</t>
    <phoneticPr fontId="6" type="noConversion"/>
  </si>
  <si>
    <t>GAMING 魔鹰</t>
    <phoneticPr fontId="6" type="noConversion"/>
  </si>
  <si>
    <t>RTX5090D V2 24G</t>
    <phoneticPr fontId="6" type="noConversion"/>
  </si>
  <si>
    <t>UD1300GM-PG5</t>
    <phoneticPr fontId="6" type="noConversion"/>
  </si>
  <si>
    <t>8月13日至8月31日</t>
    <phoneticPr fontId="6" type="noConversion"/>
  </si>
  <si>
    <t>GV-R9060XTGAMING OC-8GD</t>
    <phoneticPr fontId="6" type="noConversion"/>
  </si>
  <si>
    <t>GV-R9060XTGAMING OC-16GD</t>
    <phoneticPr fontId="6" type="noConversion"/>
  </si>
  <si>
    <t>3320 MHz</t>
    <phoneticPr fontId="6" type="noConversion"/>
  </si>
  <si>
    <t>可显性丨内存丨</t>
    <phoneticPr fontId="6" type="noConversion"/>
  </si>
  <si>
    <t>技嘉 B650M AORUS ELITE AX ICE 冰雕</t>
  </si>
  <si>
    <t>技嘉 B850M AORUS ELITE ICE WF6E(冰雕)</t>
  </si>
  <si>
    <t>技嘉 B850M AORUS PRO WF7(电竞雕)</t>
  </si>
  <si>
    <t>技嘉 B850M AORUS ELITE WIFI7 ICE-P(雕妹)</t>
  </si>
  <si>
    <t>技嘉 X870M AORUS ELITE WF7 (小雕)</t>
  </si>
  <si>
    <t>技嘉 X870M AORUS ELITE WF7 ICE (冰雕)</t>
  </si>
  <si>
    <t>技嘉 X870 AORUS ELITE WIFI7 小雕</t>
  </si>
  <si>
    <t>技嘉 X870 AORUS ELITE WIFI7 ICE 冰雕</t>
  </si>
  <si>
    <t>XPG 龙耀D300G 48G6000 C28M 黑RGB</t>
  </si>
  <si>
    <t>XPG 龙耀D300G 48G6000 C28M 白RGB</t>
  </si>
  <si>
    <t>主板内存</t>
    <phoneticPr fontId="6" type="noConversion"/>
  </si>
  <si>
    <t>技嘉 XPG logo</t>
  </si>
  <si>
    <t>X870M-AORUS-ELITE-WIFI7</t>
    <phoneticPr fontId="6" type="noConversion"/>
  </si>
  <si>
    <t>X870M-AORUS-ELITE-WIFI7-ICE</t>
    <phoneticPr fontId="6" type="noConversion"/>
  </si>
  <si>
    <t>X870-AORUS-ELITE-WIFI7</t>
    <phoneticPr fontId="6" type="noConversion"/>
  </si>
  <si>
    <t>X870-AORUS-ELITE-WIFI7-ICE</t>
    <phoneticPr fontId="6" type="noConversion"/>
  </si>
  <si>
    <t>D300G 黑</t>
  </si>
  <si>
    <t>D300G 白</t>
    <phoneticPr fontId="6" type="noConversion"/>
  </si>
  <si>
    <t>B850M AORUS ELITE WIFI7 ICE-P</t>
    <phoneticPr fontId="6" type="noConversion"/>
  </si>
  <si>
    <t>B850M A PRO WIFI7</t>
    <phoneticPr fontId="6" type="noConversion"/>
  </si>
  <si>
    <t>B850M A ELT WF6E ICE</t>
    <phoneticPr fontId="6" type="noConversion"/>
  </si>
  <si>
    <t>B650M AORUS PRO AX</t>
    <phoneticPr fontId="6" type="noConversion"/>
  </si>
  <si>
    <t>B650M AORUS ELITE AX ICE</t>
    <phoneticPr fontId="6" type="noConversion"/>
  </si>
  <si>
    <t>B650M AX ICE</t>
    <phoneticPr fontId="6" type="noConversion"/>
  </si>
  <si>
    <t>冰雕</t>
    <phoneticPr fontId="6" type="noConversion"/>
  </si>
  <si>
    <t>B650M PRO AX</t>
    <phoneticPr fontId="6" type="noConversion"/>
  </si>
  <si>
    <t>B850M AX ICE</t>
    <phoneticPr fontId="6" type="noConversion"/>
  </si>
  <si>
    <t>B850M PRO WF7</t>
    <phoneticPr fontId="6" type="noConversion"/>
  </si>
  <si>
    <t>技嘉 B650M AORUS PRO AX</t>
    <phoneticPr fontId="6" type="noConversion"/>
  </si>
  <si>
    <t>电竞雕</t>
    <phoneticPr fontId="6" type="noConversion"/>
  </si>
  <si>
    <t>雕妹</t>
    <phoneticPr fontId="6" type="noConversion"/>
  </si>
  <si>
    <t>B850M ICE-P</t>
    <phoneticPr fontId="6" type="noConversion"/>
  </si>
  <si>
    <t>文本丨利益点丨利益点12</t>
  </si>
  <si>
    <t>文本丨利益点丨利益点0</t>
    <phoneticPr fontId="6" type="noConversion"/>
  </si>
  <si>
    <t>含Wi-Fi7</t>
  </si>
  <si>
    <t xml:space="preserve"> +蓝牙网卡</t>
  </si>
  <si>
    <t>14+2+2相供电设计</t>
  </si>
  <si>
    <t>支持X3D 模式丨25</t>
  </si>
  <si>
    <t>X3D 模式+银白雪装丨25</t>
  </si>
  <si>
    <t>16+2+2相供电</t>
  </si>
  <si>
    <t>双USB4 接口</t>
  </si>
  <si>
    <t>小雕</t>
    <phoneticPr fontId="6" type="noConversion"/>
  </si>
  <si>
    <t>X870M A ELITE</t>
    <phoneticPr fontId="6" type="noConversion"/>
  </si>
  <si>
    <t>X870M A ELITE ICE</t>
    <phoneticPr fontId="6" type="noConversion"/>
  </si>
  <si>
    <t>X870 A ELITE</t>
    <phoneticPr fontId="6" type="noConversion"/>
  </si>
  <si>
    <t>X870 A ELITE ICE</t>
    <phoneticPr fontId="6" type="noConversion"/>
  </si>
  <si>
    <t>龙耀D300G 48G白</t>
    <phoneticPr fontId="6" type="noConversion"/>
  </si>
  <si>
    <t>龙耀D300G 48G黑</t>
    <phoneticPr fontId="6" type="noConversion"/>
  </si>
  <si>
    <t>含Wi-Fi 6E</t>
  </si>
  <si>
    <t>12+2相数字供电</t>
  </si>
  <si>
    <t>银白雪装马甲</t>
  </si>
  <si>
    <t>含Wi-Fi 6</t>
    <phoneticPr fontId="6" type="noConversion"/>
  </si>
  <si>
    <t>全覆盖散热片</t>
  </si>
  <si>
    <t>HDMI副屏接口</t>
  </si>
  <si>
    <t>12+2+2相供电</t>
  </si>
  <si>
    <t>其他</t>
    <phoneticPr fontId="6" type="noConversion"/>
  </si>
  <si>
    <t>可显性丨其他丨</t>
    <phoneticPr fontId="6" type="noConversion"/>
  </si>
  <si>
    <t>白色WIFI</t>
  </si>
  <si>
    <t>黑色WIFI</t>
  </si>
  <si>
    <t>龙耀D300G 48G白</t>
  </si>
  <si>
    <t>龙耀D300G 48G黑</t>
  </si>
  <si>
    <t>a</t>
    <phoneticPr fontId="6" type="noConversion"/>
  </si>
  <si>
    <t>b</t>
    <phoneticPr fontId="6" type="noConversion"/>
  </si>
  <si>
    <t>c</t>
    <phoneticPr fontId="6" type="noConversion"/>
  </si>
  <si>
    <t>d</t>
    <phoneticPr fontId="6" type="noConversion"/>
  </si>
  <si>
    <t>可显性丨配件丨</t>
    <phoneticPr fontId="6" type="noConversion"/>
  </si>
  <si>
    <t>GB-C102G</t>
  </si>
  <si>
    <t>GB-C102GI</t>
  </si>
  <si>
    <t>GP-UD750GM PG5 V2</t>
  </si>
  <si>
    <t>GP-UD750GM PG5 ICE</t>
  </si>
  <si>
    <t>幽灵C102G</t>
  </si>
  <si>
    <t>幽灵C102GI</t>
  </si>
  <si>
    <t>快拆磁吸面板</t>
    <phoneticPr fontId="6" type="noConversion"/>
  </si>
  <si>
    <t>全景式钢化玻璃</t>
    <phoneticPr fontId="6" type="noConversion"/>
  </si>
  <si>
    <t>支持360冷排</t>
    <phoneticPr fontId="6" type="noConversion"/>
  </si>
  <si>
    <t>中塔式ATX机箱</t>
    <phoneticPr fontId="6" type="noConversion"/>
  </si>
  <si>
    <t>快拆防尘网</t>
    <phoneticPr fontId="6" type="noConversion"/>
  </si>
  <si>
    <t xml:space="preserve"> + P550SS电源</t>
  </si>
  <si>
    <t xml:space="preserve"> + P550SS电源</t>
    <phoneticPr fontId="6" type="noConversion"/>
  </si>
  <si>
    <t xml:space="preserve"> + P550SS白电源</t>
  </si>
  <si>
    <t xml:space="preserve"> + P550SS白电源</t>
    <phoneticPr fontId="6" type="noConversion"/>
  </si>
  <si>
    <t xml:space="preserve"> + P650SS电源</t>
  </si>
  <si>
    <t xml:space="preserve"> + P650SS电源</t>
    <phoneticPr fontId="6" type="noConversion"/>
  </si>
  <si>
    <t xml:space="preserve"> + P650SS白电源</t>
  </si>
  <si>
    <t xml:space="preserve"> + P650SS白电源</t>
    <phoneticPr fontId="6" type="noConversion"/>
  </si>
  <si>
    <t>加号</t>
    <phoneticPr fontId="6" type="noConversion"/>
  </si>
  <si>
    <t xml:space="preserve"> + 魔鹰750PG5</t>
  </si>
  <si>
    <t xml:space="preserve"> + 魔鹰750PG5</t>
    <phoneticPr fontId="6" type="noConversion"/>
  </si>
  <si>
    <t xml:space="preserve"> + 雪鹰750PG5</t>
  </si>
  <si>
    <t xml:space="preserve"> + 雪鹰750PG5</t>
    <phoneticPr fontId="6" type="noConversion"/>
  </si>
  <si>
    <t xml:space="preserve"> + 魔鹰850PG5</t>
  </si>
  <si>
    <t xml:space="preserve"> + 魔鹰850PG5</t>
    <phoneticPr fontId="6" type="noConversion"/>
  </si>
  <si>
    <t xml:space="preserve"> + 雪鹰850PG5</t>
  </si>
  <si>
    <t xml:space="preserve"> + 雪鹰850PG5</t>
    <phoneticPr fontId="6" type="noConversion"/>
  </si>
  <si>
    <t>GB-C103G</t>
  </si>
  <si>
    <t>幽灵C103G</t>
  </si>
  <si>
    <t>中塔式M-ATX机箱</t>
    <phoneticPr fontId="6" type="noConversion"/>
  </si>
  <si>
    <t>GB-C201G</t>
  </si>
  <si>
    <t>GB-C201GI</t>
  </si>
  <si>
    <t>破空C201G</t>
  </si>
  <si>
    <t>破空C201GI</t>
  </si>
  <si>
    <t>M-ATX海景房</t>
    <phoneticPr fontId="6" type="noConversion"/>
  </si>
  <si>
    <t>宽体全景式设计</t>
    <phoneticPr fontId="6" type="noConversion"/>
  </si>
  <si>
    <t>六处快拆面板</t>
    <phoneticPr fontId="6" type="noConversion"/>
  </si>
  <si>
    <t>幽灵C301GW</t>
  </si>
  <si>
    <t>幽灵C301G</t>
  </si>
  <si>
    <t>支持竖装显卡</t>
    <phoneticPr fontId="6" type="noConversion"/>
  </si>
  <si>
    <t>RGB幻彩灯光</t>
    <phoneticPr fontId="6" type="noConversion"/>
  </si>
  <si>
    <t>GB-AC601G</t>
  </si>
  <si>
    <t>GB-AC601GI</t>
  </si>
  <si>
    <t>机械雕AC601G</t>
  </si>
  <si>
    <t>AORUS机甲机箱</t>
    <phoneticPr fontId="6" type="noConversion"/>
  </si>
  <si>
    <t xml:space="preserve"> + 魔鹰1000PG5</t>
    <phoneticPr fontId="6" type="noConversion"/>
  </si>
  <si>
    <t xml:space="preserve"> + 魔鹰1300PG5</t>
    <phoneticPr fontId="6" type="noConversion"/>
  </si>
  <si>
    <t xml:space="preserve"> + 冰雕2代</t>
    <phoneticPr fontId="6" type="noConversion"/>
  </si>
  <si>
    <t xml:space="preserve"> + 水雕2代</t>
    <phoneticPr fontId="6" type="noConversion"/>
  </si>
  <si>
    <t xml:space="preserve"> + 冰雕2代 X</t>
    <phoneticPr fontId="6" type="noConversion"/>
  </si>
  <si>
    <t xml:space="preserve"> + 水雕2代 X</t>
    <phoneticPr fontId="6" type="noConversion"/>
  </si>
  <si>
    <t>拉丝几何美学</t>
    <phoneticPr fontId="6" type="noConversion"/>
  </si>
  <si>
    <t>模块化安装</t>
    <phoneticPr fontId="6" type="noConversion"/>
  </si>
  <si>
    <t>支持420冷排</t>
    <phoneticPr fontId="6" type="noConversion"/>
  </si>
  <si>
    <t>机械雕AC601 ICE丨40</t>
    <phoneticPr fontId="6" type="noConversion"/>
  </si>
  <si>
    <t>ATX3.1标准</t>
    <phoneticPr fontId="6" type="noConversion"/>
  </si>
  <si>
    <t>UD750GM PG5 V2</t>
    <phoneticPr fontId="6" type="noConversion"/>
  </si>
  <si>
    <t>UD750GM PG5 ICE</t>
    <phoneticPr fontId="6" type="noConversion"/>
  </si>
  <si>
    <t>雪鹰750PG5丨50</t>
    <phoneticPr fontId="6" type="noConversion"/>
  </si>
  <si>
    <t>备注2</t>
    <phoneticPr fontId="6" type="noConversion"/>
  </si>
  <si>
    <t>9月2日至9月30日</t>
    <phoneticPr fontId="6" type="noConversion"/>
  </si>
  <si>
    <t>10159911757439 </t>
  </si>
  <si>
    <t>10140743614400 </t>
  </si>
  <si>
    <t>10140743614402 </t>
  </si>
  <si>
    <t>RTX5060 Ti 8G</t>
    <phoneticPr fontId="6" type="noConversion"/>
  </si>
  <si>
    <t>RTX5060 Ti 16G</t>
    <phoneticPr fontId="6" type="noConversion"/>
  </si>
  <si>
    <t>风魔</t>
    <phoneticPr fontId="6" type="noConversion"/>
  </si>
  <si>
    <t>猎鹰</t>
    <phoneticPr fontId="6" type="noConversion"/>
  </si>
  <si>
    <t>冰猎鹰</t>
    <phoneticPr fontId="6" type="noConversion"/>
  </si>
  <si>
    <t>魔鹰</t>
    <phoneticPr fontId="6" type="noConversion"/>
  </si>
  <si>
    <t>雪鹰</t>
    <phoneticPr fontId="6" type="noConversion"/>
  </si>
  <si>
    <t>显卡新设计</t>
    <phoneticPr fontId="6" type="noConversion"/>
  </si>
  <si>
    <t>注册4年保/个人送保</t>
    <phoneticPr fontId="6" type="noConversion"/>
  </si>
  <si>
    <t>EAGLE OC ICE</t>
    <phoneticPr fontId="6" type="noConversion"/>
  </si>
  <si>
    <t>182mm半高卡设计</t>
    <phoneticPr fontId="6" type="noConversion"/>
  </si>
  <si>
    <t>可显性丨产品丨显卡</t>
    <phoneticPr fontId="6" type="noConversion"/>
  </si>
  <si>
    <t>可显性丨产品丨电源</t>
    <phoneticPr fontId="6" type="noConversion"/>
  </si>
  <si>
    <t>GAMING  OC</t>
    <phoneticPr fontId="6" type="noConversion"/>
  </si>
  <si>
    <t>魔鹰 UD850GM PG5黑(ATX3.0/PCIE5.0)</t>
  </si>
  <si>
    <t>5080 WF3-16GD 风魔</t>
  </si>
  <si>
    <t>GV-N5080WF3-16GD</t>
    <phoneticPr fontId="6" type="noConversion"/>
  </si>
  <si>
    <t xml:space="preserve">芯片组 </t>
    <phoneticPr fontId="6" type="noConversion"/>
  </si>
  <si>
    <t>中文名称</t>
    <phoneticPr fontId="6" type="noConversion"/>
  </si>
  <si>
    <t>英文名称</t>
    <phoneticPr fontId="6" type="noConversion"/>
  </si>
  <si>
    <t>AORUS ELITE</t>
    <phoneticPr fontId="6" type="noConversion"/>
  </si>
  <si>
    <t>LCD自定义屏幕</t>
    <phoneticPr fontId="6" type="noConversion"/>
  </si>
  <si>
    <t>超级雕</t>
    <phoneticPr fontId="6" type="noConversion"/>
  </si>
  <si>
    <t>超级雕白</t>
    <phoneticPr fontId="6" type="noConversion"/>
  </si>
  <si>
    <t>5090D GAMING OC-32GD 魔鹰</t>
  </si>
  <si>
    <t>5090D AORUSX W-32GD 一体水雕</t>
  </si>
  <si>
    <t>魔鹰 UD1000GM PG5黑色(ATX3.0/PCIE5.0)</t>
  </si>
  <si>
    <t>RX9060XT 8G</t>
    <phoneticPr fontId="6" type="noConversion"/>
  </si>
  <si>
    <t>RX9060XT 16G</t>
    <phoneticPr fontId="6" type="noConversion"/>
  </si>
  <si>
    <t>RTX5070 12G</t>
    <phoneticPr fontId="6" type="noConversion"/>
  </si>
  <si>
    <t>3D智能启停风扇</t>
    <phoneticPr fontId="6" type="noConversion"/>
  </si>
  <si>
    <t>可调式显卡支架</t>
    <phoneticPr fontId="6" type="noConversion"/>
  </si>
  <si>
    <t>注册4年保/个人送保</t>
  </si>
  <si>
    <t>LCD 自定义屏幕</t>
  </si>
  <si>
    <t>LCD自定义屏幕</t>
  </si>
  <si>
    <t>精巧半高卡设计</t>
    <phoneticPr fontId="6" type="noConversion"/>
  </si>
  <si>
    <t>AORUS X W 一体水雕</t>
    <phoneticPr fontId="6" type="noConversion"/>
  </si>
  <si>
    <t>半高卡</t>
  </si>
  <si>
    <t>风魔</t>
  </si>
  <si>
    <t>猎鹰</t>
  </si>
  <si>
    <t>冰猎鹰</t>
  </si>
  <si>
    <t>魔鹰</t>
  </si>
  <si>
    <t>雪鹰</t>
  </si>
  <si>
    <t>小雕</t>
  </si>
  <si>
    <t>超级雕</t>
  </si>
  <si>
    <t>超级雕白</t>
  </si>
  <si>
    <t>一体水雕</t>
  </si>
  <si>
    <t>Low Profile</t>
  </si>
  <si>
    <t>WF</t>
  </si>
  <si>
    <t>EAGLE ICE</t>
  </si>
  <si>
    <t>GAMING</t>
  </si>
  <si>
    <t>AERO</t>
  </si>
  <si>
    <t>AORUS MASTER</t>
  </si>
  <si>
    <t>AORUS MASTER ICE</t>
  </si>
  <si>
    <t>AORUS X W</t>
  </si>
  <si>
    <t>DP2.1ax2+HDMI2.1bx1</t>
    <phoneticPr fontId="6" type="noConversion"/>
  </si>
  <si>
    <t>DP1.4a x 3+HDM2.1ax1</t>
    <phoneticPr fontId="6" type="noConversion"/>
  </si>
  <si>
    <t>晒单返50E卡</t>
  </si>
  <si>
    <t>风魔MAX 8G</t>
    <phoneticPr fontId="6" type="noConversion"/>
  </si>
  <si>
    <t>风魔MAX 16G</t>
    <phoneticPr fontId="6" type="noConversion"/>
  </si>
  <si>
    <t>风魔 16G</t>
    <phoneticPr fontId="6" type="noConversion"/>
  </si>
  <si>
    <t>GV-N5050D6-8GD</t>
  </si>
  <si>
    <t>GV-N5050D6-8GD</t>
    <phoneticPr fontId="6" type="noConversion"/>
  </si>
  <si>
    <t>mini-ITX</t>
    <phoneticPr fontId="6" type="noConversion"/>
  </si>
  <si>
    <t>mini-ITX短卡</t>
    <phoneticPr fontId="6" type="noConversion"/>
  </si>
  <si>
    <t>2572MHz</t>
    <phoneticPr fontId="6" type="noConversion"/>
  </si>
  <si>
    <t>145*111*42 mm</t>
    <phoneticPr fontId="6" type="noConversion"/>
  </si>
  <si>
    <t>8 pin*1 /550W</t>
    <phoneticPr fontId="6" type="noConversion"/>
  </si>
  <si>
    <t>短卡 8G</t>
    <phoneticPr fontId="6" type="noConversion"/>
  </si>
  <si>
    <t>HAWK单风扇设计</t>
    <phoneticPr fontId="6" type="noConversion"/>
  </si>
  <si>
    <t>5050 D6-8GD mini-itx</t>
  </si>
  <si>
    <t>5050 D6-8GD mini-itx</t>
    <phoneticPr fontId="6" type="noConversion"/>
  </si>
  <si>
    <t>14.5cm小巧尺寸</t>
    <phoneticPr fontId="6" type="noConversion"/>
  </si>
  <si>
    <t>RTX5050</t>
  </si>
  <si>
    <t>短卡 8G</t>
  </si>
  <si>
    <t>mini-ITX</t>
  </si>
  <si>
    <t>14.5cm小巧尺寸</t>
  </si>
  <si>
    <t>HAWK单风扇设计</t>
  </si>
  <si>
    <t>AI算力421 TOPS</t>
  </si>
  <si>
    <t>GV-N509DGAMING-32GD</t>
    <phoneticPr fontId="6" type="noConversion"/>
  </si>
  <si>
    <t>5090D AORUSX W-32GD 一体水雕</t>
    <phoneticPr fontId="6" type="noConversion"/>
  </si>
  <si>
    <t>GV-N509DAORUSX W-32GD</t>
    <phoneticPr fontId="6" type="noConversion"/>
  </si>
  <si>
    <t>水之力散热系统</t>
    <phoneticPr fontId="6" type="noConversion"/>
  </si>
  <si>
    <t>显卡新设计（DIY）</t>
    <phoneticPr fontId="6" type="noConversion"/>
  </si>
  <si>
    <t>+白金雕电源</t>
    <phoneticPr fontId="6" type="noConversion"/>
  </si>
  <si>
    <t>5070Ti WF3-16GD风魔</t>
  </si>
  <si>
    <t>魔鹰 UD850GM PG5黑色(ATX3.0/PCIE5.0)</t>
  </si>
  <si>
    <t>雪鹰 UD850GM PG5白色(ATX3.0/PCIE5.0)</t>
  </si>
  <si>
    <t>GV-N5070WF3-12GD</t>
    <phoneticPr fontId="6" type="noConversion"/>
  </si>
  <si>
    <t xml:space="preserve"> </t>
    <phoneticPr fontId="6" type="noConversion"/>
  </si>
  <si>
    <t>GAMING OC魔鹰121231233</t>
    <phoneticPr fontId="6" type="noConversion"/>
  </si>
  <si>
    <t>GB-C301GW</t>
    <phoneticPr fontId="6" type="noConversion"/>
  </si>
  <si>
    <t>GB-C301G</t>
    <phoneticPr fontId="6" type="noConversion"/>
  </si>
  <si>
    <t>RX7700XT 12G</t>
    <phoneticPr fontId="6" type="noConversion"/>
  </si>
  <si>
    <t>RX7650GRE 8G</t>
    <phoneticPr fontId="6" type="noConversion"/>
  </si>
  <si>
    <t>RX9070XT 16G</t>
  </si>
  <si>
    <t>RX9070GRE 12G</t>
    <phoneticPr fontId="6" type="noConversion"/>
  </si>
  <si>
    <t xml:space="preserve">RX9070 GAMING </t>
  </si>
  <si>
    <t>RX9070XT 16G</t>
    <phoneticPr fontId="6" type="noConversion"/>
  </si>
  <si>
    <t>9月30日至10月6日(单卡）</t>
    <phoneticPr fontId="6" type="noConversion"/>
  </si>
  <si>
    <t>3050 WF2OC-6GD 风魔V2</t>
  </si>
  <si>
    <t>3060 WF2OC-12GD 风魔</t>
  </si>
  <si>
    <t>3060GAMING OC-12GD 2.0魔鹰</t>
  </si>
  <si>
    <t>5060Ti WF2OC-8GD风魔</t>
  </si>
  <si>
    <t>12期</t>
  </si>
  <si>
    <t>导出后关闭</t>
    <phoneticPr fontId="6" type="noConversion"/>
  </si>
  <si>
    <t>是</t>
    <phoneticPr fontId="6" type="noConversion"/>
  </si>
  <si>
    <t>RTX5060Ti 8G|20||2</t>
    <phoneticPr fontId="6" type="noConversion"/>
  </si>
  <si>
    <t>文本|标题|标题1</t>
  </si>
  <si>
    <t>文本|标题|标题2</t>
  </si>
  <si>
    <t>文本|规格|规格1</t>
  </si>
  <si>
    <t>文本|规格|规格2</t>
  </si>
  <si>
    <t>文本|规格|规格3</t>
  </si>
  <si>
    <t>文本|规格|规格4</t>
  </si>
  <si>
    <t>文本|规格|规格5</t>
  </si>
  <si>
    <t>文本|规格|规格6</t>
  </si>
  <si>
    <t>文本|规格|规格7</t>
  </si>
  <si>
    <t>文本|规格|规格8</t>
  </si>
  <si>
    <t>可显性|显卡|1</t>
  </si>
  <si>
    <t>可显性|LOGO|1</t>
  </si>
  <si>
    <t>可显性|LOGO|2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</si>
</sst>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18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11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  <xf numFmtId="0" fontId="16" fillId="0" borderId="0" applyNumberFormat="0" applyFont="0" applyFill="0" applyBorder="0" applyAlignment="0" applyProtection="0"/>
  </cellStyleXfs>
  <cellXfs count="50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6" borderId="0" xfId="0" applyFill="1"/>
    <xf numFmtId="0" fontId="12" fillId="5" borderId="0" xfId="4" applyFon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top"/>
    </xf>
    <xf numFmtId="49" fontId="0" fillId="0" borderId="0" xfId="0" quotePrefix="1" applyNumberFormat="1" applyAlignment="1">
      <alignment horizontal="left" vertical="center"/>
    </xf>
    <xf numFmtId="0" fontId="17" fillId="0" borderId="0" xfId="0" applyFont="1"/>
    <xf numFmtId="0" fontId="13" fillId="4" borderId="6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0" fontId="13" fillId="4" borderId="15" xfId="3" applyFont="1" applyBorder="1" applyAlignment="1">
      <alignment horizontal="center" vertical="center"/>
    </xf>
    <xf numFmtId="0" fontId="13" fillId="4" borderId="16" xfId="3" applyFont="1" applyBorder="1" applyAlignment="1">
      <alignment horizontal="center" vertical="center"/>
    </xf>
  </cellXfs>
  <cellStyles count="6">
    <cellStyle name="差" xfId="1" builtinId="27"/>
    <cellStyle name="常规" xfId="0" builtinId="0"/>
    <cellStyle name="常规 2" xfId="5" xr:uid="{5C043CE2-1BBA-4FDD-B695-A985B9C1A0D0}"/>
    <cellStyle name="计算" xfId="3" builtinId="22"/>
    <cellStyle name="检查单元格" xfId="4" builtinId="23"/>
    <cellStyle name="适中" xfId="2" builtinId="28"/>
  </cellStyles>
  <dxfs count="93"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等线"/>
        <charset val="134"/>
        <scheme val="none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539A0C7D-5889-4FE1-9D3F-F46E78EC8BE8}"/>
            </a:ext>
          </a:extLst>
        </xdr:cNvPr>
        <xdr:cNvSpPr/>
      </xdr:nvSpPr>
      <xdr:spPr>
        <a:xfrm>
          <a:off x="993710" y="1089544"/>
          <a:ext cx="2181030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7A4F8ABA-B058-4591-A884-B02F40A61722}"/>
            </a:ext>
          </a:extLst>
        </xdr:cNvPr>
        <xdr:cNvSpPr/>
      </xdr:nvSpPr>
      <xdr:spPr>
        <a:xfrm>
          <a:off x="993710" y="1089544"/>
          <a:ext cx="2181030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90D07117-65A9-497A-9381-B81DCD063C85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B5239608-6619-4685-9176-1BAA9067720C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2E854656-A4EC-4851-80B1-387C3D918623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52" totalsRowShown="0" headerRowDxfId="91" headerRowCellStyle="适中">
  <autoFilter ref="B10:Q152" xr:uid="{92FC2259-6855-489D-A411-453DEC896DC8}"/>
  <tableColumns count="16">
    <tableColumn id="1" xr3:uid="{177D4597-CA5F-416E-BEBA-5567524939CF}" name="导出文件名" dataDxfId="90"/>
    <tableColumn id="11" xr3:uid="{61AA6CD2-CD93-4E9D-B01A-3FDD8DAA6C77}" name="列1"/>
    <tableColumn id="5" xr3:uid="{DD78E618-0C68-40C6-8679-FA0E647B52F5}" name="备注2"/>
    <tableColumn id="2" xr3:uid="{C49A3A5F-1BC3-4B6E-8271-10A32F1C50C4}" name="文本|标题|标题1"/>
    <tableColumn id="8" xr3:uid="{25FBD6DF-0F1C-434E-8502-267A33B62B57}" name="文本|标题|标题2"/>
    <tableColumn id="3" xr3:uid="{16B97F4D-C9D4-4A3D-A7AC-6203BEDC28F4}" name="文本|规格|规格1"/>
    <tableColumn id="13" xr3:uid="{C25BDCBD-2F2E-49AB-9358-F1B208FE2525}" name="文本|规格|规格2"/>
    <tableColumn id="7" xr3:uid="{CB909A8F-7F90-4E80-8C23-553F429E9E8B}" name="文本|规格|规格3"/>
    <tableColumn id="6" xr3:uid="{9C0DB6F2-BE08-4562-ABF6-4D8D704DD619}" name="文本|规格|规格4"/>
    <tableColumn id="4" xr3:uid="{2643B8D8-1F69-442C-BDAD-7463DA6CB72F}" name="文本|规格|规格5"/>
    <tableColumn id="9" xr3:uid="{62A4635A-71AD-4970-A31B-D3C50730FAF7}" name="文本|规格|规格6"/>
    <tableColumn id="12" xr3:uid="{340D203B-A79C-4246-A3B7-7A2B569B5A89}" name="文本|规格|规格7"/>
    <tableColumn id="14" xr3:uid="{BDFF3097-FF60-409B-B3F9-801CCA046568}" name="文本|规格|规格8"/>
    <tableColumn id="10" xr3:uid="{69A5FAAC-E5D1-4BD1-AB84-B88A4A9E9063}" name="可显性|显卡|1"/>
    <tableColumn id="15" xr3:uid="{9EB1F211-4B07-472F-844E-9D278BA0C49F}" name="可显性|LOGO|1"/>
    <tableColumn id="16" xr3:uid="{E28FA141-C310-4FFB-BFB4-EF3D59F40AC1}" name="可显性|LOGO|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131" totalsRowShown="0">
  <autoFilter ref="B10:Q131" xr:uid="{D9FBC9CF-DD71-4D47-94C8-26F120FEC075}"/>
  <tableColumns count="16">
    <tableColumn id="1" xr3:uid="{33A2108F-08B4-4410-AAC7-60E4FAE2F9AD}" name="导出文件名" dataDxfId="89"/>
    <tableColumn id="11" xr3:uid="{8C4838D7-9093-4773-823C-778961433A17}" name="配件1" dataDxfId="88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87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86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5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84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83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82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81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80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79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78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77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121" totalsRowShown="0" dataDxfId="74">
  <autoFilter ref="B8:L121" xr:uid="{010E1DF4-EAF6-4756-9E60-8CDB1E3CD9CC}"/>
  <tableColumns count="11">
    <tableColumn id="1" xr3:uid="{31CF7C90-BF96-4848-AD47-052273685A64}" name="型号" dataDxfId="73"/>
    <tableColumn id="2" xr3:uid="{710E02DD-CE33-4657-AADA-337E54D524DB}" name="技嘉型号" dataDxfId="72"/>
    <tableColumn id="3" xr3:uid="{0E1E93DC-DF36-4CD1-85DD-1BDF2F6EB9F8}" name="标题1" dataDxfId="71"/>
    <tableColumn id="4" xr3:uid="{D4E7C1B9-C4B4-41EC-B6D7-51EBA2D3CBBC}" name="标题2" dataDxfId="70"/>
    <tableColumn id="5" xr3:uid="{FB03B696-52F1-443A-971B-85FFB059BD92}" name="标题3" dataDxfId="69"/>
    <tableColumn id="6" xr3:uid="{88E3FAF6-6D88-4283-AFE8-DBD9DC0173DB}" name="利益点1" dataDxfId="68"/>
    <tableColumn id="7" xr3:uid="{B69BF360-E061-4885-B159-DE9ABF5E1A5B}" name="利益点2" dataDxfId="67"/>
    <tableColumn id="8" xr3:uid="{0C0C4502-E617-47B7-B3D1-E2A926EA6B84}" name="利益点3" dataDxfId="66"/>
    <tableColumn id="9" xr3:uid="{892C943C-95AB-47FC-8759-39C56060B3C9}" name="可显性" dataDxfId="65"/>
    <tableColumn id="10" xr3:uid="{6C56CDAC-E05E-4DAC-8BA5-E627A91D3940}" name="LOGO" dataDxfId="64"/>
    <tableColumn id="11" xr3:uid="{ABBAE86B-BEBE-41EE-A868-CCF8D2A9C91C}" name="算力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74:D195" totalsRowShown="0">
  <autoFilter ref="B174:D195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3A34CA-3EBB-4A35-9266-EF7F819C756A}" name="表1_5310" displayName="表1_5310" ref="B10:Q245" totalsRowShown="0">
  <autoFilter ref="B10:Q245" xr:uid="{D9FBC9CF-DD71-4D47-94C8-26F120FEC075}"/>
  <tableColumns count="16">
    <tableColumn id="1" xr3:uid="{CA2591C2-7489-48C8-B72D-0B89D5E89121}" name="导出文件名" dataDxfId="61"/>
    <tableColumn id="11" xr3:uid="{3A7A9F77-19C2-4F99-A955-5C6EF1546785}" name="配件1" dataDxfId="60"/>
    <tableColumn id="5" xr3:uid="{AA7009FA-FBFB-47A9-8B16-9BA7ACD54E3E}" name="配件2"/>
    <tableColumn id="12" xr3:uid="{2DB81FD4-E787-4EAD-A3FB-9D7366DFCDA7}" name="免息"/>
    <tableColumn id="2" xr3:uid="{F5D5FD36-358C-43C0-94DB-4558569A83F0}" name="文本丨标题丨标题1" dataDxfId="59">
      <calculatedColumnFormula>IF(表1_5310[[#This Row],[配件1]]&lt;&gt;"",_xlfn.XLOOKUP(表1_5310[[#This Row],[配件1]],显卡利益点对照表新[型号],显卡利益点对照表新[[芯片组 ]],"ERROR"),"")</calculatedColumnFormula>
    </tableColumn>
    <tableColumn id="7" xr3:uid="{38DD276B-2F1E-4548-9F5D-0213DC351E9A}" name="文本丨标题丨标题2" dataDxfId="58">
      <calculatedColumnFormula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calculatedColumnFormula>
    </tableColumn>
    <tableColumn id="6" xr3:uid="{D5A9B64A-5A67-406D-BED1-DA901337B53D}" name="文本丨标题丨标题3" dataDxfId="57">
      <calculatedColumnFormula>IF(表1_5310[[#This Row],[配件1]]&lt;&gt;"",IF(表1_5310[[#This Row],[配件2]]&lt;&gt;"无"," ",_xlfn.XLOOKUP(表1_5310[[#This Row],[配件1]],显卡利益点对照表新[型号],显卡利益点对照表新[英文名称],"ERROR")),"")</calculatedColumnFormula>
    </tableColumn>
    <tableColumn id="4" xr3:uid="{56D7E92B-D602-4AED-A558-A841B51E58F0}" name="文本丨利益点丨利益点1" dataDxfId="56">
      <calculatedColumnFormula>IF(表1_5310[[#This Row],[配件1]]&lt;&gt;"",_xlfn.XLOOKUP(表1_5310[[#This Row],[配件1]],显卡利益点对照表新[型号],显卡利益点对照表新[利益点1],"ERROR"),"")</calculatedColumnFormula>
    </tableColumn>
    <tableColumn id="9" xr3:uid="{3FAAA247-F983-4884-964A-8968DC5073D9}" name="文本丨利益点丨利益点2" dataDxfId="55">
      <calculatedColumnFormula>IF(表1_5310[[#This Row],[配件1]]&lt;&gt;"",_xlfn.XLOOKUP(表1_5310[[#This Row],[配件1]],显卡利益点对照表新[型号],显卡利益点对照表新[利益点2],"ERROR"),"")</calculatedColumnFormula>
    </tableColumn>
    <tableColumn id="3" xr3:uid="{FD61A604-1C90-4354-9277-64D9CE5C8926}" name="文本丨利益点丨利益点3" dataDxfId="54">
      <calculatedColumnFormula>IF(表1_5310[[#This Row],[配件1]]&lt;&gt;"",_xlfn.XLOOKUP(表1_5310[[#This Row],[配件1]],显卡利益点对照表新[型号],显卡利益点对照表新[利益点3],"ERROR"),"")</calculatedColumnFormula>
    </tableColumn>
    <tableColumn id="10" xr3:uid="{5251DE58-A3D6-4B71-B759-A9E4BB8589A2}" name="文本丨算力丨算力值" dataDxfId="53">
      <calculatedColumnFormula>IF(表1_5310[[#This Row],[配件1]]&lt;&gt;"",_xlfn.XLOOKUP(表1_5310[[#This Row],[配件1]],显卡利益点对照表新[型号],显卡利益点对照表新[算力],"ERROR"),"")</calculatedColumnFormula>
    </tableColumn>
    <tableColumn id="14" xr3:uid="{62CE186E-7613-4319-9BAE-4FF1725DD3B2}" name="可显性丨产品丨显卡" dataDxfId="52">
      <calculatedColumnFormula>IF(表1_5310[[#This Row],[配件1]]&lt;&gt;"",_xlfn.XLOOKUP(表1_5310[[#This Row],[配件1]],显卡利益点对照表新[型号],显卡利益点对照表新[可显性],"ERROR"),"")</calculatedColumnFormula>
    </tableColumn>
    <tableColumn id="19" xr3:uid="{98E17A9E-121B-4475-83B4-881974D8D45F}" name="可显性丨产品丨电源" dataDxfId="51">
      <calculatedColumnFormula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calculatedColumnFormula>
    </tableColumn>
    <tableColumn id="15" xr3:uid="{A19C18F3-FB7F-472D-A015-D70C9C2503AF}" name="可显性丨LOGO丨" dataDxfId="50">
      <calculatedColumnFormula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calculatedColumnFormula>
    </tableColumn>
    <tableColumn id="13" xr3:uid="{772B84ED-FE4F-41FB-A7D9-C99120B7FFA2}" name="可显性丨LOGO丨2"/>
    <tableColumn id="8" xr3:uid="{0A0CD02E-3C80-463B-98EA-04130F984FAC}" name="可显性丨丨" dataDxfId="49">
      <calculatedColumnFormula array="1">_xlfn.IFS(表1_5310[[#This Row],[配件1]]="","",表1_5310[[#This Row],[文本丨算力丨算力值]]=" ","",表1_5310[[#This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A387-F8D7-4A4D-ADA8-D285C577FF26}" name="显卡利益点对照表新" displayName="显卡利益点对照表新" ref="B8:L119" totalsRowShown="0" dataDxfId="47">
  <autoFilter ref="B8:L119" xr:uid="{010E1DF4-EAF6-4756-9E60-8CDB1E3CD9CC}"/>
  <tableColumns count="11">
    <tableColumn id="1" xr3:uid="{5EB3F029-E62E-4FAA-BC10-26C4D9686084}" name="型号" dataDxfId="46"/>
    <tableColumn id="2" xr3:uid="{332BB86C-2D8F-4907-8209-7E8B7CD7786D}" name="技嘉型号" dataDxfId="45"/>
    <tableColumn id="12" xr3:uid="{FCB78C6C-58E7-4C3D-8454-56A955913998}" name="芯片组 " dataDxfId="44"/>
    <tableColumn id="13" xr3:uid="{F2349467-4554-42F5-990E-7DAF8FCC4CFA}" name="中文名称" dataDxfId="43"/>
    <tableColumn id="5" xr3:uid="{DE6ABD24-718B-4150-BE0C-36BEF6F418EF}" name="英文名称" dataDxfId="42"/>
    <tableColumn id="6" xr3:uid="{D011C925-3348-4BE7-8C2E-3C6842E6916A}" name="利益点1" dataDxfId="41"/>
    <tableColumn id="7" xr3:uid="{F5504C9D-1058-48A6-968B-23B28BC8F7E6}" name="利益点2" dataDxfId="40"/>
    <tableColumn id="8" xr3:uid="{DB9EBF50-8A81-4E7D-9C79-A8B394078EE2}" name="利益点3" dataDxfId="39"/>
    <tableColumn id="9" xr3:uid="{433FE346-7BBA-46E3-BFE3-9413FBA3E01E}" name="可显性" dataDxfId="38"/>
    <tableColumn id="10" xr3:uid="{CB9F1632-C222-40F0-B53E-139213D9C6DC}" name="LOGO" dataDxfId="37"/>
    <tableColumn id="11" xr3:uid="{E2B01308-26AD-431F-ABE2-BB7FCB42510E}" name="算力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3CBFBB-E966-48FF-B8C6-6033659FB5DD}" name="电源利益点对照表新" displayName="电源利益点对照表新" ref="A172:C193" totalsRowShown="0">
  <autoFilter ref="A172:C193" xr:uid="{BA672B86-8535-48EF-AA47-1D91CC7B9536}"/>
  <tableColumns count="3">
    <tableColumn id="1" xr3:uid="{67CA77AA-2782-421B-956A-67629710DE5F}" name="型号"/>
    <tableColumn id="2" xr3:uid="{D50715BA-9BCD-4592-92EF-3BE9139C4F37}" name="标题1"/>
    <tableColumn id="3" xr3:uid="{3A9A7A65-F4F2-416F-AB14-DD01F76280DB}" name="可显性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C1F275-908B-4E75-896C-CD4EB85062B1}" name="表1_536" displayName="表1_536" ref="B10:N60" totalsRowShown="0">
  <autoFilter ref="B10:N60" xr:uid="{D9FBC9CF-DD71-4D47-94C8-26F120FEC075}"/>
  <tableColumns count="13">
    <tableColumn id="1" xr3:uid="{1DC9F10E-CDD2-466E-95E2-4FD2E838B155}" name="导出文件名" dataDxfId="35"/>
    <tableColumn id="11" xr3:uid="{BB4E02FC-960A-41C2-BD6B-AB52FFA0C149}" name="配件1" dataDxfId="34"/>
    <tableColumn id="5" xr3:uid="{49319763-E04B-4B45-86D3-D99B34842BE3}" name="配件2"/>
    <tableColumn id="2" xr3:uid="{7A93B8EA-E5D2-46C8-BB71-F23F1EEDC7B0}" name="文本丨标题丨标题1" dataDxfId="33"/>
    <tableColumn id="7" xr3:uid="{4747A9AC-5393-41E4-A360-BD688336D703}" name="文本丨标题丨标题2" dataDxfId="32"/>
    <tableColumn id="6" xr3:uid="{04E3F3AF-118F-417B-8702-DAAEE555B410}" name="文本丨标题丨标题3" dataDxfId="31"/>
    <tableColumn id="4" xr3:uid="{B28C0532-670D-417C-837A-A5EF878522B9}" name="文本丨利益点丨利益点1" dataDxfId="30"/>
    <tableColumn id="9" xr3:uid="{A05D6996-F3B4-464F-B01E-82102B8B64A8}" name="文本丨利益点丨利益点2" dataDxfId="29"/>
    <tableColumn id="3" xr3:uid="{2A696869-068C-4E36-A8A0-FE24D59EA8D1}" name="文本丨利益点丨利益点3" dataDxfId="28"/>
    <tableColumn id="14" xr3:uid="{9009E3FA-7409-422E-85F6-94A4385C3F40}" name="可显性丨显卡丨" dataDxfId="27">
      <calculatedColumnFormula>IF(表1_536[[#This Row],[配件1]]&lt;&gt;"",_xlfn.XLOOKUP(表1_536[[#This Row],[配件1]],显卡利益点对照表[型号],显卡利益点对照表[可显性],"ERROR"),"")</calculatedColumnFormula>
    </tableColumn>
    <tableColumn id="16" xr3:uid="{28CE557A-5114-4A53-910B-E48ED3B52E8D}" name="可显性丨CPU丨"/>
    <tableColumn id="19" xr3:uid="{5F6284EF-8E57-4034-9FE5-5CDBA9C71F5D}" name="可显性丨主板丨" dataDxfId="26"/>
    <tableColumn id="15" xr3:uid="{E53D64E5-CB76-4EB2-A5A7-1D100DB35330}" name="可显性丨LOGO丨" dataDxfId="25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0819BC-1260-4723-8F34-4B90266F391F}" name="表1_5369" displayName="表1_5369" ref="B10:O60" totalsRowShown="0">
  <autoFilter ref="B10:O60" xr:uid="{D9FBC9CF-DD71-4D47-94C8-26F120FEC075}"/>
  <tableColumns count="14">
    <tableColumn id="1" xr3:uid="{91E030A5-0D49-4D57-B188-E97542817FCB}" name="导出文件名" dataDxfId="24"/>
    <tableColumn id="11" xr3:uid="{43F37CF4-3948-465B-8672-B09A79A28235}" name="配件1" dataDxfId="23"/>
    <tableColumn id="5" xr3:uid="{4CAFDAC6-25F2-4C75-9232-639D13C24FBF}" name="配件2"/>
    <tableColumn id="2" xr3:uid="{72013E28-D82C-4F19-8B68-9147E097B796}" name="文本丨标题丨标题1" dataDxfId="22"/>
    <tableColumn id="7" xr3:uid="{0F930BB6-AB59-40FA-9E4A-5536F7A221BA}" name="文本丨标题丨标题2" dataDxfId="21"/>
    <tableColumn id="6" xr3:uid="{BB1A2328-3E4A-437A-A38E-18B0E88B8DAC}" name="文本丨标题丨标题3" dataDxfId="20"/>
    <tableColumn id="8" xr3:uid="{55BE6FB5-87A3-4860-8456-759AFD1FF209}" name="文本丨利益点丨利益点0"/>
    <tableColumn id="4" xr3:uid="{6DD0C5BF-F612-4522-8067-47A3A01E5140}" name="文本丨利益点丨利益点12" dataDxfId="19"/>
    <tableColumn id="9" xr3:uid="{B795F987-EF76-4A00-A454-26C13CE83DC2}" name="文本丨利益点丨利益点2" dataDxfId="18"/>
    <tableColumn id="3" xr3:uid="{0699BD92-F939-47D4-85D0-95C857FD33E5}" name="文本丨利益点丨利益点3" dataDxfId="17"/>
    <tableColumn id="14" xr3:uid="{6BAE1C27-2E50-49F9-82D9-F33635F2137B}" name="可显性丨内存丨" dataDxfId="16"/>
    <tableColumn id="19" xr3:uid="{452D3D4C-BABC-4817-9C06-459C4B708A5B}" name="可显性丨主板丨" dataDxfId="15"/>
    <tableColumn id="10" xr3:uid="{C47303F5-D587-4B76-8899-9F718789E177}" name="可显性丨其他丨"/>
    <tableColumn id="15" xr3:uid="{24B07285-165B-4298-A47E-5591BECC5226}" name="可显性丨LOGO丨" dataDxfId="1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5FC32-5017-4577-9C31-8DF1C9187648}" name="表1_5367" displayName="表1_5367" ref="B10:N122" totalsRowShown="0">
  <autoFilter ref="B10:N122" xr:uid="{D9FBC9CF-DD71-4D47-94C8-26F120FEC075}"/>
  <tableColumns count="13">
    <tableColumn id="1" xr3:uid="{E8A53033-749B-40B1-88CC-8F1ABCF2BF01}" name="导出文件名" dataDxfId="13"/>
    <tableColumn id="11" xr3:uid="{6EA0E9A7-7A44-4E34-9769-DD3CF4AEE0B3}" name="配件1" dataDxfId="12"/>
    <tableColumn id="5" xr3:uid="{A88BACD1-3BAD-4E1B-89D5-3C4973F6D952}" name="配件2"/>
    <tableColumn id="2" xr3:uid="{F0D7F80B-3DCD-4DDD-B5DC-CB70E4C2DF2D}" name="文本丨标题丨标题1" dataDxfId="11"/>
    <tableColumn id="7" xr3:uid="{70AACDEE-3544-44DD-910A-4AE281D0DBA9}" name="文本丨标题丨标题2" dataDxfId="10"/>
    <tableColumn id="6" xr3:uid="{D8452014-BF0B-46C5-90D0-EABEFDB0D902}" name="文本丨标题丨标题3" dataDxfId="9"/>
    <tableColumn id="4" xr3:uid="{2893A5B6-105F-42BD-9658-9A83CC49315A}" name="文本丨利益点丨利益点1" dataDxfId="8"/>
    <tableColumn id="9" xr3:uid="{42E1D206-DD94-4E2A-9EF4-CBCA1A68ADD1}" name="文本丨利益点丨利益点2" dataDxfId="7"/>
    <tableColumn id="3" xr3:uid="{2B35D84D-0DE8-4814-89AE-89E5F05241FB}" name="文本丨利益点丨利益点3" dataDxfId="6"/>
    <tableColumn id="8" xr3:uid="{C986A183-FD74-4882-93D5-B4D61C1FA7E0}" name="文本丨利益点丨利益点4"/>
    <tableColumn id="10" xr3:uid="{41D6D57B-D9F2-4600-AF04-9C01BBBE78C4}" name="可显性丨机电散丨"/>
    <tableColumn id="12" xr3:uid="{F8008221-E08E-4A7D-BFC9-D99BDA52DD31}" name="可显性丨配件丨"/>
    <tableColumn id="14" xr3:uid="{E42C4ED1-8FAC-473B-BACF-170AD40E5BAC}" name="可显性丨LOGO丨2" dataDxfId="5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972332-BCD5-4C5A-905C-898B4FBC81B7}" name="表1_53678" displayName="表1_53678" ref="B10:G56" totalsRowShown="0">
  <autoFilter ref="B10:G56" xr:uid="{D9FBC9CF-DD71-4D47-94C8-26F120FEC075}"/>
  <tableColumns count="6">
    <tableColumn id="1" xr3:uid="{EAF91B16-4421-4F0F-B684-14CA3FFC44A4}" name="导出文件名" dataDxfId="4"/>
    <tableColumn id="11" xr3:uid="{C1A91040-6C70-447D-960B-3C7C1314DB80}" name="备注" dataDxfId="3"/>
    <tableColumn id="5" xr3:uid="{F799F064-FFC4-47D1-9C22-FC370A759444}" name="备注2"/>
    <tableColumn id="2" xr3:uid="{9386E765-5FE9-4673-AD4D-1ACAD92B70F1}" name="文本丨标题丨标题1" dataDxfId="2"/>
    <tableColumn id="7" xr3:uid="{3A53A59B-06AE-4B89-854E-D33E79C0C76E}" name="文本丨标题丨标题2" dataDxfId="1"/>
    <tableColumn id="14" xr3:uid="{BBA9580C-9F67-4A0E-8D0D-BD2429AF3CEB}" name="可显性丨机电散丨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46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F24" sqref="F24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271</v>
      </c>
    </row>
    <row r="2" spans="1:17" x14ac:dyDescent="0.2">
      <c r="A2" t="s">
        <v>1</v>
      </c>
      <c r="B2" s="2" t="s">
        <v>306</v>
      </c>
    </row>
    <row r="3" spans="1:17" x14ac:dyDescent="0.2">
      <c r="A3" t="s">
        <v>2</v>
      </c>
      <c r="B3" s="2" t="s">
        <v>306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160</v>
      </c>
    </row>
    <row r="6" spans="1:17" x14ac:dyDescent="0.2">
      <c r="A6" t="s">
        <v>1093</v>
      </c>
      <c r="B6" s="2" t="s">
        <v>1094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161</v>
      </c>
      <c r="D10" t="s">
        <v>17</v>
      </c>
      <c r="E10" s="8" t="s">
        <v>1096</v>
      </c>
      <c r="F10" s="8" t="s">
        <v>1097</v>
      </c>
      <c r="G10" s="8" t="s">
        <v>1098</v>
      </c>
      <c r="H10" s="9" t="s">
        <v>1099</v>
      </c>
      <c r="I10" s="8" t="s">
        <v>1100</v>
      </c>
      <c r="J10" s="8" t="s">
        <v>1101</v>
      </c>
      <c r="K10" s="8" t="s">
        <v>1102</v>
      </c>
      <c r="L10" s="8" t="s">
        <v>1103</v>
      </c>
      <c r="M10" s="8" t="s">
        <v>1104</v>
      </c>
      <c r="N10" s="8" t="s">
        <v>1105</v>
      </c>
      <c r="O10" s="10" t="s">
        <v>1106</v>
      </c>
      <c r="P10" s="10" t="s">
        <v>1107</v>
      </c>
      <c r="Q10" s="10" t="s">
        <v>1108</v>
      </c>
    </row>
    <row r="11" spans="1:17" ht="15" thickTop="1" x14ac:dyDescent="0.2">
      <c r="B11" s="2" t="s">
        <v>1050</v>
      </c>
      <c r="E11" t="s">
        <v>488</v>
      </c>
      <c r="F11" t="s">
        <v>1052</v>
      </c>
      <c r="G11" t="s">
        <v>494</v>
      </c>
      <c r="H11" s="11" t="s">
        <v>493</v>
      </c>
      <c r="I11" t="s">
        <v>1053</v>
      </c>
      <c r="J11" t="s">
        <v>491</v>
      </c>
      <c r="K11" t="s">
        <v>479</v>
      </c>
      <c r="L11" t="s">
        <v>1055</v>
      </c>
      <c r="M11" t="s">
        <v>1054</v>
      </c>
      <c r="N11" t="s">
        <v>489</v>
      </c>
      <c r="O11" s="2" t="s">
        <v>1050</v>
      </c>
      <c r="P11" t="s">
        <v>295</v>
      </c>
    </row>
    <row r="12" spans="1:17" x14ac:dyDescent="0.2">
      <c r="B12" s="2" t="s">
        <v>486</v>
      </c>
      <c r="E12" t="s">
        <v>488</v>
      </c>
      <c r="F12" t="s">
        <v>282</v>
      </c>
      <c r="G12" t="s">
        <v>494</v>
      </c>
      <c r="H12" s="11" t="s">
        <v>493</v>
      </c>
      <c r="I12" t="s">
        <v>32</v>
      </c>
      <c r="J12" t="s">
        <v>491</v>
      </c>
      <c r="K12" t="s">
        <v>479</v>
      </c>
      <c r="L12" t="s">
        <v>1055</v>
      </c>
      <c r="M12" t="s">
        <v>289</v>
      </c>
      <c r="N12" t="s">
        <v>308</v>
      </c>
      <c r="O12" s="2" t="s">
        <v>486</v>
      </c>
      <c r="P12" t="s">
        <v>296</v>
      </c>
    </row>
    <row r="13" spans="1:17" x14ac:dyDescent="0.2">
      <c r="B13" s="2" t="s">
        <v>487</v>
      </c>
      <c r="E13" t="s">
        <v>488</v>
      </c>
      <c r="F13" t="s">
        <v>284</v>
      </c>
      <c r="G13" t="s">
        <v>494</v>
      </c>
      <c r="H13" s="11" t="s">
        <v>493</v>
      </c>
      <c r="I13" t="s">
        <v>32</v>
      </c>
      <c r="J13" t="s">
        <v>491</v>
      </c>
      <c r="K13" t="s">
        <v>479</v>
      </c>
      <c r="L13" t="s">
        <v>1055</v>
      </c>
      <c r="M13" t="s">
        <v>304</v>
      </c>
      <c r="N13" t="s">
        <v>489</v>
      </c>
      <c r="O13" s="2" t="s">
        <v>487</v>
      </c>
      <c r="P13" t="s">
        <v>296</v>
      </c>
    </row>
    <row r="14" spans="1:17" x14ac:dyDescent="0.2">
      <c r="B14" s="2" t="s">
        <v>485</v>
      </c>
      <c r="E14" t="s">
        <v>488</v>
      </c>
      <c r="F14" t="s">
        <v>62</v>
      </c>
      <c r="G14" t="s">
        <v>494</v>
      </c>
      <c r="H14" s="11" t="s">
        <v>493</v>
      </c>
      <c r="I14" t="s">
        <v>492</v>
      </c>
      <c r="J14" t="s">
        <v>491</v>
      </c>
      <c r="K14" t="s">
        <v>479</v>
      </c>
      <c r="L14" t="s">
        <v>1055</v>
      </c>
      <c r="M14" t="s">
        <v>490</v>
      </c>
      <c r="N14" t="s">
        <v>489</v>
      </c>
      <c r="O14" s="2" t="s">
        <v>485</v>
      </c>
      <c r="P14" t="s">
        <v>296</v>
      </c>
    </row>
    <row r="16" spans="1:17" x14ac:dyDescent="0.2">
      <c r="B16" s="2" t="s">
        <v>280</v>
      </c>
      <c r="E16" t="s">
        <v>281</v>
      </c>
      <c r="F16" t="s">
        <v>282</v>
      </c>
      <c r="G16" t="s">
        <v>294</v>
      </c>
      <c r="H16" s="20" t="s">
        <v>307</v>
      </c>
      <c r="I16" t="s">
        <v>292</v>
      </c>
      <c r="J16" t="s">
        <v>25</v>
      </c>
      <c r="K16" t="s">
        <v>26</v>
      </c>
      <c r="L16" t="s">
        <v>1055</v>
      </c>
      <c r="M16" t="s">
        <v>289</v>
      </c>
      <c r="N16" t="s">
        <v>308</v>
      </c>
      <c r="O16" s="2" t="s">
        <v>280</v>
      </c>
      <c r="P16" t="s">
        <v>296</v>
      </c>
    </row>
    <row r="17" spans="2:16" x14ac:dyDescent="0.2">
      <c r="B17" s="2" t="s">
        <v>278</v>
      </c>
      <c r="E17" t="s">
        <v>281</v>
      </c>
      <c r="F17" t="s">
        <v>283</v>
      </c>
      <c r="G17" t="s">
        <v>294</v>
      </c>
      <c r="H17" s="20" t="s">
        <v>307</v>
      </c>
      <c r="I17" t="s">
        <v>293</v>
      </c>
      <c r="J17" t="s">
        <v>25</v>
      </c>
      <c r="K17" t="s">
        <v>26</v>
      </c>
      <c r="L17" t="s">
        <v>1055</v>
      </c>
      <c r="M17" t="s">
        <v>304</v>
      </c>
      <c r="N17" t="s">
        <v>29</v>
      </c>
      <c r="O17" s="2" t="s">
        <v>278</v>
      </c>
      <c r="P17" t="s">
        <v>295</v>
      </c>
    </row>
    <row r="18" spans="2:16" x14ac:dyDescent="0.2">
      <c r="B18" s="2" t="s">
        <v>279</v>
      </c>
      <c r="E18" t="s">
        <v>281</v>
      </c>
      <c r="F18" t="s">
        <v>284</v>
      </c>
      <c r="G18" t="s">
        <v>294</v>
      </c>
      <c r="H18" s="20" t="s">
        <v>307</v>
      </c>
      <c r="I18" t="s">
        <v>291</v>
      </c>
      <c r="J18" t="s">
        <v>25</v>
      </c>
      <c r="K18" t="s">
        <v>26</v>
      </c>
      <c r="L18" t="s">
        <v>1055</v>
      </c>
      <c r="M18" t="s">
        <v>304</v>
      </c>
      <c r="N18" t="s">
        <v>29</v>
      </c>
      <c r="O18" s="2" t="s">
        <v>279</v>
      </c>
      <c r="P18" t="s">
        <v>296</v>
      </c>
    </row>
    <row r="19" spans="2:16" x14ac:dyDescent="0.2">
      <c r="B19" s="2" t="s">
        <v>535</v>
      </c>
      <c r="E19" t="s">
        <v>281</v>
      </c>
      <c r="F19" t="s">
        <v>563</v>
      </c>
      <c r="G19" t="s">
        <v>294</v>
      </c>
      <c r="H19" s="20" t="s">
        <v>307</v>
      </c>
      <c r="I19" t="s">
        <v>291</v>
      </c>
      <c r="J19" t="s">
        <v>25</v>
      </c>
      <c r="K19" t="s">
        <v>26</v>
      </c>
      <c r="L19" t="s">
        <v>1055</v>
      </c>
      <c r="M19" t="s">
        <v>304</v>
      </c>
      <c r="N19" t="s">
        <v>29</v>
      </c>
      <c r="O19" s="2" t="s">
        <v>535</v>
      </c>
      <c r="P19" t="s">
        <v>296</v>
      </c>
    </row>
    <row r="20" spans="2:16" x14ac:dyDescent="0.2">
      <c r="B20" s="2" t="s">
        <v>277</v>
      </c>
      <c r="E20" t="s">
        <v>281</v>
      </c>
      <c r="F20" t="s">
        <v>285</v>
      </c>
      <c r="G20" t="s">
        <v>294</v>
      </c>
      <c r="H20" s="20" t="s">
        <v>307</v>
      </c>
      <c r="I20" t="s">
        <v>113</v>
      </c>
      <c r="J20" t="s">
        <v>25</v>
      </c>
      <c r="K20" t="s">
        <v>26</v>
      </c>
      <c r="L20" t="s">
        <v>1055</v>
      </c>
      <c r="M20" t="s">
        <v>28</v>
      </c>
      <c r="N20" t="s">
        <v>29</v>
      </c>
      <c r="O20" s="2" t="s">
        <v>277</v>
      </c>
      <c r="P20" t="s">
        <v>296</v>
      </c>
    </row>
    <row r="21" spans="2:16" x14ac:dyDescent="0.2">
      <c r="B21" s="2" t="s">
        <v>536</v>
      </c>
      <c r="E21" t="s">
        <v>281</v>
      </c>
      <c r="F21" t="s">
        <v>564</v>
      </c>
      <c r="G21" t="s">
        <v>294</v>
      </c>
      <c r="H21" s="20" t="s">
        <v>307</v>
      </c>
      <c r="I21" t="s">
        <v>113</v>
      </c>
      <c r="J21" t="s">
        <v>25</v>
      </c>
      <c r="K21" t="s">
        <v>26</v>
      </c>
      <c r="L21" t="s">
        <v>1055</v>
      </c>
      <c r="M21" t="s">
        <v>567</v>
      </c>
      <c r="N21" t="s">
        <v>29</v>
      </c>
      <c r="O21" s="2" t="s">
        <v>536</v>
      </c>
      <c r="P21" t="s">
        <v>296</v>
      </c>
    </row>
    <row r="22" spans="2:16" x14ac:dyDescent="0.2">
      <c r="B22" s="2" t="s">
        <v>275</v>
      </c>
      <c r="E22" t="s">
        <v>281</v>
      </c>
      <c r="F22" t="s">
        <v>286</v>
      </c>
      <c r="G22" t="s">
        <v>294</v>
      </c>
      <c r="H22" s="20" t="s">
        <v>307</v>
      </c>
      <c r="I22" t="s">
        <v>113</v>
      </c>
      <c r="J22" t="s">
        <v>25</v>
      </c>
      <c r="K22" t="s">
        <v>26</v>
      </c>
      <c r="L22" t="s">
        <v>1055</v>
      </c>
      <c r="M22" t="s">
        <v>28</v>
      </c>
      <c r="N22" t="s">
        <v>29</v>
      </c>
      <c r="O22" s="2" t="s">
        <v>275</v>
      </c>
      <c r="P22" t="s">
        <v>296</v>
      </c>
    </row>
    <row r="23" spans="2:16" x14ac:dyDescent="0.2">
      <c r="B23" s="2" t="s">
        <v>274</v>
      </c>
      <c r="E23" t="s">
        <v>281</v>
      </c>
      <c r="F23" t="s">
        <v>62</v>
      </c>
      <c r="G23" t="s">
        <v>294</v>
      </c>
      <c r="H23" s="20" t="s">
        <v>307</v>
      </c>
      <c r="I23" t="s">
        <v>290</v>
      </c>
      <c r="J23" t="s">
        <v>25</v>
      </c>
      <c r="K23" t="s">
        <v>26</v>
      </c>
      <c r="L23" t="s">
        <v>1055</v>
      </c>
      <c r="M23" t="s">
        <v>287</v>
      </c>
      <c r="N23" t="s">
        <v>29</v>
      </c>
      <c r="O23" s="2" t="s">
        <v>274</v>
      </c>
      <c r="P23" t="s">
        <v>296</v>
      </c>
    </row>
    <row r="24" spans="2:16" x14ac:dyDescent="0.2">
      <c r="B24" s="2" t="s">
        <v>276</v>
      </c>
      <c r="E24" t="s">
        <v>281</v>
      </c>
      <c r="F24" t="s">
        <v>67</v>
      </c>
      <c r="G24" t="s">
        <v>294</v>
      </c>
      <c r="H24" s="20" t="s">
        <v>307</v>
      </c>
      <c r="I24" t="s">
        <v>290</v>
      </c>
      <c r="J24" t="s">
        <v>25</v>
      </c>
      <c r="K24" t="s">
        <v>26</v>
      </c>
      <c r="L24" t="s">
        <v>1055</v>
      </c>
      <c r="M24" t="s">
        <v>288</v>
      </c>
      <c r="N24" t="s">
        <v>29</v>
      </c>
      <c r="O24" s="2" t="s">
        <v>276</v>
      </c>
      <c r="P24" t="s">
        <v>296</v>
      </c>
    </row>
    <row r="25" spans="2:16" x14ac:dyDescent="0.2">
      <c r="B25" s="2" t="s">
        <v>273</v>
      </c>
      <c r="E25" t="s">
        <v>281</v>
      </c>
      <c r="F25" t="s">
        <v>45</v>
      </c>
      <c r="G25" t="s">
        <v>294</v>
      </c>
      <c r="H25" s="20" t="s">
        <v>307</v>
      </c>
      <c r="I25" t="s">
        <v>46</v>
      </c>
      <c r="J25" t="s">
        <v>25</v>
      </c>
      <c r="K25" t="s">
        <v>26</v>
      </c>
      <c r="L25" t="s">
        <v>1055</v>
      </c>
      <c r="M25" t="s">
        <v>305</v>
      </c>
      <c r="N25" t="s">
        <v>29</v>
      </c>
      <c r="O25" s="2" t="s">
        <v>273</v>
      </c>
      <c r="P25" t="s">
        <v>65</v>
      </c>
    </row>
    <row r="26" spans="2:16" x14ac:dyDescent="0.2">
      <c r="H26" s="11"/>
    </row>
    <row r="27" spans="2:16" x14ac:dyDescent="0.2">
      <c r="B27" s="2" t="s">
        <v>298</v>
      </c>
      <c r="E27" t="s">
        <v>1095</v>
      </c>
      <c r="F27" t="s">
        <v>21</v>
      </c>
      <c r="G27" t="s">
        <v>22</v>
      </c>
      <c r="H27" s="11" t="s">
        <v>23</v>
      </c>
      <c r="I27" t="s">
        <v>24</v>
      </c>
      <c r="J27" t="s">
        <v>25</v>
      </c>
      <c r="K27" t="s">
        <v>26</v>
      </c>
      <c r="L27" t="s">
        <v>27</v>
      </c>
      <c r="M27" t="s">
        <v>28</v>
      </c>
      <c r="N27" t="s">
        <v>29</v>
      </c>
      <c r="O27" t="s">
        <v>297</v>
      </c>
      <c r="P27" t="s">
        <v>162</v>
      </c>
    </row>
    <row r="28" spans="2:16" x14ac:dyDescent="0.2">
      <c r="B28" s="2" t="s">
        <v>299</v>
      </c>
      <c r="E28" t="s">
        <v>20</v>
      </c>
      <c r="F28" t="s">
        <v>31</v>
      </c>
      <c r="G28" t="s">
        <v>22</v>
      </c>
      <c r="H28" s="11" t="s">
        <v>23</v>
      </c>
      <c r="I28" t="s">
        <v>32</v>
      </c>
      <c r="J28" t="s">
        <v>25</v>
      </c>
      <c r="K28" t="s">
        <v>26</v>
      </c>
      <c r="L28" t="s">
        <v>27</v>
      </c>
      <c r="M28" t="s">
        <v>28</v>
      </c>
      <c r="N28" t="s">
        <v>29</v>
      </c>
      <c r="O28" t="s">
        <v>164</v>
      </c>
      <c r="P28" t="s">
        <v>30</v>
      </c>
    </row>
    <row r="29" spans="2:16" x14ac:dyDescent="0.2">
      <c r="B29" s="2" t="s">
        <v>538</v>
      </c>
      <c r="E29" t="s">
        <v>556</v>
      </c>
      <c r="F29" t="s">
        <v>563</v>
      </c>
      <c r="G29" t="s">
        <v>557</v>
      </c>
      <c r="H29" s="11" t="s">
        <v>558</v>
      </c>
      <c r="I29" t="s">
        <v>58</v>
      </c>
      <c r="J29" t="s">
        <v>559</v>
      </c>
      <c r="K29" t="s">
        <v>560</v>
      </c>
      <c r="L29" t="s">
        <v>561</v>
      </c>
      <c r="M29" t="s">
        <v>562</v>
      </c>
      <c r="N29" t="s">
        <v>412</v>
      </c>
      <c r="O29" s="2" t="s">
        <v>538</v>
      </c>
      <c r="P29" t="s">
        <v>296</v>
      </c>
    </row>
    <row r="30" spans="2:16" x14ac:dyDescent="0.2">
      <c r="B30" s="2" t="s">
        <v>300</v>
      </c>
      <c r="E30" t="s">
        <v>20</v>
      </c>
      <c r="F30" t="s">
        <v>33</v>
      </c>
      <c r="G30" t="s">
        <v>22</v>
      </c>
      <c r="H30" s="11" t="s">
        <v>23</v>
      </c>
      <c r="I30" t="s">
        <v>34</v>
      </c>
      <c r="J30" t="s">
        <v>25</v>
      </c>
      <c r="K30" t="s">
        <v>26</v>
      </c>
      <c r="L30" t="s">
        <v>27</v>
      </c>
      <c r="M30" t="s">
        <v>35</v>
      </c>
      <c r="N30" t="s">
        <v>29</v>
      </c>
      <c r="O30" t="s">
        <v>166</v>
      </c>
      <c r="P30" t="s">
        <v>30</v>
      </c>
    </row>
    <row r="31" spans="2:16" x14ac:dyDescent="0.2">
      <c r="B31" s="2" t="s">
        <v>540</v>
      </c>
      <c r="E31" t="s">
        <v>20</v>
      </c>
      <c r="F31" t="s">
        <v>565</v>
      </c>
      <c r="G31" t="s">
        <v>22</v>
      </c>
      <c r="H31" s="11" t="s">
        <v>23</v>
      </c>
      <c r="I31" t="s">
        <v>34</v>
      </c>
      <c r="J31" t="s">
        <v>25</v>
      </c>
      <c r="K31" t="s">
        <v>26</v>
      </c>
      <c r="L31" t="s">
        <v>27</v>
      </c>
      <c r="M31" t="s">
        <v>566</v>
      </c>
      <c r="N31" t="s">
        <v>29</v>
      </c>
      <c r="O31" s="2" t="s">
        <v>540</v>
      </c>
      <c r="P31" t="s">
        <v>30</v>
      </c>
    </row>
    <row r="32" spans="2:16" x14ac:dyDescent="0.2">
      <c r="B32" s="2" t="s">
        <v>301</v>
      </c>
      <c r="E32" t="s">
        <v>20</v>
      </c>
      <c r="F32" t="s">
        <v>36</v>
      </c>
      <c r="G32" t="s">
        <v>22</v>
      </c>
      <c r="H32" s="11" t="s">
        <v>23</v>
      </c>
      <c r="I32" t="s">
        <v>34</v>
      </c>
      <c r="J32" t="s">
        <v>25</v>
      </c>
      <c r="K32" t="s">
        <v>26</v>
      </c>
      <c r="L32" t="s">
        <v>27</v>
      </c>
      <c r="M32" t="s">
        <v>35</v>
      </c>
      <c r="N32" t="s">
        <v>29</v>
      </c>
      <c r="O32" t="s">
        <v>168</v>
      </c>
      <c r="P32" t="s">
        <v>30</v>
      </c>
    </row>
    <row r="33" spans="2:16" x14ac:dyDescent="0.2">
      <c r="B33" s="2" t="s">
        <v>302</v>
      </c>
      <c r="E33" t="s">
        <v>20</v>
      </c>
      <c r="F33" t="s">
        <v>37</v>
      </c>
      <c r="G33" t="s">
        <v>22</v>
      </c>
      <c r="H33" s="11" t="s">
        <v>23</v>
      </c>
      <c r="I33" t="s">
        <v>38</v>
      </c>
      <c r="J33" t="s">
        <v>25</v>
      </c>
      <c r="K33" t="s">
        <v>26</v>
      </c>
      <c r="L33" t="s">
        <v>27</v>
      </c>
      <c r="M33" t="s">
        <v>39</v>
      </c>
      <c r="N33" t="s">
        <v>29</v>
      </c>
      <c r="O33" t="s">
        <v>170</v>
      </c>
      <c r="P33" t="s">
        <v>30</v>
      </c>
    </row>
    <row r="34" spans="2:16" x14ac:dyDescent="0.2">
      <c r="B34" s="2" t="s">
        <v>303</v>
      </c>
      <c r="E34" t="s">
        <v>20</v>
      </c>
      <c r="F34" t="s">
        <v>40</v>
      </c>
      <c r="G34" t="s">
        <v>22</v>
      </c>
      <c r="H34" s="11" t="s">
        <v>23</v>
      </c>
      <c r="I34" t="s">
        <v>38</v>
      </c>
      <c r="J34" t="s">
        <v>25</v>
      </c>
      <c r="K34" t="s">
        <v>26</v>
      </c>
      <c r="L34" t="s">
        <v>27</v>
      </c>
      <c r="M34" t="s">
        <v>41</v>
      </c>
      <c r="N34" t="s">
        <v>29</v>
      </c>
      <c r="O34" t="s">
        <v>173</v>
      </c>
      <c r="P34" t="s">
        <v>30</v>
      </c>
    </row>
    <row r="36" spans="2:16" x14ac:dyDescent="0.2">
      <c r="B36" s="2" t="s">
        <v>297</v>
      </c>
      <c r="E36" t="s">
        <v>42</v>
      </c>
      <c r="F36" t="s">
        <v>21</v>
      </c>
      <c r="G36" t="s">
        <v>22</v>
      </c>
      <c r="H36" s="11" t="s">
        <v>23</v>
      </c>
      <c r="I36" t="s">
        <v>24</v>
      </c>
      <c r="J36" t="s">
        <v>43</v>
      </c>
      <c r="K36" t="s">
        <v>26</v>
      </c>
      <c r="L36" t="s">
        <v>27</v>
      </c>
      <c r="M36" t="s">
        <v>28</v>
      </c>
      <c r="N36" t="s">
        <v>29</v>
      </c>
      <c r="O36" t="s">
        <v>297</v>
      </c>
      <c r="P36" t="s">
        <v>162</v>
      </c>
    </row>
    <row r="37" spans="2:16" x14ac:dyDescent="0.2">
      <c r="B37" s="2" t="s">
        <v>163</v>
      </c>
      <c r="E37" t="s">
        <v>42</v>
      </c>
      <c r="F37" t="s">
        <v>31</v>
      </c>
      <c r="G37" t="s">
        <v>22</v>
      </c>
      <c r="H37" s="11" t="s">
        <v>23</v>
      </c>
      <c r="I37" t="s">
        <v>32</v>
      </c>
      <c r="J37" t="s">
        <v>43</v>
      </c>
      <c r="K37" t="s">
        <v>26</v>
      </c>
      <c r="L37" t="s">
        <v>27</v>
      </c>
      <c r="M37" t="s">
        <v>28</v>
      </c>
      <c r="N37" t="s">
        <v>29</v>
      </c>
      <c r="O37" t="s">
        <v>164</v>
      </c>
      <c r="P37" t="s">
        <v>30</v>
      </c>
    </row>
    <row r="38" spans="2:16" x14ac:dyDescent="0.2">
      <c r="B38" s="2" t="s">
        <v>542</v>
      </c>
      <c r="E38" t="s">
        <v>42</v>
      </c>
      <c r="F38" t="s">
        <v>563</v>
      </c>
      <c r="G38" t="s">
        <v>22</v>
      </c>
      <c r="H38" s="11" t="s">
        <v>23</v>
      </c>
      <c r="J38" t="s">
        <v>43</v>
      </c>
      <c r="K38" t="s">
        <v>26</v>
      </c>
      <c r="L38" t="s">
        <v>27</v>
      </c>
      <c r="M38" t="s">
        <v>562</v>
      </c>
      <c r="N38" t="s">
        <v>29</v>
      </c>
      <c r="O38" t="s">
        <v>542</v>
      </c>
      <c r="P38" t="s">
        <v>30</v>
      </c>
    </row>
    <row r="39" spans="2:16" x14ac:dyDescent="0.2">
      <c r="B39" s="2" t="s">
        <v>165</v>
      </c>
      <c r="E39" t="s">
        <v>42</v>
      </c>
      <c r="F39" t="s">
        <v>33</v>
      </c>
      <c r="G39" t="s">
        <v>22</v>
      </c>
      <c r="H39" s="11" t="s">
        <v>23</v>
      </c>
      <c r="I39" t="s">
        <v>34</v>
      </c>
      <c r="J39" t="s">
        <v>43</v>
      </c>
      <c r="K39" t="s">
        <v>26</v>
      </c>
      <c r="L39" t="s">
        <v>27</v>
      </c>
      <c r="M39" t="s">
        <v>35</v>
      </c>
      <c r="N39" t="s">
        <v>29</v>
      </c>
      <c r="O39" t="s">
        <v>166</v>
      </c>
      <c r="P39" t="s">
        <v>30</v>
      </c>
    </row>
    <row r="40" spans="2:16" x14ac:dyDescent="0.2">
      <c r="B40" s="2" t="s">
        <v>551</v>
      </c>
      <c r="E40" t="s">
        <v>42</v>
      </c>
      <c r="F40" t="s">
        <v>564</v>
      </c>
      <c r="G40" t="s">
        <v>22</v>
      </c>
      <c r="H40" s="11" t="s">
        <v>23</v>
      </c>
      <c r="J40" t="s">
        <v>43</v>
      </c>
      <c r="K40" t="s">
        <v>26</v>
      </c>
      <c r="L40" t="s">
        <v>27</v>
      </c>
      <c r="M40" t="s">
        <v>566</v>
      </c>
      <c r="N40" t="s">
        <v>29</v>
      </c>
      <c r="O40" t="s">
        <v>551</v>
      </c>
      <c r="P40" t="s">
        <v>30</v>
      </c>
    </row>
    <row r="41" spans="2:16" x14ac:dyDescent="0.2">
      <c r="B41" s="2" t="s">
        <v>167</v>
      </c>
      <c r="E41" t="s">
        <v>42</v>
      </c>
      <c r="F41" t="s">
        <v>36</v>
      </c>
      <c r="G41" t="s">
        <v>22</v>
      </c>
      <c r="H41" s="11" t="s">
        <v>23</v>
      </c>
      <c r="I41" t="s">
        <v>34</v>
      </c>
      <c r="J41" t="s">
        <v>43</v>
      </c>
      <c r="K41" t="s">
        <v>26</v>
      </c>
      <c r="L41" t="s">
        <v>27</v>
      </c>
      <c r="M41" t="s">
        <v>35</v>
      </c>
      <c r="N41" t="s">
        <v>29</v>
      </c>
      <c r="O41" t="s">
        <v>168</v>
      </c>
      <c r="P41" t="s">
        <v>30</v>
      </c>
    </row>
    <row r="42" spans="2:16" x14ac:dyDescent="0.2">
      <c r="B42" s="2" t="s">
        <v>169</v>
      </c>
      <c r="E42" t="s">
        <v>42</v>
      </c>
      <c r="F42" t="s">
        <v>37</v>
      </c>
      <c r="G42" t="s">
        <v>22</v>
      </c>
      <c r="H42" s="11" t="s">
        <v>23</v>
      </c>
      <c r="I42" t="s">
        <v>38</v>
      </c>
      <c r="J42" t="s">
        <v>43</v>
      </c>
      <c r="K42" t="s">
        <v>26</v>
      </c>
      <c r="L42" t="s">
        <v>27</v>
      </c>
      <c r="M42" t="s">
        <v>39</v>
      </c>
      <c r="N42" t="s">
        <v>29</v>
      </c>
      <c r="O42" t="s">
        <v>170</v>
      </c>
      <c r="P42" t="s">
        <v>30</v>
      </c>
    </row>
    <row r="43" spans="2:16" x14ac:dyDescent="0.2">
      <c r="B43" s="2" t="s">
        <v>171</v>
      </c>
      <c r="E43" t="s">
        <v>42</v>
      </c>
      <c r="F43" t="s">
        <v>44</v>
      </c>
      <c r="G43" t="s">
        <v>22</v>
      </c>
      <c r="H43" s="11" t="s">
        <v>23</v>
      </c>
      <c r="I43" t="s">
        <v>38</v>
      </c>
      <c r="J43" t="s">
        <v>43</v>
      </c>
      <c r="K43" t="s">
        <v>26</v>
      </c>
      <c r="L43" t="s">
        <v>27</v>
      </c>
      <c r="M43" t="s">
        <v>41</v>
      </c>
      <c r="N43" t="s">
        <v>29</v>
      </c>
      <c r="O43" t="s">
        <v>173</v>
      </c>
      <c r="P43" t="s">
        <v>30</v>
      </c>
    </row>
    <row r="44" spans="2:16" x14ac:dyDescent="0.2">
      <c r="B44" s="2" t="s">
        <v>172</v>
      </c>
      <c r="E44" t="s">
        <v>42</v>
      </c>
      <c r="F44" t="s">
        <v>45</v>
      </c>
      <c r="G44" t="s">
        <v>22</v>
      </c>
      <c r="H44" s="11" t="s">
        <v>23</v>
      </c>
      <c r="I44" t="s">
        <v>46</v>
      </c>
      <c r="J44" t="s">
        <v>43</v>
      </c>
      <c r="K44" t="s">
        <v>26</v>
      </c>
      <c r="L44" t="s">
        <v>27</v>
      </c>
      <c r="M44" t="s">
        <v>47</v>
      </c>
      <c r="N44" t="s">
        <v>29</v>
      </c>
      <c r="O44" t="s">
        <v>174</v>
      </c>
      <c r="P44" t="s">
        <v>65</v>
      </c>
    </row>
    <row r="45" spans="2:16" x14ac:dyDescent="0.2">
      <c r="H45" s="11"/>
    </row>
    <row r="46" spans="2:16" x14ac:dyDescent="0.2">
      <c r="B46" s="2" t="s">
        <v>363</v>
      </c>
      <c r="E46" t="s">
        <v>49</v>
      </c>
      <c r="F46" t="s">
        <v>413</v>
      </c>
      <c r="G46" t="s">
        <v>51</v>
      </c>
      <c r="H46" s="3">
        <v>6144</v>
      </c>
      <c r="I46" t="s">
        <v>292</v>
      </c>
      <c r="J46" t="s">
        <v>53</v>
      </c>
      <c r="K46" t="s">
        <v>54</v>
      </c>
      <c r="L46" t="s">
        <v>410</v>
      </c>
      <c r="M46" t="s">
        <v>56</v>
      </c>
      <c r="N46" t="s">
        <v>412</v>
      </c>
      <c r="O46" t="s">
        <v>363</v>
      </c>
      <c r="P46" t="s">
        <v>162</v>
      </c>
    </row>
    <row r="47" spans="2:16" x14ac:dyDescent="0.2">
      <c r="B47" s="2" t="s">
        <v>364</v>
      </c>
      <c r="E47" t="s">
        <v>49</v>
      </c>
      <c r="F47" t="s">
        <v>50</v>
      </c>
      <c r="G47" t="s">
        <v>51</v>
      </c>
      <c r="H47" s="3">
        <v>6144</v>
      </c>
      <c r="I47" t="s">
        <v>52</v>
      </c>
      <c r="J47" t="s">
        <v>53</v>
      </c>
      <c r="K47" t="s">
        <v>54</v>
      </c>
      <c r="L47" t="s">
        <v>55</v>
      </c>
      <c r="M47" t="s">
        <v>56</v>
      </c>
      <c r="N47" t="s">
        <v>29</v>
      </c>
      <c r="O47" t="s">
        <v>364</v>
      </c>
      <c r="P47" t="s">
        <v>30</v>
      </c>
    </row>
    <row r="48" spans="2:16" x14ac:dyDescent="0.2">
      <c r="B48" s="2" t="s">
        <v>365</v>
      </c>
      <c r="E48" t="s">
        <v>49</v>
      </c>
      <c r="F48" t="s">
        <v>33</v>
      </c>
      <c r="G48" t="s">
        <v>51</v>
      </c>
      <c r="H48" s="3">
        <v>6144</v>
      </c>
      <c r="I48" t="s">
        <v>58</v>
      </c>
      <c r="J48" t="s">
        <v>53</v>
      </c>
      <c r="K48" t="s">
        <v>54</v>
      </c>
      <c r="L48" t="s">
        <v>55</v>
      </c>
      <c r="M48" t="s">
        <v>59</v>
      </c>
      <c r="N48" t="s">
        <v>29</v>
      </c>
      <c r="O48" t="s">
        <v>365</v>
      </c>
      <c r="P48" t="s">
        <v>30</v>
      </c>
    </row>
    <row r="49" spans="2:20" x14ac:dyDescent="0.2">
      <c r="B49" s="2" t="s">
        <v>366</v>
      </c>
      <c r="E49" t="s">
        <v>49</v>
      </c>
      <c r="F49" t="s">
        <v>36</v>
      </c>
      <c r="G49" t="s">
        <v>51</v>
      </c>
      <c r="H49" s="3">
        <v>6144</v>
      </c>
      <c r="I49" t="s">
        <v>58</v>
      </c>
      <c r="J49" t="s">
        <v>53</v>
      </c>
      <c r="K49" t="s">
        <v>54</v>
      </c>
      <c r="L49" t="s">
        <v>55</v>
      </c>
      <c r="M49" t="s">
        <v>59</v>
      </c>
      <c r="N49" t="s">
        <v>29</v>
      </c>
      <c r="O49" t="s">
        <v>366</v>
      </c>
      <c r="P49" t="s">
        <v>30</v>
      </c>
    </row>
    <row r="50" spans="2:20" x14ac:dyDescent="0.2">
      <c r="B50" s="2" t="s">
        <v>367</v>
      </c>
      <c r="E50" t="s">
        <v>49</v>
      </c>
      <c r="F50" t="s">
        <v>62</v>
      </c>
      <c r="G50" t="s">
        <v>51</v>
      </c>
      <c r="H50" s="3">
        <v>6144</v>
      </c>
      <c r="I50" t="s">
        <v>63</v>
      </c>
      <c r="J50" t="s">
        <v>53</v>
      </c>
      <c r="K50" t="s">
        <v>54</v>
      </c>
      <c r="L50" t="s">
        <v>55</v>
      </c>
      <c r="M50" t="s">
        <v>64</v>
      </c>
      <c r="N50" t="s">
        <v>29</v>
      </c>
      <c r="O50" t="s">
        <v>367</v>
      </c>
      <c r="P50" t="s">
        <v>65</v>
      </c>
    </row>
    <row r="51" spans="2:20" x14ac:dyDescent="0.2">
      <c r="B51" s="2" t="s">
        <v>368</v>
      </c>
      <c r="E51" t="s">
        <v>49</v>
      </c>
      <c r="F51" t="s">
        <v>67</v>
      </c>
      <c r="G51" t="s">
        <v>51</v>
      </c>
      <c r="H51" s="3">
        <v>6144</v>
      </c>
      <c r="I51" t="s">
        <v>63</v>
      </c>
      <c r="J51" t="s">
        <v>53</v>
      </c>
      <c r="K51" t="s">
        <v>54</v>
      </c>
      <c r="L51" t="s">
        <v>55</v>
      </c>
      <c r="M51" t="s">
        <v>68</v>
      </c>
      <c r="N51" t="s">
        <v>29</v>
      </c>
      <c r="O51" t="s">
        <v>368</v>
      </c>
      <c r="P51" t="s">
        <v>65</v>
      </c>
    </row>
    <row r="52" spans="2:20" x14ac:dyDescent="0.2">
      <c r="B52" s="2" t="s">
        <v>369</v>
      </c>
      <c r="E52" t="s">
        <v>49</v>
      </c>
      <c r="F52" t="s">
        <v>70</v>
      </c>
      <c r="G52" t="s">
        <v>51</v>
      </c>
      <c r="H52" s="3">
        <v>6144</v>
      </c>
      <c r="I52" t="s">
        <v>71</v>
      </c>
      <c r="J52" t="s">
        <v>53</v>
      </c>
      <c r="K52" t="s">
        <v>54</v>
      </c>
      <c r="L52" t="s">
        <v>55</v>
      </c>
      <c r="M52" t="s">
        <v>415</v>
      </c>
      <c r="N52" t="s">
        <v>29</v>
      </c>
      <c r="O52" t="s">
        <v>369</v>
      </c>
      <c r="P52" t="s">
        <v>65</v>
      </c>
    </row>
    <row r="54" spans="2:20" x14ac:dyDescent="0.2">
      <c r="B54" s="2" t="s">
        <v>372</v>
      </c>
      <c r="E54" t="s">
        <v>406</v>
      </c>
      <c r="F54" t="s">
        <v>413</v>
      </c>
      <c r="G54" t="s">
        <v>407</v>
      </c>
      <c r="H54" s="3" t="s">
        <v>75</v>
      </c>
      <c r="I54" t="s">
        <v>414</v>
      </c>
      <c r="J54" t="s">
        <v>408</v>
      </c>
      <c r="K54" t="s">
        <v>409</v>
      </c>
      <c r="L54" t="s">
        <v>410</v>
      </c>
      <c r="M54" t="s">
        <v>411</v>
      </c>
      <c r="N54" t="s">
        <v>412</v>
      </c>
      <c r="O54" t="s">
        <v>372</v>
      </c>
      <c r="P54" t="s">
        <v>162</v>
      </c>
    </row>
    <row r="55" spans="2:20" x14ac:dyDescent="0.2">
      <c r="B55" s="2" t="s">
        <v>374</v>
      </c>
      <c r="E55" t="s">
        <v>73</v>
      </c>
      <c r="F55" t="s">
        <v>50</v>
      </c>
      <c r="G55" t="s">
        <v>74</v>
      </c>
      <c r="H55" s="3" t="s">
        <v>75</v>
      </c>
      <c r="I55" t="s">
        <v>76</v>
      </c>
      <c r="J55" s="11" t="s">
        <v>43</v>
      </c>
      <c r="K55" t="s">
        <v>77</v>
      </c>
      <c r="L55" t="s">
        <v>55</v>
      </c>
      <c r="M55" t="s">
        <v>78</v>
      </c>
      <c r="N55" t="s">
        <v>29</v>
      </c>
      <c r="O55" t="s">
        <v>374</v>
      </c>
      <c r="P55" t="s">
        <v>30</v>
      </c>
    </row>
    <row r="56" spans="2:20" x14ac:dyDescent="0.2">
      <c r="B56" s="2" t="s">
        <v>376</v>
      </c>
      <c r="E56" t="s">
        <v>73</v>
      </c>
      <c r="F56" t="s">
        <v>33</v>
      </c>
      <c r="G56" t="s">
        <v>74</v>
      </c>
      <c r="H56" s="3" t="s">
        <v>75</v>
      </c>
      <c r="I56" t="s">
        <v>52</v>
      </c>
      <c r="J56" s="11" t="s">
        <v>43</v>
      </c>
      <c r="K56" t="s">
        <v>77</v>
      </c>
      <c r="L56" t="s">
        <v>55</v>
      </c>
      <c r="M56" t="s">
        <v>78</v>
      </c>
      <c r="N56" t="s">
        <v>29</v>
      </c>
      <c r="O56" t="s">
        <v>376</v>
      </c>
      <c r="P56" t="s">
        <v>30</v>
      </c>
      <c r="T56" t="str" cm="1">
        <f t="array" ref="T56:T63">_xlfn.UNIQUE(表1_11[文本|规格|规格8])</f>
        <v>DP2.1bx2+HDM2.1bx2</v>
      </c>
    </row>
    <row r="57" spans="2:20" x14ac:dyDescent="0.2">
      <c r="B57" s="2" t="s">
        <v>378</v>
      </c>
      <c r="E57" t="s">
        <v>73</v>
      </c>
      <c r="F57" t="s">
        <v>36</v>
      </c>
      <c r="G57" t="s">
        <v>74</v>
      </c>
      <c r="H57" s="3" t="s">
        <v>75</v>
      </c>
      <c r="I57" t="s">
        <v>81</v>
      </c>
      <c r="J57" s="11" t="s">
        <v>43</v>
      </c>
      <c r="K57" t="s">
        <v>77</v>
      </c>
      <c r="L57" t="s">
        <v>55</v>
      </c>
      <c r="M57" t="s">
        <v>78</v>
      </c>
      <c r="N57" t="s">
        <v>29</v>
      </c>
      <c r="O57" t="s">
        <v>378</v>
      </c>
      <c r="P57" t="s">
        <v>30</v>
      </c>
      <c r="T57" t="str">
        <v>DP2.1bx2+DP1.4ax1+HDM2.1bx1丨15</v>
      </c>
    </row>
    <row r="58" spans="2:20" x14ac:dyDescent="0.2">
      <c r="B58" s="2" t="s">
        <v>380</v>
      </c>
      <c r="E58" t="s">
        <v>73</v>
      </c>
      <c r="F58" t="s">
        <v>62</v>
      </c>
      <c r="G58" t="s">
        <v>74</v>
      </c>
      <c r="H58" s="3" t="s">
        <v>75</v>
      </c>
      <c r="I58" t="s">
        <v>83</v>
      </c>
      <c r="J58" s="11" t="s">
        <v>43</v>
      </c>
      <c r="K58" t="s">
        <v>77</v>
      </c>
      <c r="L58" t="s">
        <v>55</v>
      </c>
      <c r="M58" t="s">
        <v>84</v>
      </c>
      <c r="N58" t="s">
        <v>29</v>
      </c>
      <c r="O58" t="s">
        <v>380</v>
      </c>
      <c r="P58" t="s">
        <v>65</v>
      </c>
      <c r="T58">
        <v>0</v>
      </c>
    </row>
    <row r="59" spans="2:20" x14ac:dyDescent="0.2">
      <c r="B59" s="2" t="s">
        <v>382</v>
      </c>
      <c r="E59" t="s">
        <v>73</v>
      </c>
      <c r="F59" t="s">
        <v>67</v>
      </c>
      <c r="G59" t="s">
        <v>74</v>
      </c>
      <c r="H59" s="3" t="s">
        <v>75</v>
      </c>
      <c r="I59" t="s">
        <v>83</v>
      </c>
      <c r="J59" s="11" t="s">
        <v>43</v>
      </c>
      <c r="K59" t="s">
        <v>77</v>
      </c>
      <c r="L59" t="s">
        <v>55</v>
      </c>
      <c r="M59" t="s">
        <v>84</v>
      </c>
      <c r="N59" t="s">
        <v>29</v>
      </c>
      <c r="O59" t="s">
        <v>382</v>
      </c>
      <c r="P59" t="s">
        <v>65</v>
      </c>
      <c r="T59" t="str">
        <v>DP2.1bx3+HDM2.1bx1</v>
      </c>
    </row>
    <row r="60" spans="2:20" x14ac:dyDescent="0.2">
      <c r="B60" s="2" t="s">
        <v>384</v>
      </c>
      <c r="E60" t="s">
        <v>73</v>
      </c>
      <c r="F60" t="s">
        <v>70</v>
      </c>
      <c r="G60" t="s">
        <v>74</v>
      </c>
      <c r="H60" s="3" t="s">
        <v>75</v>
      </c>
      <c r="I60" t="s">
        <v>87</v>
      </c>
      <c r="J60" s="11" t="s">
        <v>43</v>
      </c>
      <c r="K60" t="s">
        <v>77</v>
      </c>
      <c r="L60" t="s">
        <v>55</v>
      </c>
      <c r="M60" t="s">
        <v>88</v>
      </c>
      <c r="N60" t="s">
        <v>29</v>
      </c>
      <c r="O60" t="s">
        <v>384</v>
      </c>
      <c r="P60" t="s">
        <v>65</v>
      </c>
      <c r="T60" t="str">
        <v>DP1.4a*2+HDMI2.1a*2</v>
      </c>
    </row>
    <row r="61" spans="2:20" x14ac:dyDescent="0.2">
      <c r="H61" s="3"/>
      <c r="J61" s="11"/>
      <c r="T61" t="str">
        <v>DP2.1ax2+HDMI2.1bx1</v>
      </c>
    </row>
    <row r="62" spans="2:20" x14ac:dyDescent="0.2">
      <c r="B62" s="2" t="s">
        <v>1004</v>
      </c>
      <c r="E62" t="s">
        <v>90</v>
      </c>
      <c r="F62" t="s">
        <v>413</v>
      </c>
      <c r="G62" t="s">
        <v>91</v>
      </c>
      <c r="H62" s="3" t="s">
        <v>92</v>
      </c>
      <c r="I62" t="s">
        <v>34</v>
      </c>
      <c r="J62" s="11" t="s">
        <v>43</v>
      </c>
      <c r="K62" t="s">
        <v>94</v>
      </c>
      <c r="L62" t="s">
        <v>95</v>
      </c>
      <c r="M62" t="s">
        <v>78</v>
      </c>
      <c r="N62" t="s">
        <v>29</v>
      </c>
      <c r="O62" t="s">
        <v>386</v>
      </c>
      <c r="P62" t="s">
        <v>162</v>
      </c>
      <c r="T62" t="str">
        <v>DP1.4a x 3+HDM2.1ax1</v>
      </c>
    </row>
    <row r="63" spans="2:20" x14ac:dyDescent="0.2">
      <c r="B63" s="2" t="s">
        <v>386</v>
      </c>
      <c r="E63" t="s">
        <v>90</v>
      </c>
      <c r="F63" t="s">
        <v>50</v>
      </c>
      <c r="G63" t="s">
        <v>91</v>
      </c>
      <c r="H63" s="3" t="s">
        <v>92</v>
      </c>
      <c r="I63" t="s">
        <v>93</v>
      </c>
      <c r="J63" s="11" t="s">
        <v>43</v>
      </c>
      <c r="K63" t="s">
        <v>94</v>
      </c>
      <c r="L63" t="s">
        <v>95</v>
      </c>
      <c r="M63" t="s">
        <v>78</v>
      </c>
      <c r="N63" t="s">
        <v>29</v>
      </c>
      <c r="O63" t="s">
        <v>386</v>
      </c>
      <c r="P63" t="s">
        <v>30</v>
      </c>
      <c r="T63" t="str">
        <v>DP1.4a * 3+HDM2.1ax1</v>
      </c>
    </row>
    <row r="64" spans="2:20" x14ac:dyDescent="0.2">
      <c r="B64" s="2" t="s">
        <v>388</v>
      </c>
      <c r="E64" t="s">
        <v>90</v>
      </c>
      <c r="F64" t="s">
        <v>62</v>
      </c>
      <c r="G64" t="s">
        <v>91</v>
      </c>
      <c r="H64" s="3" t="s">
        <v>92</v>
      </c>
      <c r="I64" t="s">
        <v>97</v>
      </c>
      <c r="J64" s="11" t="s">
        <v>43</v>
      </c>
      <c r="K64" t="s">
        <v>94</v>
      </c>
      <c r="L64" t="s">
        <v>95</v>
      </c>
      <c r="M64" t="s">
        <v>84</v>
      </c>
      <c r="N64" t="s">
        <v>29</v>
      </c>
      <c r="O64" t="s">
        <v>388</v>
      </c>
      <c r="P64" t="s">
        <v>65</v>
      </c>
    </row>
    <row r="65" spans="2:16" x14ac:dyDescent="0.2">
      <c r="B65" s="2" t="s">
        <v>390</v>
      </c>
      <c r="E65" t="s">
        <v>90</v>
      </c>
      <c r="F65" t="s">
        <v>67</v>
      </c>
      <c r="G65" t="s">
        <v>91</v>
      </c>
      <c r="H65" s="3" t="s">
        <v>92</v>
      </c>
      <c r="I65" t="s">
        <v>97</v>
      </c>
      <c r="J65" s="11" t="s">
        <v>43</v>
      </c>
      <c r="K65" t="s">
        <v>94</v>
      </c>
      <c r="L65" t="s">
        <v>95</v>
      </c>
      <c r="M65" t="s">
        <v>78</v>
      </c>
      <c r="N65" t="s">
        <v>29</v>
      </c>
      <c r="O65" t="s">
        <v>390</v>
      </c>
      <c r="P65" t="s">
        <v>65</v>
      </c>
    </row>
    <row r="66" spans="2:16" x14ac:dyDescent="0.2">
      <c r="B66" s="2" t="s">
        <v>392</v>
      </c>
      <c r="E66" t="s">
        <v>90</v>
      </c>
      <c r="F66" t="s">
        <v>70</v>
      </c>
      <c r="G66" t="s">
        <v>91</v>
      </c>
      <c r="H66" s="3" t="s">
        <v>92</v>
      </c>
      <c r="I66" t="s">
        <v>100</v>
      </c>
      <c r="J66" s="11" t="s">
        <v>43</v>
      </c>
      <c r="K66" t="s">
        <v>94</v>
      </c>
      <c r="L66" t="s">
        <v>95</v>
      </c>
      <c r="M66" t="s">
        <v>88</v>
      </c>
      <c r="N66" t="s">
        <v>29</v>
      </c>
      <c r="O66" t="s">
        <v>392</v>
      </c>
      <c r="P66" t="s">
        <v>65</v>
      </c>
    </row>
    <row r="67" spans="2:16" x14ac:dyDescent="0.2">
      <c r="B67" s="2" t="s">
        <v>394</v>
      </c>
      <c r="E67" t="s">
        <v>90</v>
      </c>
      <c r="F67" t="s">
        <v>102</v>
      </c>
      <c r="G67" t="s">
        <v>91</v>
      </c>
      <c r="H67" s="3" t="s">
        <v>92</v>
      </c>
      <c r="I67" t="s">
        <v>100</v>
      </c>
      <c r="J67" s="11" t="s">
        <v>43</v>
      </c>
      <c r="K67" t="s">
        <v>94</v>
      </c>
      <c r="L67" t="s">
        <v>95</v>
      </c>
      <c r="M67" t="s">
        <v>88</v>
      </c>
      <c r="N67" t="s">
        <v>29</v>
      </c>
      <c r="O67" t="s">
        <v>394</v>
      </c>
      <c r="P67" t="s">
        <v>65</v>
      </c>
    </row>
    <row r="68" spans="2:16" x14ac:dyDescent="0.2">
      <c r="B68" s="2" t="s">
        <v>396</v>
      </c>
      <c r="E68" t="s">
        <v>90</v>
      </c>
      <c r="F68" t="s">
        <v>1024</v>
      </c>
      <c r="G68" t="s">
        <v>91</v>
      </c>
      <c r="H68" s="3" t="s">
        <v>92</v>
      </c>
      <c r="I68" t="s">
        <v>100</v>
      </c>
      <c r="J68" s="11" t="s">
        <v>43</v>
      </c>
      <c r="K68" t="s">
        <v>94</v>
      </c>
      <c r="L68" t="s">
        <v>95</v>
      </c>
      <c r="M68" t="s">
        <v>104</v>
      </c>
      <c r="N68" t="s">
        <v>29</v>
      </c>
      <c r="O68" t="s">
        <v>396</v>
      </c>
      <c r="P68" t="s">
        <v>65</v>
      </c>
    </row>
    <row r="70" spans="2:16" x14ac:dyDescent="0.2">
      <c r="B70" s="2" t="s">
        <v>825</v>
      </c>
      <c r="E70" t="s">
        <v>850</v>
      </c>
      <c r="F70" t="s">
        <v>849</v>
      </c>
      <c r="G70" t="s">
        <v>837</v>
      </c>
      <c r="H70" t="s">
        <v>838</v>
      </c>
      <c r="I70" t="s">
        <v>848</v>
      </c>
      <c r="J70" s="11" t="s">
        <v>846</v>
      </c>
      <c r="K70" t="s">
        <v>847</v>
      </c>
      <c r="L70" t="s">
        <v>839</v>
      </c>
      <c r="M70" t="s">
        <v>840</v>
      </c>
      <c r="N70" t="s">
        <v>412</v>
      </c>
      <c r="O70" t="s">
        <v>825</v>
      </c>
      <c r="P70" t="s">
        <v>65</v>
      </c>
    </row>
    <row r="71" spans="2:16" x14ac:dyDescent="0.2">
      <c r="B71" s="2" t="s">
        <v>823</v>
      </c>
      <c r="E71" t="s">
        <v>850</v>
      </c>
      <c r="F71" t="s">
        <v>62</v>
      </c>
      <c r="G71" t="s">
        <v>837</v>
      </c>
      <c r="H71" t="s">
        <v>838</v>
      </c>
      <c r="I71" t="s">
        <v>841</v>
      </c>
      <c r="J71" s="11" t="s">
        <v>846</v>
      </c>
      <c r="K71" t="s">
        <v>847</v>
      </c>
      <c r="L71" t="s">
        <v>839</v>
      </c>
      <c r="M71" t="s">
        <v>842</v>
      </c>
      <c r="N71" t="s">
        <v>412</v>
      </c>
      <c r="O71" t="s">
        <v>823</v>
      </c>
      <c r="P71" t="s">
        <v>65</v>
      </c>
    </row>
    <row r="72" spans="2:16" x14ac:dyDescent="0.2">
      <c r="B72" t="s">
        <v>819</v>
      </c>
      <c r="E72" t="s">
        <v>850</v>
      </c>
      <c r="F72" t="s">
        <v>70</v>
      </c>
      <c r="G72" t="s">
        <v>837</v>
      </c>
      <c r="H72" t="s">
        <v>838</v>
      </c>
      <c r="I72" t="s">
        <v>843</v>
      </c>
      <c r="J72" s="11" t="s">
        <v>846</v>
      </c>
      <c r="K72" t="s">
        <v>847</v>
      </c>
      <c r="L72" t="s">
        <v>839</v>
      </c>
      <c r="M72" t="s">
        <v>844</v>
      </c>
      <c r="N72" t="s">
        <v>412</v>
      </c>
      <c r="O72" t="s">
        <v>819</v>
      </c>
      <c r="P72" t="s">
        <v>65</v>
      </c>
    </row>
    <row r="73" spans="2:16" x14ac:dyDescent="0.2">
      <c r="B73" s="2" t="s">
        <v>820</v>
      </c>
      <c r="E73" t="s">
        <v>850</v>
      </c>
      <c r="F73" t="s">
        <v>845</v>
      </c>
      <c r="G73" t="s">
        <v>837</v>
      </c>
      <c r="H73" t="s">
        <v>838</v>
      </c>
      <c r="I73" t="s">
        <v>843</v>
      </c>
      <c r="J73" s="11" t="s">
        <v>846</v>
      </c>
      <c r="K73" t="s">
        <v>847</v>
      </c>
      <c r="L73" s="11" t="s">
        <v>839</v>
      </c>
      <c r="M73" t="s">
        <v>844</v>
      </c>
      <c r="N73" t="s">
        <v>412</v>
      </c>
      <c r="O73" t="s">
        <v>820</v>
      </c>
      <c r="P73" t="s">
        <v>65</v>
      </c>
    </row>
    <row r="75" spans="2:16" x14ac:dyDescent="0.2">
      <c r="B75" t="s">
        <v>398</v>
      </c>
      <c r="E75" t="s">
        <v>105</v>
      </c>
      <c r="F75" t="s">
        <v>50</v>
      </c>
      <c r="G75" t="s">
        <v>106</v>
      </c>
      <c r="H75" s="3" t="s">
        <v>107</v>
      </c>
      <c r="I75" t="s">
        <v>108</v>
      </c>
      <c r="J75" s="11" t="s">
        <v>109</v>
      </c>
      <c r="K75" t="s">
        <v>110</v>
      </c>
      <c r="L75" t="s">
        <v>111</v>
      </c>
      <c r="M75" t="s">
        <v>112</v>
      </c>
      <c r="N75" t="s">
        <v>29</v>
      </c>
      <c r="O75" t="s">
        <v>398</v>
      </c>
      <c r="P75" t="s">
        <v>30</v>
      </c>
    </row>
    <row r="76" spans="2:16" x14ac:dyDescent="0.2">
      <c r="B76" t="s">
        <v>400</v>
      </c>
      <c r="E76" t="s">
        <v>105</v>
      </c>
      <c r="F76" t="s">
        <v>37</v>
      </c>
      <c r="G76" t="s">
        <v>106</v>
      </c>
      <c r="H76" s="3" t="s">
        <v>107</v>
      </c>
      <c r="I76" t="s">
        <v>113</v>
      </c>
      <c r="J76" s="11" t="s">
        <v>109</v>
      </c>
      <c r="K76" t="s">
        <v>110</v>
      </c>
      <c r="L76" t="s">
        <v>111</v>
      </c>
      <c r="M76" t="s">
        <v>114</v>
      </c>
      <c r="N76" t="s">
        <v>29</v>
      </c>
      <c r="O76" t="s">
        <v>400</v>
      </c>
      <c r="P76" t="s">
        <v>65</v>
      </c>
    </row>
    <row r="77" spans="2:16" x14ac:dyDescent="0.2">
      <c r="B77" t="s">
        <v>402</v>
      </c>
      <c r="E77" t="s">
        <v>105</v>
      </c>
      <c r="F77" t="s">
        <v>70</v>
      </c>
      <c r="G77" t="s">
        <v>106</v>
      </c>
      <c r="H77" s="3" t="s">
        <v>107</v>
      </c>
      <c r="I77" t="s">
        <v>116</v>
      </c>
      <c r="J77" s="11" t="s">
        <v>109</v>
      </c>
      <c r="K77" t="s">
        <v>110</v>
      </c>
      <c r="L77" t="s">
        <v>111</v>
      </c>
      <c r="M77" t="s">
        <v>88</v>
      </c>
      <c r="N77" t="s">
        <v>29</v>
      </c>
      <c r="O77" t="s">
        <v>402</v>
      </c>
      <c r="P77" t="s">
        <v>65</v>
      </c>
    </row>
    <row r="78" spans="2:16" x14ac:dyDescent="0.2">
      <c r="B78" t="s">
        <v>404</v>
      </c>
      <c r="C78" s="12"/>
      <c r="E78" t="s">
        <v>105</v>
      </c>
      <c r="F78" t="s">
        <v>102</v>
      </c>
      <c r="G78" t="s">
        <v>106</v>
      </c>
      <c r="H78" s="3" t="s">
        <v>107</v>
      </c>
      <c r="I78" t="s">
        <v>116</v>
      </c>
      <c r="J78" s="11" t="s">
        <v>109</v>
      </c>
      <c r="K78" t="s">
        <v>110</v>
      </c>
      <c r="L78" t="s">
        <v>111</v>
      </c>
      <c r="M78" t="s">
        <v>88</v>
      </c>
      <c r="N78" t="s">
        <v>29</v>
      </c>
      <c r="O78" t="s">
        <v>404</v>
      </c>
      <c r="P78" t="s">
        <v>65</v>
      </c>
    </row>
    <row r="79" spans="2:16" x14ac:dyDescent="0.2">
      <c r="C79" s="13"/>
      <c r="E79" s="14"/>
      <c r="H79" s="14"/>
      <c r="J79" s="11"/>
    </row>
    <row r="80" spans="2:16" x14ac:dyDescent="0.2">
      <c r="B80" s="14" t="s">
        <v>424</v>
      </c>
      <c r="C80" s="13"/>
      <c r="E80" s="14" t="s">
        <v>118</v>
      </c>
      <c r="F80" t="s">
        <v>1078</v>
      </c>
      <c r="G80" t="s">
        <v>452</v>
      </c>
      <c r="H80" t="s">
        <v>453</v>
      </c>
      <c r="I80" t="s">
        <v>445</v>
      </c>
      <c r="J80" s="11" t="s">
        <v>120</v>
      </c>
      <c r="K80" t="s">
        <v>121</v>
      </c>
      <c r="L80" t="s">
        <v>122</v>
      </c>
      <c r="M80" t="s">
        <v>123</v>
      </c>
      <c r="N80" t="s">
        <v>124</v>
      </c>
      <c r="O80" s="14" t="s">
        <v>425</v>
      </c>
      <c r="P80" t="s">
        <v>125</v>
      </c>
    </row>
    <row r="81" spans="2:16" x14ac:dyDescent="0.2">
      <c r="B81" s="14" t="s">
        <v>472</v>
      </c>
      <c r="C81" s="13"/>
      <c r="E81" t="s">
        <v>478</v>
      </c>
      <c r="F81" t="s">
        <v>119</v>
      </c>
      <c r="G81" t="s">
        <v>452</v>
      </c>
      <c r="H81" t="s">
        <v>453</v>
      </c>
      <c r="I81" t="s">
        <v>855</v>
      </c>
      <c r="J81" t="s">
        <v>491</v>
      </c>
      <c r="K81" t="s">
        <v>479</v>
      </c>
      <c r="L81" t="s">
        <v>481</v>
      </c>
      <c r="M81" t="s">
        <v>480</v>
      </c>
      <c r="N81" t="s">
        <v>1043</v>
      </c>
      <c r="O81" s="14" t="s">
        <v>853</v>
      </c>
      <c r="P81" t="s">
        <v>125</v>
      </c>
    </row>
    <row r="82" spans="2:16" x14ac:dyDescent="0.2">
      <c r="B82" s="14" t="s">
        <v>474</v>
      </c>
      <c r="C82" s="13"/>
      <c r="E82" t="s">
        <v>477</v>
      </c>
      <c r="F82" t="s">
        <v>119</v>
      </c>
      <c r="G82" t="s">
        <v>452</v>
      </c>
      <c r="H82" t="s">
        <v>453</v>
      </c>
      <c r="I82" t="s">
        <v>855</v>
      </c>
      <c r="J82" t="s">
        <v>128</v>
      </c>
      <c r="K82" t="s">
        <v>479</v>
      </c>
      <c r="L82" t="s">
        <v>481</v>
      </c>
      <c r="M82" t="s">
        <v>480</v>
      </c>
      <c r="N82" t="s">
        <v>1043</v>
      </c>
      <c r="O82" s="14" t="s">
        <v>854</v>
      </c>
      <c r="P82" t="s">
        <v>125</v>
      </c>
    </row>
    <row r="83" spans="2:16" x14ac:dyDescent="0.2">
      <c r="B83" s="15" t="s">
        <v>422</v>
      </c>
      <c r="C83" s="13"/>
      <c r="E83" t="s">
        <v>126</v>
      </c>
      <c r="F83" t="s">
        <v>119</v>
      </c>
      <c r="G83" t="s">
        <v>454</v>
      </c>
      <c r="H83" s="11" t="s">
        <v>455</v>
      </c>
      <c r="I83" t="s">
        <v>127</v>
      </c>
      <c r="J83" t="s">
        <v>128</v>
      </c>
      <c r="K83" t="s">
        <v>129</v>
      </c>
      <c r="L83" t="s">
        <v>130</v>
      </c>
      <c r="M83" t="s">
        <v>131</v>
      </c>
      <c r="N83" t="s">
        <v>1043</v>
      </c>
      <c r="O83" s="2" t="s">
        <v>423</v>
      </c>
      <c r="P83" t="s">
        <v>125</v>
      </c>
    </row>
    <row r="84" spans="2:16" x14ac:dyDescent="0.2">
      <c r="B84" s="2" t="s">
        <v>420</v>
      </c>
      <c r="E84" t="s">
        <v>132</v>
      </c>
      <c r="F84" t="s">
        <v>119</v>
      </c>
      <c r="G84" s="11" t="s">
        <v>458</v>
      </c>
      <c r="H84" s="11" t="s">
        <v>456</v>
      </c>
      <c r="I84" t="s">
        <v>133</v>
      </c>
      <c r="J84" t="s">
        <v>128</v>
      </c>
      <c r="K84" t="s">
        <v>134</v>
      </c>
      <c r="L84" t="s">
        <v>130</v>
      </c>
      <c r="M84" t="s">
        <v>131</v>
      </c>
      <c r="N84" t="s">
        <v>1043</v>
      </c>
      <c r="O84" s="2" t="s">
        <v>421</v>
      </c>
      <c r="P84" t="s">
        <v>125</v>
      </c>
    </row>
    <row r="85" spans="2:16" x14ac:dyDescent="0.2">
      <c r="B85" s="2" t="s">
        <v>418</v>
      </c>
      <c r="E85" t="s">
        <v>135</v>
      </c>
      <c r="F85" t="s">
        <v>119</v>
      </c>
      <c r="G85" s="11" t="s">
        <v>459</v>
      </c>
      <c r="H85" s="11" t="s">
        <v>457</v>
      </c>
      <c r="I85" t="s">
        <v>136</v>
      </c>
      <c r="J85" s="11" t="s">
        <v>128</v>
      </c>
      <c r="K85" t="s">
        <v>134</v>
      </c>
      <c r="L85" t="s">
        <v>137</v>
      </c>
      <c r="M85" t="s">
        <v>138</v>
      </c>
      <c r="N85" t="s">
        <v>1043</v>
      </c>
      <c r="O85" s="2" t="s">
        <v>419</v>
      </c>
      <c r="P85" t="s">
        <v>125</v>
      </c>
    </row>
    <row r="86" spans="2:16" x14ac:dyDescent="0.2">
      <c r="B86" s="2" t="s">
        <v>416</v>
      </c>
      <c r="E86" t="s">
        <v>135</v>
      </c>
      <c r="F86" t="s">
        <v>139</v>
      </c>
      <c r="G86" s="11" t="s">
        <v>459</v>
      </c>
      <c r="H86" s="11" t="s">
        <v>457</v>
      </c>
      <c r="I86" t="s">
        <v>140</v>
      </c>
      <c r="J86" s="11" t="s">
        <v>128</v>
      </c>
      <c r="K86" t="s">
        <v>134</v>
      </c>
      <c r="L86" t="s">
        <v>137</v>
      </c>
      <c r="M86" t="s">
        <v>141</v>
      </c>
      <c r="N86" t="s">
        <v>1043</v>
      </c>
      <c r="O86" s="2" t="s">
        <v>417</v>
      </c>
      <c r="P86" t="s">
        <v>142</v>
      </c>
    </row>
    <row r="87" spans="2:16" x14ac:dyDescent="0.2">
      <c r="J87" s="11"/>
    </row>
    <row r="88" spans="2:16" x14ac:dyDescent="0.2">
      <c r="J88" s="11"/>
    </row>
    <row r="89" spans="2:16" x14ac:dyDescent="0.2">
      <c r="J89" s="11"/>
    </row>
    <row r="90" spans="2:16" x14ac:dyDescent="0.2">
      <c r="B90" s="2" t="s">
        <v>143</v>
      </c>
      <c r="E90" t="s">
        <v>144</v>
      </c>
      <c r="F90" t="s">
        <v>50</v>
      </c>
      <c r="G90" t="s">
        <v>145</v>
      </c>
      <c r="H90" s="16" t="s">
        <v>146</v>
      </c>
      <c r="I90" t="s">
        <v>147</v>
      </c>
      <c r="J90" s="11" t="s">
        <v>148</v>
      </c>
      <c r="K90" t="s">
        <v>149</v>
      </c>
      <c r="L90" t="s">
        <v>150</v>
      </c>
      <c r="M90" t="s">
        <v>151</v>
      </c>
      <c r="N90" t="s">
        <v>1044</v>
      </c>
      <c r="O90" t="s">
        <v>143</v>
      </c>
      <c r="P90" t="s">
        <v>30</v>
      </c>
    </row>
    <row r="91" spans="2:16" x14ac:dyDescent="0.2">
      <c r="B91" s="2" t="s">
        <v>153</v>
      </c>
      <c r="E91" t="s">
        <v>154</v>
      </c>
      <c r="F91" t="s">
        <v>50</v>
      </c>
      <c r="G91" t="s">
        <v>155</v>
      </c>
      <c r="H91" s="16" t="s">
        <v>156</v>
      </c>
      <c r="I91" t="s">
        <v>157</v>
      </c>
      <c r="J91" s="11" t="s">
        <v>158</v>
      </c>
      <c r="K91" t="s">
        <v>149</v>
      </c>
      <c r="L91" t="s">
        <v>159</v>
      </c>
      <c r="M91" t="s">
        <v>151</v>
      </c>
      <c r="N91" t="s">
        <v>152</v>
      </c>
      <c r="O91" t="s">
        <v>153</v>
      </c>
      <c r="P91" t="s">
        <v>30</v>
      </c>
    </row>
    <row r="92" spans="2:16" x14ac:dyDescent="0.2">
      <c r="J92" s="11"/>
    </row>
    <row r="93" spans="2:16" x14ac:dyDescent="0.2">
      <c r="J93" s="11"/>
    </row>
    <row r="96" spans="2:16" x14ac:dyDescent="0.2">
      <c r="J96" s="11"/>
    </row>
    <row r="97" spans="10:10" x14ac:dyDescent="0.2">
      <c r="J97" s="11"/>
    </row>
    <row r="98" spans="10:10" x14ac:dyDescent="0.2">
      <c r="J98" s="11"/>
    </row>
    <row r="100" spans="10:10" x14ac:dyDescent="0.2">
      <c r="J100" s="11"/>
    </row>
    <row r="101" spans="10:10" x14ac:dyDescent="0.2">
      <c r="J101" s="11"/>
    </row>
    <row r="103" spans="10:10" x14ac:dyDescent="0.2">
      <c r="J103" s="11"/>
    </row>
    <row r="104" spans="10:10" x14ac:dyDescent="0.2">
      <c r="J104" s="11"/>
    </row>
    <row r="105" spans="10:10" x14ac:dyDescent="0.2">
      <c r="J105" s="11"/>
    </row>
    <row r="106" spans="10:10" x14ac:dyDescent="0.2">
      <c r="J106" s="11"/>
    </row>
    <row r="107" spans="10:10" x14ac:dyDescent="0.2">
      <c r="J107" s="11"/>
    </row>
    <row r="108" spans="10:10" x14ac:dyDescent="0.2">
      <c r="J108" s="11"/>
    </row>
    <row r="109" spans="10:10" x14ac:dyDescent="0.2">
      <c r="J109" s="11"/>
    </row>
    <row r="110" spans="10:10" x14ac:dyDescent="0.2">
      <c r="J110" s="11"/>
    </row>
    <row r="111" spans="10:10" x14ac:dyDescent="0.2">
      <c r="J111" s="11"/>
    </row>
    <row r="113" spans="2:14" x14ac:dyDescent="0.2">
      <c r="J113" s="11"/>
    </row>
    <row r="114" spans="2:14" x14ac:dyDescent="0.2">
      <c r="J114" s="11"/>
    </row>
    <row r="118" spans="2:14" x14ac:dyDescent="0.2">
      <c r="B118"/>
      <c r="L118" s="11"/>
    </row>
    <row r="119" spans="2:14" x14ac:dyDescent="0.2">
      <c r="L119" s="11"/>
    </row>
    <row r="120" spans="2:14" x14ac:dyDescent="0.2">
      <c r="B120"/>
    </row>
    <row r="121" spans="2:14" x14ac:dyDescent="0.2">
      <c r="B121" s="14"/>
      <c r="E121" s="14"/>
      <c r="H121" s="14"/>
      <c r="J121" s="11"/>
      <c r="N121" s="14"/>
    </row>
    <row r="122" spans="2:14" x14ac:dyDescent="0.2">
      <c r="B122"/>
      <c r="J122" s="11"/>
    </row>
    <row r="123" spans="2:14" x14ac:dyDescent="0.2">
      <c r="B123"/>
      <c r="J123" s="11"/>
    </row>
    <row r="128" spans="2:14" x14ac:dyDescent="0.2">
      <c r="C128" s="2"/>
      <c r="J128" s="11"/>
    </row>
    <row r="129" spans="2:10" x14ac:dyDescent="0.2">
      <c r="C129" s="2"/>
      <c r="J129" s="11"/>
    </row>
    <row r="130" spans="2:10" x14ac:dyDescent="0.2">
      <c r="C130" s="2"/>
      <c r="J130" s="11"/>
    </row>
    <row r="131" spans="2:10" x14ac:dyDescent="0.2">
      <c r="C131" s="2"/>
      <c r="J131" s="11"/>
    </row>
    <row r="132" spans="2:10" x14ac:dyDescent="0.2">
      <c r="C132" s="2"/>
      <c r="J132" s="11"/>
    </row>
    <row r="133" spans="2:10" x14ac:dyDescent="0.2">
      <c r="B133"/>
      <c r="J133" s="11"/>
    </row>
    <row r="136" spans="2:10" x14ac:dyDescent="0.2">
      <c r="C136" s="2"/>
      <c r="J136" s="11"/>
    </row>
    <row r="137" spans="2:10" x14ac:dyDescent="0.2">
      <c r="C137" s="2"/>
      <c r="J137" s="11"/>
    </row>
    <row r="138" spans="2:10" x14ac:dyDescent="0.2">
      <c r="C138" s="2"/>
      <c r="J138" s="11"/>
    </row>
    <row r="139" spans="2:10" x14ac:dyDescent="0.2">
      <c r="C139" s="2"/>
      <c r="J139" s="11"/>
    </row>
    <row r="140" spans="2:10" x14ac:dyDescent="0.2">
      <c r="C140" s="2"/>
      <c r="J140" s="11"/>
    </row>
    <row r="141" spans="2:10" x14ac:dyDescent="0.2">
      <c r="C141" s="2"/>
      <c r="J141" s="11"/>
    </row>
    <row r="142" spans="2:10" x14ac:dyDescent="0.2">
      <c r="C142" s="2"/>
      <c r="J142" s="11"/>
    </row>
    <row r="143" spans="2:10" x14ac:dyDescent="0.2">
      <c r="C143" s="2"/>
      <c r="J143" s="11"/>
    </row>
    <row r="146" spans="10:10" x14ac:dyDescent="0.2">
      <c r="J146" s="11"/>
    </row>
  </sheetData>
  <phoneticPr fontId="6" type="noConversion"/>
  <conditionalFormatting sqref="B11:B152">
    <cfRule type="containsText" dxfId="9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131"/>
  <sheetViews>
    <sheetView zoomScaleNormal="100" workbookViewId="0">
      <pane xSplit="1" ySplit="10" topLeftCell="L99" activePane="bottomRight" state="frozen"/>
      <selection pane="topRight" activeCell="B1" sqref="B1"/>
      <selection pane="bottomLeft" activeCell="A11" sqref="A11"/>
      <selection pane="bottomRight" activeCell="P120" sqref="P120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39.37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175</v>
      </c>
      <c r="B1" s="22" t="s">
        <v>271</v>
      </c>
    </row>
    <row r="2" spans="1:17" x14ac:dyDescent="0.2">
      <c r="A2" t="s">
        <v>1</v>
      </c>
      <c r="B2" s="22" t="s">
        <v>650</v>
      </c>
    </row>
    <row r="3" spans="1:17" x14ac:dyDescent="0.2">
      <c r="A3" t="s">
        <v>2</v>
      </c>
      <c r="B3" s="22" t="s">
        <v>176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177</v>
      </c>
    </row>
    <row r="6" spans="1:17" ht="15" thickBot="1" x14ac:dyDescent="0.25"/>
    <row r="7" spans="1:17" ht="19.5" customHeight="1" thickTop="1" x14ac:dyDescent="0.2">
      <c r="F7" s="33" t="s">
        <v>178</v>
      </c>
      <c r="G7" s="34"/>
      <c r="H7" s="35"/>
      <c r="I7" s="45" t="s">
        <v>179</v>
      </c>
      <c r="J7" s="46"/>
      <c r="K7" s="46"/>
      <c r="L7" s="47"/>
      <c r="M7" s="39" t="s">
        <v>180</v>
      </c>
      <c r="N7" s="40"/>
      <c r="O7" s="43" t="s">
        <v>181</v>
      </c>
      <c r="P7" s="43" t="s">
        <v>263</v>
      </c>
      <c r="Q7" s="43" t="s">
        <v>192</v>
      </c>
    </row>
    <row r="8" spans="1:17" ht="19.5" customHeight="1" thickBot="1" x14ac:dyDescent="0.25">
      <c r="F8" s="36"/>
      <c r="G8" s="37"/>
      <c r="H8" s="38"/>
      <c r="I8" s="45"/>
      <c r="J8" s="46"/>
      <c r="K8" s="46"/>
      <c r="L8" s="47"/>
      <c r="M8" s="41"/>
      <c r="N8" s="42"/>
      <c r="O8" s="44"/>
      <c r="P8" s="44"/>
      <c r="Q8" s="44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247</v>
      </c>
      <c r="D10" s="17" t="s">
        <v>248</v>
      </c>
      <c r="E10" s="17" t="s">
        <v>181</v>
      </c>
      <c r="F10" s="18" t="s">
        <v>18</v>
      </c>
      <c r="G10" s="19" t="s">
        <v>182</v>
      </c>
      <c r="H10" s="19" t="s">
        <v>183</v>
      </c>
      <c r="I10" s="19" t="s">
        <v>184</v>
      </c>
      <c r="J10" s="19" t="s">
        <v>185</v>
      </c>
      <c r="K10" s="19" t="s">
        <v>186</v>
      </c>
      <c r="L10" s="19" t="s">
        <v>272</v>
      </c>
      <c r="M10" s="10" t="s">
        <v>187</v>
      </c>
      <c r="N10" s="10" t="s">
        <v>188</v>
      </c>
      <c r="O10" s="10" t="s">
        <v>189</v>
      </c>
      <c r="P10" s="10" t="s">
        <v>19</v>
      </c>
      <c r="Q10" s="10" t="s">
        <v>264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B12" s="22">
        <v>10182337623490</v>
      </c>
      <c r="C12" t="s">
        <v>1058</v>
      </c>
      <c r="D12" t="s">
        <v>468</v>
      </c>
      <c r="F12" t="str">
        <f>IF(表1_53[[#This Row],[配件1]]&lt;&gt;"",_xlfn.XLOOKUP(表1_53[[#This Row],[配件1]],显卡利益点对照表[型号],显卡利益点对照表[标题1],"ERROR"),"")</f>
        <v>RTX5050</v>
      </c>
      <c r="G12" t="str">
        <f>IF(表1_53[[#This Row],[配件1]]&lt;&gt;"",_xlfn.XLOOKUP(表1_53[[#This Row],[配件1]],显卡利益点对照表[型号],显卡利益点对照表[标题2],"ERROR"),"")</f>
        <v>短卡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mini-ITX</v>
      </c>
      <c r="I12" t="str">
        <f>IF(表1_53[[#This Row],[配件1]]&lt;&gt;"",_xlfn.XLOOKUP(表1_53[[#This Row],[配件1]],显卡利益点对照表[型号],显卡利益点对照表[利益点1],"ERROR"),"")</f>
        <v>14.5cm小巧尺寸</v>
      </c>
      <c r="J12" t="str">
        <f>IF(表1_53[[#This Row],[配件1]]&lt;&gt;"",_xlfn.XLOOKUP(表1_53[[#This Row],[配件1]],显卡利益点对照表[型号],显卡利益点对照表[利益点2],"ERROR"),"")</f>
        <v>HAWK单风扇设计</v>
      </c>
      <c r="K12" t="str">
        <f>IF(表1_53[[#This Row],[配件1]]&lt;&gt;"",_xlfn.XLOOKUP(表1_53[[#This Row],[配件1]],显卡利益点对照表[型号],显卡利益点对照表[利益点3],"ERROR"),"")</f>
        <v>石墨烯润滑油</v>
      </c>
      <c r="L12" t="str">
        <f>IF(表1_53[[#This Row],[配件1]]&lt;&gt;"",_xlfn.XLOOKUP(表1_53[[#This Row],[配件1]],显卡利益点对照表[型号],显卡利益点对照表[算力],"ERROR"),"")</f>
        <v>AI算力421 TOPS</v>
      </c>
      <c r="M12" t="str">
        <f>IF(表1_53[[#This Row],[配件1]]&lt;&gt;"",_xlfn.XLOOKUP(表1_53[[#This Row],[配件1]],显卡利益点对照表[型号],显卡利益点对照表[可显性],"ERROR"),"")</f>
        <v>GV-N5050D6-8GD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" t="str" cm="1">
        <f t="array" ref="Q12">_xlfn.IFS(表1_53[[#This Row],[配件1]]="","",表1_53[[#This Row],[文本丨算力丨算力值]]=0,"",表1_53[[#This Row],[文本丨算力丨算力值]]&lt;&gt;"","算力")</f>
        <v>算力</v>
      </c>
    </row>
    <row r="13" spans="1:17" x14ac:dyDescent="0.2">
      <c r="B13" s="22">
        <v>10182337623491</v>
      </c>
      <c r="C13" t="s">
        <v>1058</v>
      </c>
      <c r="D13" t="s">
        <v>469</v>
      </c>
      <c r="F13" t="str">
        <f>IF(表1_53[[#This Row],[配件1]]&lt;&gt;"",_xlfn.XLOOKUP(表1_53[[#This Row],[配件1]],显卡利益点对照表[型号],显卡利益点对照表[标题1],"ERROR"),"")</f>
        <v>RTX5050</v>
      </c>
      <c r="G13" t="str">
        <f>IF(表1_53[[#This Row],[配件1]]&lt;&gt;"",_xlfn.XLOOKUP(表1_53[[#This Row],[配件1]],显卡利益点对照表[型号],显卡利益点对照表[标题2],"ERROR"),"")</f>
        <v>短卡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3" t="str">
        <f>IF(表1_53[[#This Row],[配件1]]&lt;&gt;"",_xlfn.XLOOKUP(表1_53[[#This Row],[配件1]],显卡利益点对照表[型号],显卡利益点对照表[利益点1],"ERROR"),"")</f>
        <v>14.5cm小巧尺寸</v>
      </c>
      <c r="J13" t="str">
        <f>IF(表1_53[[#This Row],[配件1]]&lt;&gt;"",_xlfn.XLOOKUP(表1_53[[#This Row],[配件1]],显卡利益点对照表[型号],显卡利益点对照表[利益点2],"ERROR"),"")</f>
        <v>HAWK单风扇设计</v>
      </c>
      <c r="K13" t="str">
        <f>IF(表1_53[[#This Row],[配件1]]&lt;&gt;"",_xlfn.XLOOKUP(表1_53[[#This Row],[配件1]],显卡利益点对照表[型号],显卡利益点对照表[利益点3],"ERROR"),"")</f>
        <v>石墨烯润滑油</v>
      </c>
      <c r="L13" t="str">
        <f>IF(表1_53[[#This Row],[配件1]]&lt;&gt;"",_xlfn.XLOOKUP(表1_53[[#This Row],[配件1]],显卡利益点对照表[型号],显卡利益点对照表[算力],"ERROR"),"")</f>
        <v>AI算力421 TOPS</v>
      </c>
      <c r="M13" t="str">
        <f>IF(表1_53[[#This Row],[配件1]]&lt;&gt;"",_xlfn.XLOOKUP(表1_53[[#This Row],[配件1]],显卡利益点对照表[型号],显卡利益点对照表[可显性],"ERROR"),"")</f>
        <v>GV-N5050D6-8GD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 t="s">
        <v>501</v>
      </c>
      <c r="C14" t="s">
        <v>501</v>
      </c>
      <c r="D14" t="s">
        <v>468</v>
      </c>
      <c r="F14" t="str">
        <f>IF(表1_53[[#This Row],[配件1]]&lt;&gt;"",_xlfn.XLOOKUP(表1_53[[#This Row],[配件1]],显卡利益点对照表[型号],显卡利益点对照表[标题1],"ERROR"),"")</f>
        <v>RTX5050</v>
      </c>
      <c r="G14" t="str">
        <f>IF(表1_53[[#This Row],[配件1]]&lt;&gt;"",_xlfn.XLOOKUP(表1_53[[#This Row],[配件1]],显卡利益点对照表[型号],显卡利益点对照表[标题2],"ERROR"),"")</f>
        <v>半高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4" t="str">
        <f>IF(表1_53[[#This Row],[配件1]]&lt;&gt;"",_xlfn.XLOOKUP(表1_53[[#This Row],[配件1]],显卡利益点对照表[型号],显卡利益点对照表[利益点1],"ERROR"),"")</f>
        <v>石墨烯润滑油</v>
      </c>
      <c r="J14" t="str">
        <f>IF(表1_53[[#This Row],[配件1]]&lt;&gt;"",_xlfn.XLOOKUP(表1_53[[#This Row],[配件1]],显卡利益点对照表[型号],显卡利益点对照表[利益点2],"ERROR"),"")</f>
        <v>精巧半高卡设计丨25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AI算力421 TOPS</v>
      </c>
      <c r="M14" t="str">
        <f>IF(表1_53[[#This Row],[配件1]]&lt;&gt;"",_xlfn.XLOOKUP(表1_53[[#This Row],[配件1]],显卡利益点对照表[型号],显卡利益点对照表[可显性],"ERROR"),"")</f>
        <v>GV-N5050OC-8GL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 t="s">
        <v>504</v>
      </c>
      <c r="C15" t="s">
        <v>501</v>
      </c>
      <c r="D15" t="s">
        <v>469</v>
      </c>
      <c r="F15" t="str">
        <f>IF(表1_53[[#This Row],[配件1]]&lt;&gt;"",_xlfn.XLOOKUP(表1_53[[#This Row],[配件1]],显卡利益点对照表[型号],显卡利益点对照表[标题1],"ERROR"),"")</f>
        <v>RTX5050</v>
      </c>
      <c r="G15" t="str">
        <f>IF(表1_53[[#This Row],[配件1]]&lt;&gt;"",_xlfn.XLOOKUP(表1_53[[#This Row],[配件1]],显卡利益点对照表[型号],显卡利益点对照表[标题2],"ERROR"),"")</f>
        <v>半高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5" t="str">
        <f>IF(表1_53[[#This Row],[配件1]]&lt;&gt;"",_xlfn.XLOOKUP(表1_53[[#This Row],[配件1]],显卡利益点对照表[型号],显卡利益点对照表[利益点1],"ERROR"),"")</f>
        <v>石墨烯润滑油</v>
      </c>
      <c r="J15" t="str">
        <f>IF(表1_53[[#This Row],[配件1]]&lt;&gt;"",_xlfn.XLOOKUP(表1_53[[#This Row],[配件1]],显卡利益点对照表[型号],显卡利益点对照表[利益点2],"ERROR"),"")</f>
        <v>精巧半高卡设计丨25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AI算力421 TOPS</v>
      </c>
      <c r="M15" t="str">
        <f>IF(表1_53[[#This Row],[配件1]]&lt;&gt;"",_xlfn.XLOOKUP(表1_53[[#This Row],[配件1]],显卡利益点对照表[型号],显卡利益点对照表[可显性],"ERROR"),"")</f>
        <v>GV-N5050OC-8GL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 t="s">
        <v>502</v>
      </c>
      <c r="C16" t="s">
        <v>502</v>
      </c>
      <c r="D16" t="s">
        <v>468</v>
      </c>
      <c r="F16" t="str">
        <f>IF(表1_53[[#This Row],[配件1]]&lt;&gt;"",_xlfn.XLOOKUP(表1_53[[#This Row],[配件1]],显卡利益点对照表[型号],显卡利益点对照表[标题1],"ERROR"),"")</f>
        <v>RTX5050</v>
      </c>
      <c r="G16" t="str">
        <f>IF(表1_53[[#This Row],[配件1]]&lt;&gt;"",_xlfn.XLOOKUP(表1_53[[#This Row],[配件1]],显卡利益点对照表[型号],显卡利益点对照表[标题2],"ERROR"),"")</f>
        <v>风魔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 OC</v>
      </c>
      <c r="I16" t="str">
        <f>IF(表1_53[[#This Row],[配件1]]&lt;&gt;"",_xlfn.XLOOKUP(表1_53[[#This Row],[配件1]],显卡利益点对照表[型号],显卡利益点对照表[利益点1],"ERROR"),"")</f>
        <v>石墨烯润滑油</v>
      </c>
      <c r="J16" t="str">
        <f>IF(表1_53[[#This Row],[配件1]]&lt;&gt;"",_xlfn.XLOOKUP(表1_53[[#This Row],[配件1]],显卡利益点对照表[型号],显卡利益点对照表[利益点2],"ERROR"),"")</f>
        <v>精巧双风扇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AI算力421 TOPS</v>
      </c>
      <c r="M16" t="str">
        <f>IF(表1_53[[#This Row],[配件1]]&lt;&gt;"",_xlfn.XLOOKUP(表1_53[[#This Row],[配件1]],显卡利益点对照表[型号],显卡利益点对照表[可显性],"ERROR"),"")</f>
        <v>GV-N5050WF2OC-8GD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 t="s">
        <v>505</v>
      </c>
      <c r="C17" t="s">
        <v>502</v>
      </c>
      <c r="D17" t="s">
        <v>469</v>
      </c>
      <c r="F17" t="str">
        <f>IF(表1_53[[#This Row],[配件1]]&lt;&gt;"",_xlfn.XLOOKUP(表1_53[[#This Row],[配件1]],显卡利益点对照表[型号],显卡利益点对照表[标题1],"ERROR"),"")</f>
        <v>RTX5050</v>
      </c>
      <c r="G17" t="str">
        <f>IF(表1_53[[#This Row],[配件1]]&lt;&gt;"",_xlfn.XLOOKUP(表1_53[[#This Row],[配件1]],显卡利益点对照表[型号],显卡利益点对照表[标题2],"ERROR"),"")</f>
        <v>风魔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7" t="str">
        <f>IF(表1_53[[#This Row],[配件1]]&lt;&gt;"",_xlfn.XLOOKUP(表1_53[[#This Row],[配件1]],显卡利益点对照表[型号],显卡利益点对照表[利益点1],"ERROR"),"")</f>
        <v>石墨烯润滑油</v>
      </c>
      <c r="J17" t="str">
        <f>IF(表1_53[[#This Row],[配件1]]&lt;&gt;"",_xlfn.XLOOKUP(表1_53[[#This Row],[配件1]],显卡利益点对照表[型号],显卡利益点对照表[利益点2],"ERROR"),"")</f>
        <v>精巧双风扇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AI算力421 TOPS</v>
      </c>
      <c r="M17" t="str">
        <f>IF(表1_53[[#This Row],[配件1]]&lt;&gt;"",_xlfn.XLOOKUP(表1_53[[#This Row],[配件1]],显卡利益点对照表[型号],显卡利益点对照表[可显性],"ERROR"),"")</f>
        <v>GV-N5050WF2OC-8GD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B18" s="22" t="s">
        <v>506</v>
      </c>
      <c r="C18" t="s">
        <v>503</v>
      </c>
      <c r="D18" t="s">
        <v>468</v>
      </c>
      <c r="F18" t="str">
        <f>IF(表1_53[[#This Row],[配件1]]&lt;&gt;"",_xlfn.XLOOKUP(表1_53[[#This Row],[配件1]],显卡利益点对照表[型号],显卡利益点对照表[标题1],"ERROR"),"")</f>
        <v>RTX5050</v>
      </c>
      <c r="G18" t="str">
        <f>IF(表1_53[[#This Row],[配件1]]&lt;&gt;"",_xlfn.XLOOKUP(表1_53[[#This Row],[配件1]],显卡利益点对照表[型号],显卡利益点对照表[标题2],"ERROR"),"")</f>
        <v>魔鹰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8" t="str">
        <f>IF(表1_53[[#This Row],[配件1]]&lt;&gt;"",_xlfn.XLOOKUP(表1_53[[#This Row],[配件1]],显卡利益点对照表[型号],显卡利益点对照表[利益点1],"ERROR"),"")</f>
        <v>石墨烯润滑油</v>
      </c>
      <c r="J18" t="str">
        <f>IF(表1_53[[#This Row],[配件1]]&lt;&gt;"",_xlfn.XLOOKUP(表1_53[[#This Row],[配件1]],显卡利益点对照表[型号],显卡利益点对照表[利益点2],"ERROR"),"")</f>
        <v>3D智能启停</v>
      </c>
      <c r="K18" t="str">
        <f>IF(表1_53[[#This Row],[配件1]]&lt;&gt;"",_xlfn.XLOOKUP(表1_53[[#This Row],[配件1]],显卡利益点对照表[型号],显卡利益点对照表[利益点3],"ERROR"),"")</f>
        <v>仿生降噪风扇</v>
      </c>
      <c r="L18" t="str">
        <f>IF(表1_53[[#This Row],[配件1]]&lt;&gt;"",_xlfn.XLOOKUP(表1_53[[#This Row],[配件1]],显卡利益点对照表[型号],显卡利益点对照表[算力],"ERROR"),"")</f>
        <v>AI算力421 TOPS</v>
      </c>
      <c r="M18" t="str">
        <f>IF(表1_53[[#This Row],[配件1]]&lt;&gt;"",_xlfn.XLOOKUP(表1_53[[#This Row],[配件1]],显卡利益点对照表[型号],显卡利益点对照表[可显性],"ERROR"),"")</f>
        <v>GV-N5050GAMING OC-8GD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8" t="str" cm="1">
        <f t="array" ref="Q18">_xlfn.IFS(表1_53[[#This Row],[配件1]]="","",表1_53[[#This Row],[文本丨算力丨算力值]]=0,"",表1_53[[#This Row],[文本丨算力丨算力值]]&lt;&gt;"","算力")</f>
        <v>算力</v>
      </c>
    </row>
    <row r="19" spans="2:17" x14ac:dyDescent="0.2">
      <c r="B19" s="22" t="s">
        <v>507</v>
      </c>
      <c r="C19" t="s">
        <v>503</v>
      </c>
      <c r="D19" t="s">
        <v>469</v>
      </c>
      <c r="F19" t="str">
        <f>IF(表1_53[[#This Row],[配件1]]&lt;&gt;"",_xlfn.XLOOKUP(表1_53[[#This Row],[配件1]],显卡利益点对照表[型号],显卡利益点对照表[标题1],"ERROR"),"")</f>
        <v>RTX5050</v>
      </c>
      <c r="G19" t="str">
        <f>IF(表1_53[[#This Row],[配件1]]&lt;&gt;"",_xlfn.XLOOKUP(表1_53[[#This Row],[配件1]],显卡利益点对照表[型号],显卡利益点对照表[标题2],"ERROR"),"")</f>
        <v>魔鹰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9" t="str">
        <f>IF(表1_53[[#This Row],[配件1]]&lt;&gt;"",_xlfn.XLOOKUP(表1_53[[#This Row],[配件1]],显卡利益点对照表[型号],显卡利益点对照表[利益点1],"ERROR"),"")</f>
        <v>石墨烯润滑油</v>
      </c>
      <c r="J19" t="str">
        <f>IF(表1_53[[#This Row],[配件1]]&lt;&gt;"",_xlfn.XLOOKUP(表1_53[[#This Row],[配件1]],显卡利益点对照表[型号],显卡利益点对照表[利益点2],"ERROR"),"")</f>
        <v>3D智能启停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AI算力421 TOPS</v>
      </c>
      <c r="M19" t="str">
        <f>IF(表1_53[[#This Row],[配件1]]&lt;&gt;"",_xlfn.XLOOKUP(表1_53[[#This Row],[配件1]],显卡利益点对照表[型号],显卡利益点对照表[可显性],"ERROR"),"")</f>
        <v>GV-N5050GAMING OC-8GD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F20" t="str">
        <f>IF(表1_53[[#This Row],[配件1]]&lt;&gt;"",_xlfn.XLOOKUP(表1_53[[#This Row],[配件1]],显卡利益点对照表[型号],显卡利益点对照表[标题1],"ERROR"),"")</f>
        <v/>
      </c>
      <c r="G20" t="str">
        <f>IF(表1_53[[#This Row],[配件1]]&lt;&gt;"",_xlfn.XLOOKUP(表1_53[[#This Row],[配件1]],显卡利益点对照表[型号],显卡利益点对照表[标题2],"ERROR"),"")</f>
        <v/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0" t="str">
        <f>IF(表1_53[[#This Row],[配件1]]&lt;&gt;"",_xlfn.XLOOKUP(表1_53[[#This Row],[配件1]],显卡利益点对照表[型号],显卡利益点对照表[利益点1],"ERROR"),"")</f>
        <v/>
      </c>
      <c r="J20" t="str">
        <f>IF(表1_53[[#This Row],[配件1]]&lt;&gt;"",_xlfn.XLOOKUP(表1_53[[#This Row],[配件1]],显卡利益点对照表[型号],显卡利益点对照表[利益点2],"ERROR"),"")</f>
        <v/>
      </c>
      <c r="K20" t="str">
        <f>IF(表1_53[[#This Row],[配件1]]&lt;&gt;"",_xlfn.XLOOKUP(表1_53[[#This Row],[配件1]],显卡利益点对照表[型号],显卡利益点对照表[利益点3],"ERROR"),"")</f>
        <v/>
      </c>
      <c r="L20" t="str">
        <f>IF(表1_53[[#This Row],[配件1]]&lt;&gt;"",_xlfn.XLOOKUP(表1_53[[#This Row],[配件1]],显卡利益点对照表[型号],显卡利益点对照表[算力],"ERROR"),"")</f>
        <v/>
      </c>
      <c r="M20" t="str">
        <f>IF(表1_53[[#This Row],[配件1]]&lt;&gt;"",_xlfn.XLOOKUP(表1_53[[#This Row],[配件1]],显卡利益点对照表[型号],显卡利益点对照表[可显性],"ERROR"),"")</f>
        <v/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0" t="str" cm="1">
        <f t="array" ref="Q20">_xlfn.IFS(表1_53[[#This Row],[配件1]]="","",表1_53[[#This Row],[文本丨算力丨算力值]]=0,"",表1_53[[#This Row],[文本丨算力丨算力值]]&lt;&gt;"","算力")</f>
        <v/>
      </c>
    </row>
    <row r="21" spans="2:17" x14ac:dyDescent="0.2">
      <c r="B21" s="22">
        <v>10079004855423</v>
      </c>
      <c r="C21" t="s">
        <v>460</v>
      </c>
      <c r="D21" t="s">
        <v>468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半高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182mm半高卡设计丨25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GV-N5060OC-8GL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10079004855424</v>
      </c>
      <c r="C22" t="s">
        <v>460</v>
      </c>
      <c r="D22" t="s">
        <v>469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半高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182mm半高卡设计丨25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GV-N5060OC-8GL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C23" s="24" t="s">
        <v>461</v>
      </c>
      <c r="D23" t="s">
        <v>468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风魔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GV-N5060WF2-8GD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C24" s="24" t="s">
        <v>461</v>
      </c>
      <c r="D24" t="s">
        <v>469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风魔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精巧双风扇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GV-N5060WF2-8GD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10155071515452</v>
      </c>
      <c r="C25" s="24" t="s">
        <v>544</v>
      </c>
      <c r="D25" t="s">
        <v>468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风魔MAX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MAX OC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精巧双风扇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GV-N5060WF2MAX OC-8GD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10156669859368</v>
      </c>
      <c r="C26" s="24" t="s">
        <v>544</v>
      </c>
      <c r="D26" t="s">
        <v>469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风魔MAX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精巧双风扇</v>
      </c>
      <c r="K26" t="str">
        <f>IF(表1_53[[#This Row],[配件1]]&lt;&gt;"",_xlfn.XLOOKUP(表1_53[[#This Row],[配件1]],显卡利益点对照表[型号],显卡利益点对照表[利益点3],"ERROR"),"")</f>
        <v>仿生降噪风扇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GV-N5060WF2MAX OC-8GD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B27" s="22">
        <v>10079005338526</v>
      </c>
      <c r="C27" t="s">
        <v>462</v>
      </c>
      <c r="D27" t="s">
        <v>468</v>
      </c>
      <c r="F27" t="str">
        <f>IF(表1_53[[#This Row],[配件1]]&lt;&gt;"",_xlfn.XLOOKUP(表1_53[[#This Row],[配件1]],显卡利益点对照表[型号],显卡利益点对照表[标题1],"ERROR"),"")</f>
        <v>RTX5060</v>
      </c>
      <c r="G27" t="str">
        <f>IF(表1_53[[#This Row],[配件1]]&lt;&gt;"",_xlfn.XLOOKUP(表1_53[[#This Row],[配件1]],显卡利益点对照表[型号],显卡利益点对照表[标题2],"ERROR"),"")</f>
        <v>猎鹰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精巧双风扇</v>
      </c>
      <c r="K27" t="str">
        <f>IF(表1_53[[#This Row],[配件1]]&lt;&gt;"",_xlfn.XLOOKUP(表1_53[[#This Row],[配件1]],显卡利益点对照表[型号],显卡利益点对照表[利益点3],"ERROR"),"")</f>
        <v>仿生降噪风扇</v>
      </c>
      <c r="L27" t="str">
        <f>IF(表1_53[[#This Row],[配件1]]&lt;&gt;"",_xlfn.XLOOKUP(表1_53[[#This Row],[配件1]],显卡利益点对照表[型号],显卡利益点对照表[算力],"ERROR"),"")</f>
        <v>AI算力614 TOPS</v>
      </c>
      <c r="M27" t="str">
        <f>IF(表1_53[[#This Row],[配件1]]&lt;&gt;"",_xlfn.XLOOKUP(表1_53[[#This Row],[配件1]],显卡利益点对照表[型号],显卡利益点对照表[可显性],"ERROR"),"")</f>
        <v>GV-N5060EAGLE OC-8GD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7" t="str" cm="1">
        <f t="array" ref="Q27">_xlfn.IFS(表1_53[[#This Row],[配件1]]="","",表1_53[[#This Row],[文本丨算力丨算力值]]=0,"",表1_53[[#This Row],[文本丨算力丨算力值]]&lt;&gt;"","算力")</f>
        <v>算力</v>
      </c>
    </row>
    <row r="28" spans="2:17" x14ac:dyDescent="0.2">
      <c r="B28" s="22">
        <v>10079005338527</v>
      </c>
      <c r="C28" t="s">
        <v>462</v>
      </c>
      <c r="D28" t="s">
        <v>469</v>
      </c>
      <c r="F28" t="str">
        <f>IF(表1_53[[#This Row],[配件1]]&lt;&gt;"",_xlfn.XLOOKUP(表1_53[[#This Row],[配件1]],显卡利益点对照表[型号],显卡利益点对照表[标题1],"ERROR"),"")</f>
        <v>RTX5060</v>
      </c>
      <c r="G28" t="str">
        <f>IF(表1_53[[#This Row],[配件1]]&lt;&gt;"",_xlfn.XLOOKUP(表1_53[[#This Row],[配件1]],显卡利益点对照表[型号],显卡利益点对照表[标题2],"ERROR"),"")</f>
        <v>猎鹰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精巧双风扇</v>
      </c>
      <c r="K28" t="str">
        <f>IF(表1_53[[#This Row],[配件1]]&lt;&gt;"",_xlfn.XLOOKUP(表1_53[[#This Row],[配件1]],显卡利益点对照表[型号],显卡利益点对照表[利益点3],"ERROR"),"")</f>
        <v>仿生降噪风扇</v>
      </c>
      <c r="L28" t="str">
        <f>IF(表1_53[[#This Row],[配件1]]&lt;&gt;"",_xlfn.XLOOKUP(表1_53[[#This Row],[配件1]],显卡利益点对照表[型号],显卡利益点对照表[算力],"ERROR"),"")</f>
        <v>AI算力614 TOPS</v>
      </c>
      <c r="M28" t="str">
        <f>IF(表1_53[[#This Row],[配件1]]&lt;&gt;"",_xlfn.XLOOKUP(表1_53[[#This Row],[配件1]],显卡利益点对照表[型号],显卡利益点对照表[可显性],"ERROR"),"")</f>
        <v>GV-N5060EAGLE OC-8GD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8" t="str" cm="1">
        <f t="array" ref="Q28">_xlfn.IFS(表1_53[[#This Row],[配件1]]="","",表1_53[[#This Row],[文本丨算力丨算力值]]=0,"",表1_53[[#This Row],[文本丨算力丨算力值]]&lt;&gt;"","算力")</f>
        <v>算力</v>
      </c>
    </row>
    <row r="29" spans="2:17" x14ac:dyDescent="0.2">
      <c r="B29" s="22">
        <v>10164253233946</v>
      </c>
      <c r="C29" s="24" t="s">
        <v>545</v>
      </c>
      <c r="D29" t="s">
        <v>468</v>
      </c>
      <c r="F29" t="str">
        <f>IF(表1_53[[#This Row],[配件1]]&lt;&gt;"",_xlfn.XLOOKUP(表1_53[[#This Row],[配件1]],显卡利益点对照表[型号],显卡利益点对照表[标题1],"ERROR"),"")</f>
        <v>RTX5060</v>
      </c>
      <c r="G29" t="str">
        <f>IF(表1_53[[#This Row],[配件1]]&lt;&gt;"",_xlfn.XLOOKUP(表1_53[[#This Row],[配件1]],显卡利益点对照表[型号],显卡利益点对照表[标题2],"ERROR"),"")</f>
        <v>猎鹰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正逆转三风扇</v>
      </c>
      <c r="K29" t="str">
        <f>IF(表1_53[[#This Row],[配件1]]&lt;&gt;"",_xlfn.XLOOKUP(表1_53[[#This Row],[配件1]],显卡利益点对照表[型号],显卡利益点对照表[利益点3],"ERROR"),"")</f>
        <v>仿生降噪风扇</v>
      </c>
      <c r="L29" t="str">
        <f>IF(表1_53[[#This Row],[配件1]]&lt;&gt;"",_xlfn.XLOOKUP(表1_53[[#This Row],[配件1]],显卡利益点对照表[型号],显卡利益点对照表[算力],"ERROR"),"")</f>
        <v>AI算力614 TOPS</v>
      </c>
      <c r="M29" t="str">
        <f>IF(表1_53[[#This Row],[配件1]]&lt;&gt;"",_xlfn.XLOOKUP(表1_53[[#This Row],[配件1]],显卡利益点对照表[型号],显卡利益点对照表[可显性],"ERROR"),"")</f>
        <v>GV-N5060EAGLEMAX OC-8GD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9" t="str" cm="1">
        <f t="array" ref="Q29">_xlfn.IFS(表1_53[[#This Row],[配件1]]="","",表1_53[[#This Row],[文本丨算力丨算力值]]=0,"",表1_53[[#This Row],[文本丨算力丨算力值]]&lt;&gt;"","算力")</f>
        <v>算力</v>
      </c>
    </row>
    <row r="30" spans="2:17" x14ac:dyDescent="0.2">
      <c r="B30" s="22">
        <v>10164253233947</v>
      </c>
      <c r="C30" s="24" t="s">
        <v>545</v>
      </c>
      <c r="D30" t="s">
        <v>469</v>
      </c>
      <c r="F30" t="str">
        <f>IF(表1_53[[#This Row],[配件1]]&lt;&gt;"",_xlfn.XLOOKUP(表1_53[[#This Row],[配件1]],显卡利益点对照表[型号],显卡利益点对照表[标题1],"ERROR"),"")</f>
        <v>RTX5060</v>
      </c>
      <c r="G30" t="str">
        <f>IF(表1_53[[#This Row],[配件1]]&lt;&gt;"",_xlfn.XLOOKUP(表1_53[[#This Row],[配件1]],显卡利益点对照表[型号],显卡利益点对照表[标题2],"ERROR"),"")</f>
        <v>猎鹰 8G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正逆转三风扇</v>
      </c>
      <c r="K30" t="str">
        <f>IF(表1_53[[#This Row],[配件1]]&lt;&gt;"",_xlfn.XLOOKUP(表1_53[[#This Row],[配件1]],显卡利益点对照表[型号],显卡利益点对照表[利益点3],"ERROR"),"")</f>
        <v>仿生降噪风扇</v>
      </c>
      <c r="L30" t="str">
        <f>IF(表1_53[[#This Row],[配件1]]&lt;&gt;"",_xlfn.XLOOKUP(表1_53[[#This Row],[配件1]],显卡利益点对照表[型号],显卡利益点对照表[算力],"ERROR"),"")</f>
        <v>AI算力614 TOPS</v>
      </c>
      <c r="M30" t="str">
        <f>IF(表1_53[[#This Row],[配件1]]&lt;&gt;"",_xlfn.XLOOKUP(表1_53[[#This Row],[配件1]],显卡利益点对照表[型号],显卡利益点对照表[可显性],"ERROR"),"")</f>
        <v>GV-N5060EAGLEMAX OC-8GD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0" t="str" cm="1">
        <f t="array" ref="Q30">_xlfn.IFS(表1_53[[#This Row],[配件1]]="","",表1_53[[#This Row],[文本丨算力丨算力值]]=0,"",表1_53[[#This Row],[文本丨算力丨算力值]]&lt;&gt;"","算力")</f>
        <v>算力</v>
      </c>
    </row>
    <row r="31" spans="2:17" x14ac:dyDescent="0.2">
      <c r="B31" s="22">
        <v>10096423596457</v>
      </c>
      <c r="C31" t="s">
        <v>463</v>
      </c>
      <c r="D31" t="s">
        <v>468</v>
      </c>
      <c r="F31" t="str">
        <f>IF(表1_53[[#This Row],[配件1]]&lt;&gt;"",_xlfn.XLOOKUP(表1_53[[#This Row],[配件1]],显卡利益点对照表[型号],显卡利益点对照表[标题1],"ERROR"),"")</f>
        <v>RTX5060</v>
      </c>
      <c r="G31" t="str">
        <f>IF(表1_53[[#This Row],[配件1]]&lt;&gt;"",_xlfn.XLOOKUP(表1_53[[#This Row],[配件1]],显卡利益点对照表[型号],显卡利益点对照表[标题2],"ERROR"),"")</f>
        <v>冰猎鹰 8G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仿生降噪风扇</v>
      </c>
      <c r="L31" t="str">
        <f>IF(表1_53[[#This Row],[配件1]]&lt;&gt;"",_xlfn.XLOOKUP(表1_53[[#This Row],[配件1]],显卡利益点对照表[型号],显卡利益点对照表[算力],"ERROR"),"")</f>
        <v>AI算力614 TOPS</v>
      </c>
      <c r="M31" t="str">
        <f>IF(表1_53[[#This Row],[配件1]]&lt;&gt;"",_xlfn.XLOOKUP(表1_53[[#This Row],[配件1]],显卡利益点对照表[型号],显卡利益点对照表[可显性],"ERROR"),"")</f>
        <v>GV-N5060EAGLEOC ICE-8GD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1" t="str" cm="1">
        <f t="array" ref="Q31">_xlfn.IFS(表1_53[[#This Row],[配件1]]="","",表1_53[[#This Row],[文本丨算力丨算力值]]=0,"",表1_53[[#This Row],[文本丨算力丨算力值]]&lt;&gt;"","算力")</f>
        <v>算力</v>
      </c>
    </row>
    <row r="32" spans="2:17" x14ac:dyDescent="0.2">
      <c r="B32" s="22">
        <v>10096423596458</v>
      </c>
      <c r="C32" t="s">
        <v>463</v>
      </c>
      <c r="D32" t="s">
        <v>193</v>
      </c>
      <c r="F32" t="str">
        <f>IF(表1_53[[#This Row],[配件1]]&lt;&gt;"",_xlfn.XLOOKUP(表1_53[[#This Row],[配件1]],显卡利益点对照表[型号],显卡利益点对照表[标题1],"ERROR"),"")</f>
        <v>RTX5060</v>
      </c>
      <c r="G32" t="str">
        <f>IF(表1_53[[#This Row],[配件1]]&lt;&gt;"",_xlfn.XLOOKUP(表1_53[[#This Row],[配件1]],显卡利益点对照表[型号],显卡利益点对照表[标题2],"ERROR"),"")</f>
        <v>冰猎鹰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精巧双风扇</v>
      </c>
      <c r="K32" t="str">
        <f>IF(表1_53[[#This Row],[配件1]]&lt;&gt;"",_xlfn.XLOOKUP(表1_53[[#This Row],[配件1]],显卡利益点对照表[型号],显卡利益点对照表[利益点3],"ERROR"),"")</f>
        <v>仿生降噪风扇</v>
      </c>
      <c r="L32" t="str">
        <f>IF(表1_53[[#This Row],[配件1]]&lt;&gt;"",_xlfn.XLOOKUP(表1_53[[#This Row],[配件1]],显卡利益点对照表[型号],显卡利益点对照表[算力],"ERROR"),"")</f>
        <v>AI算力614 TOPS</v>
      </c>
      <c r="M32" t="str">
        <f>IF(表1_53[[#This Row],[配件1]]&lt;&gt;"",_xlfn.XLOOKUP(表1_53[[#This Row],[配件1]],显卡利益点对照表[型号],显卡利益点对照表[可显性],"ERROR"),"")</f>
        <v>GV-N5060EAGLEOC ICE-8GD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10079004855425</v>
      </c>
      <c r="C33" t="s">
        <v>464</v>
      </c>
      <c r="D33" t="s">
        <v>468</v>
      </c>
      <c r="F33" t="str">
        <f>IF(表1_53[[#This Row],[配件1]]&lt;&gt;"",_xlfn.XLOOKUP(表1_53[[#This Row],[配件1]],显卡利益点对照表[型号],显卡利益点对照表[标题1],"ERROR"),"")</f>
        <v>RTX5060</v>
      </c>
      <c r="G33" t="str">
        <f>IF(表1_53[[#This Row],[配件1]]&lt;&gt;"",_xlfn.XLOOKUP(表1_53[[#This Row],[配件1]],显卡利益点对照表[型号],显卡利益点对照表[标题2],"ERROR"),"")</f>
        <v>魔鹰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RGB滑动侧板</v>
      </c>
      <c r="K33" t="str">
        <f>IF(表1_53[[#This Row],[配件1]]&lt;&gt;"",_xlfn.XLOOKUP(表1_53[[#This Row],[配件1]],显卡利益点对照表[型号],显卡利益点对照表[利益点3],"ERROR"),"")</f>
        <v>强化金属背板</v>
      </c>
      <c r="L33" t="str">
        <f>IF(表1_53[[#This Row],[配件1]]&lt;&gt;"",_xlfn.XLOOKUP(表1_53[[#This Row],[配件1]],显卡利益点对照表[型号],显卡利益点对照表[算力],"ERROR"),"")</f>
        <v>AI算力614 TOPS</v>
      </c>
      <c r="M33" t="str">
        <f>IF(表1_53[[#This Row],[配件1]]&lt;&gt;"",_xlfn.XLOOKUP(表1_53[[#This Row],[配件1]],显卡利益点对照表[型号],显卡利益点对照表[可显性],"ERROR"),"")</f>
        <v>GV-N5060GAMING OC-8GD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10079004855426</v>
      </c>
      <c r="C34" t="s">
        <v>464</v>
      </c>
      <c r="D34" t="s">
        <v>469</v>
      </c>
      <c r="F34" t="str">
        <f>IF(表1_53[[#This Row],[配件1]]&lt;&gt;"",_xlfn.XLOOKUP(表1_53[[#This Row],[配件1]],显卡利益点对照表[型号],显卡利益点对照表[标题1],"ERROR"),"")</f>
        <v>RTX5060</v>
      </c>
      <c r="G34" t="str">
        <f>IF(表1_53[[#This Row],[配件1]]&lt;&gt;"",_xlfn.XLOOKUP(表1_53[[#This Row],[配件1]],显卡利益点对照表[型号],显卡利益点对照表[标题2],"ERROR"),"")</f>
        <v>魔鹰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RGB滑动侧板</v>
      </c>
      <c r="K34" t="str">
        <f>IF(表1_53[[#This Row],[配件1]]&lt;&gt;"",_xlfn.XLOOKUP(表1_53[[#This Row],[配件1]],显卡利益点对照表[型号],显卡利益点对照表[利益点3],"ERROR"),"")</f>
        <v>强化金属背板</v>
      </c>
      <c r="L34" t="str">
        <f>IF(表1_53[[#This Row],[配件1]]&lt;&gt;"",_xlfn.XLOOKUP(表1_53[[#This Row],[配件1]],显卡利益点对照表[型号],显卡利益点对照表[算力],"ERROR"),"")</f>
        <v>AI算力614 TOPS</v>
      </c>
      <c r="M34" t="str">
        <f>IF(表1_53[[#This Row],[配件1]]&lt;&gt;"",_xlfn.XLOOKUP(表1_53[[#This Row],[配件1]],显卡利益点对照表[型号],显卡利益点对照表[可显性],"ERROR"),"")</f>
        <v>GV-N5060GAMING OC-8GD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B35" s="22">
        <v>10079004855427</v>
      </c>
      <c r="C35" t="s">
        <v>465</v>
      </c>
      <c r="D35" t="s">
        <v>468</v>
      </c>
      <c r="F35" t="str">
        <f>IF(表1_53[[#This Row],[配件1]]&lt;&gt;"",_xlfn.XLOOKUP(表1_53[[#This Row],[配件1]],显卡利益点对照表[型号],显卡利益点对照表[标题1],"ERROR"),"")</f>
        <v>RTX5060</v>
      </c>
      <c r="G35" t="str">
        <f>IF(表1_53[[#This Row],[配件1]]&lt;&gt;"",_xlfn.XLOOKUP(表1_53[[#This Row],[配件1]],显卡利益点对照表[型号],显卡利益点对照表[标题2],"ERROR"),"")</f>
        <v>雪鹰 8G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银白雪装外观</v>
      </c>
      <c r="K35" t="str">
        <f>IF(表1_53[[#This Row],[配件1]]&lt;&gt;"",_xlfn.XLOOKUP(表1_53[[#This Row],[配件1]],显卡利益点对照表[型号],显卡利益点对照表[利益点3],"ERROR"),"")</f>
        <v>强化金属背板</v>
      </c>
      <c r="L35" t="str">
        <f>IF(表1_53[[#This Row],[配件1]]&lt;&gt;"",_xlfn.XLOOKUP(表1_53[[#This Row],[配件1]],显卡利益点对照表[型号],显卡利益点对照表[算力],"ERROR"),"")</f>
        <v>AI算力614 TOPS</v>
      </c>
      <c r="M35" t="str">
        <f>IF(表1_53[[#This Row],[配件1]]&lt;&gt;"",_xlfn.XLOOKUP(表1_53[[#This Row],[配件1]],显卡利益点对照表[型号],显卡利益点对照表[可显性],"ERROR"),"")</f>
        <v>GV-N5060AERO OC-8GD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5" t="str" cm="1">
        <f t="array" ref="Q35">_xlfn.IFS(表1_53[[#This Row],[配件1]]="","",表1_53[[#This Row],[文本丨算力丨算力值]]=0,"",表1_53[[#This Row],[文本丨算力丨算力值]]&lt;&gt;"","算力")</f>
        <v>算力</v>
      </c>
    </row>
    <row r="36" spans="2:17" x14ac:dyDescent="0.2">
      <c r="B36" s="22">
        <v>10079004855428</v>
      </c>
      <c r="C36" t="s">
        <v>465</v>
      </c>
      <c r="D36" t="s">
        <v>193</v>
      </c>
      <c r="F36" t="str">
        <f>IF(表1_53[[#This Row],[配件1]]&lt;&gt;"",_xlfn.XLOOKUP(表1_53[[#This Row],[配件1]],显卡利益点对照表[型号],显卡利益点对照表[标题1],"ERROR"),"")</f>
        <v>RTX5060</v>
      </c>
      <c r="G36" t="str">
        <f>IF(表1_53[[#This Row],[配件1]]&lt;&gt;"",_xlfn.XLOOKUP(表1_53[[#This Row],[配件1]],显卡利益点对照表[型号],显卡利益点对照表[标题2],"ERROR"),"")</f>
        <v>雪鹰 8G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银白雪装外观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AI算力614 TOPS</v>
      </c>
      <c r="M36" t="str">
        <f>IF(表1_53[[#This Row],[配件1]]&lt;&gt;"",_xlfn.XLOOKUP(表1_53[[#This Row],[配件1]],显卡利益点对照表[型号],显卡利益点对照表[可显性],"ERROR"),"")</f>
        <v>GV-N5060AERO OC-8GD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6" t="str" cm="1">
        <f t="array" ref="Q36">_xlfn.IFS(表1_53[[#This Row],[配件1]]="","",表1_53[[#This Row],[文本丨算力丨算力值]]=0,"",表1_53[[#This Row],[文本丨算力丨算力值]]&lt;&gt;"","算力")</f>
        <v>算力</v>
      </c>
    </row>
    <row r="37" spans="2:17" x14ac:dyDescent="0.2">
      <c r="B37" s="22">
        <v>10079004855429</v>
      </c>
      <c r="C37" t="s">
        <v>549</v>
      </c>
      <c r="D37" t="s">
        <v>468</v>
      </c>
      <c r="F37" t="str">
        <f>IF(表1_53[[#This Row],[配件1]]&lt;&gt;"",_xlfn.XLOOKUP(表1_53[[#This Row],[配件1]],显卡利益点对照表[型号],显卡利益点对照表[标题1],"ERROR"),"")</f>
        <v>RTX5060</v>
      </c>
      <c r="G37" t="str">
        <f>IF(表1_53[[#This Row],[配件1]]&lt;&gt;"",_xlfn.XLOOKUP(表1_53[[#This Row],[配件1]],显卡利益点对照表[型号],显卡利益点对照表[标题2],"ERROR"),"")</f>
        <v>小雕 8G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7" t="str">
        <f>IF(表1_53[[#This Row],[配件1]]&lt;&gt;"",_xlfn.XLOOKUP(表1_53[[#This Row],[配件1]],显卡利益点对照表[型号],显卡利益点对照表[利益点1],"ERROR"),"")</f>
        <v>注册4年保/个人送保</v>
      </c>
      <c r="J37" t="str">
        <f>IF(表1_53[[#This Row],[配件1]]&lt;&gt;"",_xlfn.XLOOKUP(表1_53[[#This Row],[配件1]],显卡利益点对照表[型号],显卡利益点对照表[利益点2],"ERROR"),"")</f>
        <v>RGB幻彩光轮</v>
      </c>
      <c r="K37" t="str">
        <f>IF(表1_53[[#This Row],[配件1]]&lt;&gt;"",_xlfn.XLOOKUP(表1_53[[#This Row],[配件1]],显卡利益点对照表[型号],显卡利益点对照表[利益点3],"ERROR"),"")</f>
        <v>五重高效散热</v>
      </c>
      <c r="L37" t="str">
        <f>IF(表1_53[[#This Row],[配件1]]&lt;&gt;"",_xlfn.XLOOKUP(表1_53[[#This Row],[配件1]],显卡利益点对照表[型号],显卡利益点对照表[算力],"ERROR"),"")</f>
        <v>AI算力614 TOPS</v>
      </c>
      <c r="M37" t="str">
        <f>IF(表1_53[[#This Row],[配件1]]&lt;&gt;"",_xlfn.XLOOKUP(表1_53[[#This Row],[配件1]],显卡利益点对照表[型号],显卡利益点对照表[可显性],"ERROR"),"")</f>
        <v>GV-N5060AORUS E-8GD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7" t="str" cm="1">
        <f t="array" ref="Q37">_xlfn.IFS(表1_53[[#This Row],[配件1]]="","",表1_53[[#This Row],[文本丨算力丨算力值]]=0,"",表1_53[[#This Row],[文本丨算力丨算力值]]&lt;&gt;"","算力")</f>
        <v>算力</v>
      </c>
    </row>
    <row r="38" spans="2:17" x14ac:dyDescent="0.2">
      <c r="B38" s="22">
        <v>10079004855430</v>
      </c>
      <c r="C38" t="s">
        <v>549</v>
      </c>
      <c r="D38" t="s">
        <v>469</v>
      </c>
      <c r="F38" t="str">
        <f>IF(表1_53[[#This Row],[配件1]]&lt;&gt;"",_xlfn.XLOOKUP(表1_53[[#This Row],[配件1]],显卡利益点对照表[型号],显卡利益点对照表[标题1],"ERROR"),"")</f>
        <v>RTX5060</v>
      </c>
      <c r="G38" t="str">
        <f>IF(表1_53[[#This Row],[配件1]]&lt;&gt;"",_xlfn.XLOOKUP(表1_53[[#This Row],[配件1]],显卡利益点对照表[型号],显卡利益点对照表[标题2],"ERROR"),"")</f>
        <v>小雕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8" t="str">
        <f>IF(表1_53[[#This Row],[配件1]]&lt;&gt;"",_xlfn.XLOOKUP(表1_53[[#This Row],[配件1]],显卡利益点对照表[型号],显卡利益点对照表[利益点1],"ERROR"),"")</f>
        <v>注册4年保/个人送保</v>
      </c>
      <c r="J38" t="str">
        <f>IF(表1_53[[#This Row],[配件1]]&lt;&gt;"",_xlfn.XLOOKUP(表1_53[[#This Row],[配件1]],显卡利益点对照表[型号],显卡利益点对照表[利益点2],"ERROR"),"")</f>
        <v>RGB幻彩光轮</v>
      </c>
      <c r="K38" t="str">
        <f>IF(表1_53[[#This Row],[配件1]]&lt;&gt;"",_xlfn.XLOOKUP(表1_53[[#This Row],[配件1]],显卡利益点对照表[型号],显卡利益点对照表[利益点3],"ERROR"),"")</f>
        <v>五重高效散热</v>
      </c>
      <c r="L38" t="str">
        <f>IF(表1_53[[#This Row],[配件1]]&lt;&gt;"",_xlfn.XLOOKUP(表1_53[[#This Row],[配件1]],显卡利益点对照表[型号],显卡利益点对照表[算力],"ERROR"),"")</f>
        <v>AI算力614 TOPS</v>
      </c>
      <c r="M38" t="str">
        <f>IF(表1_53[[#This Row],[配件1]]&lt;&gt;"",_xlfn.XLOOKUP(表1_53[[#This Row],[配件1]],显卡利益点对照表[型号],显卡利益点对照表[可显性],"ERROR"),"")</f>
        <v>GV-N5060AORUS E-8GD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F39" t="str">
        <f>IF(表1_53[[#This Row],[配件1]]&lt;&gt;"",_xlfn.XLOOKUP(表1_53[[#This Row],[配件1]],显卡利益点对照表[型号],显卡利益点对照表[标题1],"ERROR"),"")</f>
        <v/>
      </c>
      <c r="G39" t="str">
        <f>IF(表1_53[[#This Row],[配件1]]&lt;&gt;"",_xlfn.XLOOKUP(表1_53[[#This Row],[配件1]],显卡利益点对照表[型号],显卡利益点对照表[标题2],"ERROR"),"")</f>
        <v/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9" t="str">
        <f>IF(表1_53[[#This Row],[配件1]]&lt;&gt;"",_xlfn.XLOOKUP(表1_53[[#This Row],[配件1]],显卡利益点对照表[型号],显卡利益点对照表[利益点1],"ERROR"),"")</f>
        <v/>
      </c>
      <c r="J39" t="str">
        <f>IF(表1_53[[#This Row],[配件1]]&lt;&gt;"",_xlfn.XLOOKUP(表1_53[[#This Row],[配件1]],显卡利益点对照表[型号],显卡利益点对照表[利益点2],"ERROR"),"")</f>
        <v/>
      </c>
      <c r="K39" t="str">
        <f>IF(表1_53[[#This Row],[配件1]]&lt;&gt;"",_xlfn.XLOOKUP(表1_53[[#This Row],[配件1]],显卡利益点对照表[型号],显卡利益点对照表[利益点3],"ERROR"),"")</f>
        <v/>
      </c>
      <c r="L39" t="str">
        <f>IF(表1_53[[#This Row],[配件1]]&lt;&gt;"",_xlfn.XLOOKUP(表1_53[[#This Row],[配件1]],显卡利益点对照表[型号],显卡利益点对照表[算力],"ERROR"),"")</f>
        <v/>
      </c>
      <c r="M39" t="str">
        <f>IF(表1_53[[#This Row],[配件1]]&lt;&gt;"",_xlfn.XLOOKUP(表1_53[[#This Row],[配件1]],显卡利益点对照表[型号],显卡利益点对照表[可显性],"ERROR"),"")</f>
        <v/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9" t="str" cm="1">
        <f t="array" ref="Q39">_xlfn.IFS(表1_53[[#This Row],[配件1]]="","",表1_53[[#This Row],[文本丨算力丨算力值]]=0,"",表1_53[[#This Row],[文本丨算力丨算力值]]&lt;&gt;"","算力")</f>
        <v/>
      </c>
    </row>
    <row r="40" spans="2:17" x14ac:dyDescent="0.2">
      <c r="F40" t="str">
        <f>IF(表1_53[[#This Row],[配件1]]&lt;&gt;"",_xlfn.XLOOKUP(表1_53[[#This Row],[配件1]],显卡利益点对照表[型号],显卡利益点对照表[标题1],"ERROR"),"")</f>
        <v/>
      </c>
      <c r="G40" t="str">
        <f>IF(表1_53[[#This Row],[配件1]]&lt;&gt;"",_xlfn.XLOOKUP(表1_53[[#This Row],[配件1]],显卡利益点对照表[型号],显卡利益点对照表[标题2],"ERROR"),"")</f>
        <v/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0" t="str">
        <f>IF(表1_53[[#This Row],[配件1]]&lt;&gt;"",_xlfn.XLOOKUP(表1_53[[#This Row],[配件1]],显卡利益点对照表[型号],显卡利益点对照表[利益点1],"ERROR"),"")</f>
        <v/>
      </c>
      <c r="J40" t="str">
        <f>IF(表1_53[[#This Row],[配件1]]&lt;&gt;"",_xlfn.XLOOKUP(表1_53[[#This Row],[配件1]],显卡利益点对照表[型号],显卡利益点对照表[利益点2],"ERROR"),"")</f>
        <v/>
      </c>
      <c r="K40" t="str">
        <f>IF(表1_53[[#This Row],[配件1]]&lt;&gt;"",_xlfn.XLOOKUP(表1_53[[#This Row],[配件1]],显卡利益点对照表[型号],显卡利益点对照表[利益点3],"ERROR"),"")</f>
        <v/>
      </c>
      <c r="L40" t="str">
        <f>IF(表1_53[[#This Row],[配件1]]&lt;&gt;"",_xlfn.XLOOKUP(表1_53[[#This Row],[配件1]],显卡利益点对照表[型号],显卡利益点对照表[算力],"ERROR"),"")</f>
        <v/>
      </c>
      <c r="M40" t="str">
        <f>IF(表1_53[[#This Row],[配件1]]&lt;&gt;"",_xlfn.XLOOKUP(表1_53[[#This Row],[配件1]],显卡利益点对照表[型号],显卡利益点对照表[可显性],"ERROR"),"")</f>
        <v/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40" t="str" cm="1">
        <f t="array" ref="Q40">_xlfn.IFS(表1_53[[#This Row],[配件1]]="","",表1_53[[#This Row],[文本丨算力丨算力值]]=0,"",表1_53[[#This Row],[文本丨算力丨算力值]]&lt;&gt;"","算力")</f>
        <v/>
      </c>
    </row>
    <row r="41" spans="2:17" x14ac:dyDescent="0.2">
      <c r="F41" t="str">
        <f>IF(表1_53[[#This Row],[配件1]]&lt;&gt;"",_xlfn.XLOOKUP(表1_53[[#This Row],[配件1]],显卡利益点对照表[型号],显卡利益点对照表[标题1],"ERROR"),"")</f>
        <v/>
      </c>
      <c r="G41" t="str">
        <f>IF(表1_53[[#This Row],[配件1]]&lt;&gt;"",_xlfn.XLOOKUP(表1_53[[#This Row],[配件1]],显卡利益点对照表[型号],显卡利益点对照表[标题2],"ERROR"),"")</f>
        <v/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1" t="str">
        <f>IF(表1_53[[#This Row],[配件1]]&lt;&gt;"",_xlfn.XLOOKUP(表1_53[[#This Row],[配件1]],显卡利益点对照表[型号],显卡利益点对照表[利益点1],"ERROR"),"")</f>
        <v/>
      </c>
      <c r="J41" t="str">
        <f>IF(表1_53[[#This Row],[配件1]]&lt;&gt;"",_xlfn.XLOOKUP(表1_53[[#This Row],[配件1]],显卡利益点对照表[型号],显卡利益点对照表[利益点2],"ERROR"),"")</f>
        <v/>
      </c>
      <c r="K41" t="str">
        <f>IF(表1_53[[#This Row],[配件1]]&lt;&gt;"",_xlfn.XLOOKUP(表1_53[[#This Row],[配件1]],显卡利益点对照表[型号],显卡利益点对照表[利益点3],"ERROR"),"")</f>
        <v/>
      </c>
      <c r="L41" t="str">
        <f>IF(表1_53[[#This Row],[配件1]]&lt;&gt;"",_xlfn.XLOOKUP(表1_53[[#This Row],[配件1]],显卡利益点对照表[型号],显卡利益点对照表[算力],"ERROR"),"")</f>
        <v/>
      </c>
      <c r="M41" t="str">
        <f>IF(表1_53[[#This Row],[配件1]]&lt;&gt;"",_xlfn.XLOOKUP(表1_53[[#This Row],[配件1]],显卡利益点对照表[型号],显卡利益点对照表[可显性],"ERROR"),"")</f>
        <v/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41" t="str" cm="1">
        <f t="array" ref="Q41">_xlfn.IFS(表1_53[[#This Row],[配件1]]="","",表1_53[[#This Row],[文本丨算力丨算力值]]=0,"",表1_53[[#This Row],[文本丨算力丨算力值]]&lt;&gt;"","算力")</f>
        <v/>
      </c>
    </row>
    <row r="42" spans="2:17" x14ac:dyDescent="0.2">
      <c r="B42" s="22">
        <v>10168842358596</v>
      </c>
      <c r="C42" t="s">
        <v>250</v>
      </c>
      <c r="D42" t="s">
        <v>468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风魔 8G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精巧双风扇</v>
      </c>
      <c r="K42" t="str">
        <f>IF(表1_53[[#This Row],[配件1]]&lt;&gt;"",_xlfn.XLOOKUP(表1_53[[#This Row],[配件1]],显卡利益点对照表[型号],显卡利益点对照表[利益点3],"ERROR"),"")</f>
        <v>仿生降噪风扇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GV-N506TWF2-8GD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>
        <v>10168842358597</v>
      </c>
      <c r="C43" t="s">
        <v>250</v>
      </c>
      <c r="D43" t="s">
        <v>262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风魔 8G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精巧双风扇</v>
      </c>
      <c r="K43" t="str">
        <f>IF(表1_53[[#This Row],[配件1]]&lt;&gt;"",_xlfn.XLOOKUP(表1_53[[#This Row],[配件1]],显卡利益点对照表[型号],显卡利益点对照表[利益点3],"ERROR"),"")</f>
        <v>仿生降噪风扇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GV-N506TWF2-8GD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10168844733944</v>
      </c>
      <c r="C44" t="s">
        <v>259</v>
      </c>
      <c r="D44" t="s">
        <v>468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猎鹰 8G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精巧双风扇</v>
      </c>
      <c r="K44" t="str">
        <f>IF(表1_53[[#This Row],[配件1]]&lt;&gt;"",_xlfn.XLOOKUP(表1_53[[#This Row],[配件1]],显卡利益点对照表[型号],显卡利益点对照表[利益点3],"ERROR"),"")</f>
        <v>仿生降噪风扇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OC-16GD</v>
      </c>
      <c r="N4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10168842358599</v>
      </c>
      <c r="C45" t="s">
        <v>259</v>
      </c>
      <c r="D45" t="s">
        <v>262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猎鹰 8G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精巧双风扇</v>
      </c>
      <c r="K45" t="str">
        <f>IF(表1_53[[#This Row],[配件1]]&lt;&gt;"",_xlfn.XLOOKUP(表1_53[[#This Row],[配件1]],显卡利益点对照表[型号],显卡利益点对照表[利益点3],"ERROR"),"")</f>
        <v>仿生降噪风扇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10168842358598</v>
      </c>
      <c r="C46" s="24" t="s">
        <v>546</v>
      </c>
      <c r="D46" t="s">
        <v>468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猎鹰 8G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正逆转三风扇</v>
      </c>
      <c r="K46" t="str">
        <f>IF(表1_53[[#This Row],[配件1]]&lt;&gt;"",_xlfn.XLOOKUP(表1_53[[#This Row],[配件1]],显卡利益点对照表[型号],显卡利益点对照表[利益点3],"ERROR"),"")</f>
        <v>仿生降噪风扇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GV-N506TEAGLEMAX OC-8GD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10168842358601</v>
      </c>
      <c r="C47" s="24" t="s">
        <v>546</v>
      </c>
      <c r="D47" t="s">
        <v>262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猎鹰 8G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正逆转三风扇</v>
      </c>
      <c r="K47" t="str">
        <f>IF(表1_53[[#This Row],[配件1]]&lt;&gt;"",_xlfn.XLOOKUP(表1_53[[#This Row],[配件1]],显卡利益点对照表[型号],显卡利益点对照表[利益点3],"ERROR"),"")</f>
        <v>仿生降噪风扇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GV-N506TEAGLEMAX OC-8GD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10168847492660</v>
      </c>
      <c r="C48" t="s">
        <v>258</v>
      </c>
      <c r="D48" t="s">
        <v>468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冰猎鹰 8G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精巧双风扇</v>
      </c>
      <c r="K48" t="str">
        <f>IF(表1_53[[#This Row],[配件1]]&lt;&gt;"",_xlfn.XLOOKUP(表1_53[[#This Row],[配件1]],显卡利益点对照表[型号],显卡利益点对照表[利益点3],"ERROR"),"")</f>
        <v>仿生降噪风扇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GV-N506TEAGLE OC ICE-16GD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10168847492661</v>
      </c>
      <c r="C49" t="s">
        <v>258</v>
      </c>
      <c r="D49" t="s">
        <v>196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冰猎鹰 8G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精巧双风扇</v>
      </c>
      <c r="K49" t="str">
        <f>IF(表1_53[[#This Row],[配件1]]&lt;&gt;"",_xlfn.XLOOKUP(表1_53[[#This Row],[配件1]],显卡利益点对照表[型号],显卡利益点对照表[利益点3],"ERROR"),"")</f>
        <v>仿生降噪风扇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GV-N506TEAGLE OC ICE-16GD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10168842358600</v>
      </c>
      <c r="C50" t="s">
        <v>255</v>
      </c>
      <c r="D50" t="s">
        <v>468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魔鹰 8G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RGB滑动侧板</v>
      </c>
      <c r="K50" t="str">
        <f>IF(表1_53[[#This Row],[配件1]]&lt;&gt;"",_xlfn.XLOOKUP(表1_53[[#This Row],[配件1]],显卡利益点对照表[型号],显卡利益点对照表[利益点3],"ERROR"),"")</f>
        <v>正逆转三风扇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GV-N506TGAMING OC-16GD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10168842358603</v>
      </c>
      <c r="C51" t="s">
        <v>255</v>
      </c>
      <c r="D51" t="s">
        <v>262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魔鹰 8G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RGB滑动侧板</v>
      </c>
      <c r="K51" t="str">
        <f>IF(表1_53[[#This Row],[配件1]]&lt;&gt;"",_xlfn.XLOOKUP(表1_53[[#This Row],[配件1]],显卡利益点对照表[型号],显卡利益点对照表[利益点3],"ERROR"),"")</f>
        <v>正逆转三风扇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GV-N506TGAMING OC-16GD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10168842358602</v>
      </c>
      <c r="C52" t="s">
        <v>253</v>
      </c>
      <c r="D52" t="s">
        <v>468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雪鹰 8G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2" t="str">
        <f>IF(表1_53[[#This Row],[配件1]]&lt;&gt;"",_xlfn.XLOOKUP(表1_53[[#This Row],[配件1]],显卡利益点对照表[型号],显卡利益点对照表[利益点1],"ERROR"),"")</f>
        <v>铜板+复合式热管</v>
      </c>
      <c r="J52" t="str">
        <f>IF(表1_53[[#This Row],[配件1]]&lt;&gt;"",_xlfn.XLOOKUP(表1_53[[#This Row],[配件1]],显卡利益点对照表[型号],显卡利益点对照表[利益点2],"ERROR"),"")</f>
        <v>银白雪装外观</v>
      </c>
      <c r="K52" t="str">
        <f>IF(表1_53[[#This Row],[配件1]]&lt;&gt;"",_xlfn.XLOOKUP(表1_53[[#This Row],[配件1]],显卡利益点对照表[型号],显卡利益点对照表[利益点3],"ERROR"),"")</f>
        <v>正逆转三风扇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GV-N506TAERO OC-16GD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10168844733945</v>
      </c>
      <c r="C53" t="s">
        <v>253</v>
      </c>
      <c r="D53" t="s">
        <v>196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雪鹰 8G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铜板+复合式热管</v>
      </c>
      <c r="J53" t="str">
        <f>IF(表1_53[[#This Row],[配件1]]&lt;&gt;"",_xlfn.XLOOKUP(表1_53[[#This Row],[配件1]],显卡利益点对照表[型号],显卡利益点对照表[利益点2],"ERROR"),"")</f>
        <v>银白雪装外观</v>
      </c>
      <c r="K53" t="str">
        <f>IF(表1_53[[#This Row],[配件1]]&lt;&gt;"",_xlfn.XLOOKUP(表1_53[[#This Row],[配件1]],显卡利益点对照表[型号],显卡利益点对照表[利益点3],"ERROR"),"")</f>
        <v>正逆转三风扇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GV-N506TAERO OC-16GD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F54" t="str">
        <f>IF(表1_53[[#This Row],[配件1]]&lt;&gt;"",_xlfn.XLOOKUP(表1_53[[#This Row],[配件1]],显卡利益点对照表[型号],显卡利益点对照表[标题1],"ERROR"),"")</f>
        <v/>
      </c>
      <c r="G54" t="str">
        <f>IF(表1_53[[#This Row],[配件1]]&lt;&gt;"",_xlfn.XLOOKUP(表1_53[[#This Row],[配件1]],显卡利益点对照表[型号],显卡利益点对照表[标题2],"ERROR"),"")</f>
        <v/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4" t="str">
        <f>IF(表1_53[[#This Row],[配件1]]&lt;&gt;"",_xlfn.XLOOKUP(表1_53[[#This Row],[配件1]],显卡利益点对照表[型号],显卡利益点对照表[利益点1],"ERROR"),"")</f>
        <v/>
      </c>
      <c r="J54" t="str">
        <f>IF(表1_53[[#This Row],[配件1]]&lt;&gt;"",_xlfn.XLOOKUP(表1_53[[#This Row],[配件1]],显卡利益点对照表[型号],显卡利益点对照表[利益点2],"ERROR"),"")</f>
        <v/>
      </c>
      <c r="K54" t="str">
        <f>IF(表1_53[[#This Row],[配件1]]&lt;&gt;"",_xlfn.XLOOKUP(表1_53[[#This Row],[配件1]],显卡利益点对照表[型号],显卡利益点对照表[利益点3],"ERROR"),"")</f>
        <v/>
      </c>
      <c r="L54" t="str">
        <f>IF(表1_53[[#This Row],[配件1]]&lt;&gt;"",_xlfn.XLOOKUP(表1_53[[#This Row],[配件1]],显卡利益点对照表[型号],显卡利益点对照表[算力],"ERROR"),"")</f>
        <v/>
      </c>
      <c r="M54" t="str">
        <f>IF(表1_53[[#This Row],[配件1]]&lt;&gt;"",_xlfn.XLOOKUP(表1_53[[#This Row],[配件1]],显卡利益点对照表[型号],显卡利益点对照表[可显性],"ERROR"),"")</f>
        <v/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54" t="str" cm="1">
        <f t="array" ref="Q54">_xlfn.IFS(表1_53[[#This Row],[配件1]]="","",表1_53[[#This Row],[文本丨算力丨算力值]]=0,"",表1_53[[#This Row],[文本丨算力丨算力值]]&lt;&gt;"","算力")</f>
        <v/>
      </c>
    </row>
    <row r="55" spans="2:17" x14ac:dyDescent="0.2">
      <c r="B55" s="22">
        <v>10076155580248</v>
      </c>
      <c r="C55" t="s">
        <v>254</v>
      </c>
      <c r="D55" t="s">
        <v>468</v>
      </c>
      <c r="F55" t="str">
        <f>IF(表1_53[[#This Row],[配件1]]&lt;&gt;"",_xlfn.XLOOKUP(表1_53[[#This Row],[配件1]],显卡利益点对照表[型号],显卡利益点对照表[标题1],"ERROR"),"")</f>
        <v>RTX5060 Ti</v>
      </c>
      <c r="G55" t="str">
        <f>IF(表1_53[[#This Row],[配件1]]&lt;&gt;"",_xlfn.XLOOKUP(表1_53[[#This Row],[配件1]],显卡利益点对照表[型号],显卡利益点对照表[标题2],"ERROR"),"")</f>
        <v>风魔16G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精巧双风扇</v>
      </c>
      <c r="K55" t="str">
        <f>IF(表1_53[[#This Row],[配件1]]&lt;&gt;"",_xlfn.XLOOKUP(表1_53[[#This Row],[配件1]],显卡利益点对照表[型号],显卡利益点对照表[利益点3],"ERROR"),"")</f>
        <v>16G大显存</v>
      </c>
      <c r="L55" t="str">
        <f>IF(表1_53[[#This Row],[配件1]]&lt;&gt;"",_xlfn.XLOOKUP(表1_53[[#This Row],[配件1]],显卡利益点对照表[型号],显卡利益点对照表[算力],"ERROR"),"")</f>
        <v>AI算力759 TOPS</v>
      </c>
      <c r="M55" t="str">
        <f>IF(表1_53[[#This Row],[配件1]]&lt;&gt;"",_xlfn.XLOOKUP(表1_53[[#This Row],[配件1]],显卡利益点对照表[型号],显卡利益点对照表[可显性],"ERROR"),"")</f>
        <v>GV-N506TWF2-16GD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10098325451770</v>
      </c>
      <c r="C56" t="s">
        <v>254</v>
      </c>
      <c r="D56" t="s">
        <v>262</v>
      </c>
      <c r="F56" t="str">
        <f>IF(表1_53[[#This Row],[配件1]]&lt;&gt;"",_xlfn.XLOOKUP(表1_53[[#This Row],[配件1]],显卡利益点对照表[型号],显卡利益点对照表[标题1],"ERROR"),"")</f>
        <v>RTX5060 Ti</v>
      </c>
      <c r="G56" t="str">
        <f>IF(表1_53[[#This Row],[配件1]]&lt;&gt;"",_xlfn.XLOOKUP(表1_53[[#This Row],[配件1]],显卡利益点对照表[型号],显卡利益点对照表[标题2],"ERROR"),"")</f>
        <v>风魔16G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精巧双风扇</v>
      </c>
      <c r="K56" t="str">
        <f>IF(表1_53[[#This Row],[配件1]]&lt;&gt;"",_xlfn.XLOOKUP(表1_53[[#This Row],[配件1]],显卡利益点对照表[型号],显卡利益点对照表[利益点3],"ERROR"),"")</f>
        <v>16G大显存</v>
      </c>
      <c r="L56" t="str">
        <f>IF(表1_53[[#This Row],[配件1]]&lt;&gt;"",_xlfn.XLOOKUP(表1_53[[#This Row],[配件1]],显卡利益点对照表[型号],显卡利益点对照表[算力],"ERROR"),"")</f>
        <v>AI算力759 TOPS</v>
      </c>
      <c r="M56" t="str">
        <f>IF(表1_53[[#This Row],[配件1]]&lt;&gt;"",_xlfn.XLOOKUP(表1_53[[#This Row],[配件1]],显卡利益点对照表[型号],显卡利益点对照表[可显性],"ERROR"),"")</f>
        <v>GV-N506TWF2-16GD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10148977887434</v>
      </c>
      <c r="C57" t="s">
        <v>261</v>
      </c>
      <c r="D57" t="s">
        <v>468</v>
      </c>
      <c r="F57" t="str">
        <f>IF(表1_53[[#This Row],[配件1]]&lt;&gt;"",_xlfn.XLOOKUP(表1_53[[#This Row],[配件1]],显卡利益点对照表[型号],显卡利益点对照表[标题1],"ERROR"),"")</f>
        <v>RTX5060 Ti</v>
      </c>
      <c r="G57" t="str">
        <f>IF(表1_53[[#This Row],[配件1]]&lt;&gt;"",_xlfn.XLOOKUP(表1_53[[#This Row],[配件1]],显卡利益点对照表[型号],显卡利益点对照表[标题2],"ERROR"),"")</f>
        <v>猎鹰 16G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精巧双风扇</v>
      </c>
      <c r="K57" t="str">
        <f>IF(表1_53[[#This Row],[配件1]]&lt;&gt;"",_xlfn.XLOOKUP(表1_53[[#This Row],[配件1]],显卡利益点对照表[型号],显卡利益点对照表[利益点3],"ERROR"),"")</f>
        <v>16G大显存</v>
      </c>
      <c r="L57" t="str">
        <f>IF(表1_53[[#This Row],[配件1]]&lt;&gt;"",_xlfn.XLOOKUP(表1_53[[#This Row],[配件1]],显卡利益点对照表[型号],显卡利益点对照表[算力],"ERROR"),"")</f>
        <v>AI算力759 TOPS</v>
      </c>
      <c r="M57" t="str">
        <f>IF(表1_53[[#This Row],[配件1]]&lt;&gt;"",_xlfn.XLOOKUP(表1_53[[#This Row],[配件1]],显卡利益点对照表[型号],显卡利益点对照表[可显性],"ERROR"),"")</f>
        <v>GV-N506TEAGLE OC-16GD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10148977887435</v>
      </c>
      <c r="C58" t="s">
        <v>261</v>
      </c>
      <c r="D58" t="s">
        <v>262</v>
      </c>
      <c r="F58" t="str">
        <f>IF(表1_53[[#This Row],[配件1]]&lt;&gt;"",_xlfn.XLOOKUP(表1_53[[#This Row],[配件1]],显卡利益点对照表[型号],显卡利益点对照表[标题1],"ERROR"),"")</f>
        <v>RTX5060 Ti</v>
      </c>
      <c r="G58" t="str">
        <f>IF(表1_53[[#This Row],[配件1]]&lt;&gt;"",_xlfn.XLOOKUP(表1_53[[#This Row],[配件1]],显卡利益点对照表[型号],显卡利益点对照表[标题2],"ERROR"),"")</f>
        <v>猎鹰 16G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精巧双风扇</v>
      </c>
      <c r="K58" t="str">
        <f>IF(表1_53[[#This Row],[配件1]]&lt;&gt;"",_xlfn.XLOOKUP(表1_53[[#This Row],[配件1]],显卡利益点对照表[型号],显卡利益点对照表[利益点3],"ERROR"),"")</f>
        <v>16G大显存</v>
      </c>
      <c r="L58" t="str">
        <f>IF(表1_53[[#This Row],[配件1]]&lt;&gt;"",_xlfn.XLOOKUP(表1_53[[#This Row],[配件1]],显卡利益点对照表[型号],显卡利益点对照表[算力],"ERROR"),"")</f>
        <v>AI算力759 TOPS</v>
      </c>
      <c r="M58" t="str">
        <f>IF(表1_53[[#This Row],[配件1]]&lt;&gt;"",_xlfn.XLOOKUP(表1_53[[#This Row],[配件1]],显卡利益点对照表[型号],显卡利益点对照表[可显性],"ERROR"),"")</f>
        <v>GV-N506TEAGLE OC-16GD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10164254379477</v>
      </c>
      <c r="C59" s="24" t="s">
        <v>547</v>
      </c>
      <c r="D59" t="s">
        <v>468</v>
      </c>
      <c r="F59" t="str">
        <f>IF(表1_53[[#This Row],[配件1]]&lt;&gt;"",_xlfn.XLOOKUP(表1_53[[#This Row],[配件1]],显卡利益点对照表[型号],显卡利益点对照表[标题1],"ERROR"),"")</f>
        <v>RTX5060 Ti</v>
      </c>
      <c r="G59" t="str">
        <f>IF(表1_53[[#This Row],[配件1]]&lt;&gt;"",_xlfn.XLOOKUP(表1_53[[#This Row],[配件1]],显卡利益点对照表[型号],显卡利益点对照表[标题2],"ERROR"),"")</f>
        <v>猎鹰 16G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正逆转三风扇</v>
      </c>
      <c r="K59" t="str">
        <f>IF(表1_53[[#This Row],[配件1]]&lt;&gt;"",_xlfn.XLOOKUP(表1_53[[#This Row],[配件1]],显卡利益点对照表[型号],显卡利益点对照表[利益点3],"ERROR"),"")</f>
        <v>16G大显存</v>
      </c>
      <c r="L59" t="str">
        <f>IF(表1_53[[#This Row],[配件1]]&lt;&gt;"",_xlfn.XLOOKUP(表1_53[[#This Row],[配件1]],显卡利益点对照表[型号],显卡利益点对照表[算力],"ERROR"),"")</f>
        <v>AI算力759 TOPS</v>
      </c>
      <c r="M59" t="str">
        <f>IF(表1_53[[#This Row],[配件1]]&lt;&gt;"",_xlfn.XLOOKUP(表1_53[[#This Row],[配件1]],显卡利益点对照表[型号],显卡利益点对照表[可显性],"ERROR"),"")</f>
        <v>GV-N506TEAGLEMAX OC-16GD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x14ac:dyDescent="0.2">
      <c r="B60" s="22" t="s">
        <v>548</v>
      </c>
      <c r="C60" s="24" t="s">
        <v>547</v>
      </c>
      <c r="D60" t="s">
        <v>262</v>
      </c>
      <c r="F60" t="str">
        <f>IF(表1_53[[#This Row],[配件1]]&lt;&gt;"",_xlfn.XLOOKUP(表1_53[[#This Row],[配件1]],显卡利益点对照表[型号],显卡利益点对照表[标题1],"ERROR"),"")</f>
        <v>RTX5060 Ti</v>
      </c>
      <c r="G60" t="str">
        <f>IF(表1_53[[#This Row],[配件1]]&lt;&gt;"",_xlfn.XLOOKUP(表1_53[[#This Row],[配件1]],显卡利益点对照表[型号],显卡利益点对照表[标题2],"ERROR"),"")</f>
        <v>猎鹰 16G</v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0" t="str">
        <f>IF(表1_53[[#This Row],[配件1]]&lt;&gt;"",_xlfn.XLOOKUP(表1_53[[#This Row],[配件1]],显卡利益点对照表[型号],显卡利益点对照表[利益点1],"ERROR"),"")</f>
        <v>铜板+复合式热管</v>
      </c>
      <c r="J60" t="str">
        <f>IF(表1_53[[#This Row],[配件1]]&lt;&gt;"",_xlfn.XLOOKUP(表1_53[[#This Row],[配件1]],显卡利益点对照表[型号],显卡利益点对照表[利益点2],"ERROR"),"")</f>
        <v>正逆转三风扇</v>
      </c>
      <c r="K60" t="str">
        <f>IF(表1_53[[#This Row],[配件1]]&lt;&gt;"",_xlfn.XLOOKUP(表1_53[[#This Row],[配件1]],显卡利益点对照表[型号],显卡利益点对照表[利益点3],"ERROR"),"")</f>
        <v>16G大显存</v>
      </c>
      <c r="L60" t="str">
        <f>IF(表1_53[[#This Row],[配件1]]&lt;&gt;"",_xlfn.XLOOKUP(表1_53[[#This Row],[配件1]],显卡利益点对照表[型号],显卡利益点对照表[算力],"ERROR"),"")</f>
        <v>AI算力759 TOPS</v>
      </c>
      <c r="M60" t="str">
        <f>IF(表1_53[[#This Row],[配件1]]&lt;&gt;"",_xlfn.XLOOKUP(表1_53[[#This Row],[配件1]],显卡利益点对照表[型号],显卡利益点对照表[可显性],"ERROR"),"")</f>
        <v>GV-N506TEAGLEMAX OC-16GD</v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0" t="str" cm="1">
        <f t="array" ref="Q60">_xlfn.IFS(表1_53[[#This Row],[配件1]]="","",表1_53[[#This Row],[文本丨算力丨算力值]]=0,"",表1_53[[#This Row],[文本丨算力丨算力值]]&lt;&gt;"","算力")</f>
        <v>算力</v>
      </c>
    </row>
    <row r="61" spans="2:17" x14ac:dyDescent="0.2">
      <c r="B61" s="22">
        <v>10148977887436</v>
      </c>
      <c r="C61" t="s">
        <v>257</v>
      </c>
      <c r="D61" t="s">
        <v>468</v>
      </c>
      <c r="F61" t="str">
        <f>IF(表1_53[[#This Row],[配件1]]&lt;&gt;"",_xlfn.XLOOKUP(表1_53[[#This Row],[配件1]],显卡利益点对照表[型号],显卡利益点对照表[标题1],"ERROR"),"")</f>
        <v>RTX5060 Ti</v>
      </c>
      <c r="G61" t="str">
        <f>IF(表1_53[[#This Row],[配件1]]&lt;&gt;"",_xlfn.XLOOKUP(表1_53[[#This Row],[配件1]],显卡利益点对照表[型号],显卡利益点对照表[标题2],"ERROR"),"")</f>
        <v>冰猎鹰 16G</v>
      </c>
      <c r="H6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61" t="str">
        <f>IF(表1_53[[#This Row],[配件1]]&lt;&gt;"",_xlfn.XLOOKUP(表1_53[[#This Row],[配件1]],显卡利益点对照表[型号],显卡利益点对照表[利益点1],"ERROR"),"")</f>
        <v>铜板+复合式热管</v>
      </c>
      <c r="J61" t="str">
        <f>IF(表1_53[[#This Row],[配件1]]&lt;&gt;"",_xlfn.XLOOKUP(表1_53[[#This Row],[配件1]],显卡利益点对照表[型号],显卡利益点对照表[利益点2],"ERROR"),"")</f>
        <v>精巧双风扇</v>
      </c>
      <c r="K61" t="str">
        <f>IF(表1_53[[#This Row],[配件1]]&lt;&gt;"",_xlfn.XLOOKUP(表1_53[[#This Row],[配件1]],显卡利益点对照表[型号],显卡利益点对照表[利益点3],"ERROR"),"")</f>
        <v>16G大显存</v>
      </c>
      <c r="L61" t="str">
        <f>IF(表1_53[[#This Row],[配件1]]&lt;&gt;"",_xlfn.XLOOKUP(表1_53[[#This Row],[配件1]],显卡利益点对照表[型号],显卡利益点对照表[算力],"ERROR"),"")</f>
        <v>AI算力759 TOPS</v>
      </c>
      <c r="M61" t="str">
        <f>IF(表1_53[[#This Row],[配件1]]&lt;&gt;"",_xlfn.XLOOKUP(表1_53[[#This Row],[配件1]],显卡利益点对照表[型号],显卡利益点对照表[可显性],"ERROR"),"")</f>
        <v>GV-N506TEAGLE OC ICE-16GD</v>
      </c>
      <c r="N6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1" t="str" cm="1">
        <f t="array" ref="Q61">_xlfn.IFS(表1_53[[#This Row],[配件1]]="","",表1_53[[#This Row],[文本丨算力丨算力值]]=0,"",表1_53[[#This Row],[文本丨算力丨算力值]]&lt;&gt;"","算力")</f>
        <v>算力</v>
      </c>
    </row>
    <row r="62" spans="2:17" x14ac:dyDescent="0.2">
      <c r="B62" s="22">
        <v>10148977887437</v>
      </c>
      <c r="C62" t="s">
        <v>257</v>
      </c>
      <c r="D62" t="s">
        <v>196</v>
      </c>
      <c r="F62" t="str">
        <f>IF(表1_53[[#This Row],[配件1]]&lt;&gt;"",_xlfn.XLOOKUP(表1_53[[#This Row],[配件1]],显卡利益点对照表[型号],显卡利益点对照表[标题1],"ERROR"),"")</f>
        <v>RTX5060 Ti</v>
      </c>
      <c r="G62" t="str">
        <f>IF(表1_53[[#This Row],[配件1]]&lt;&gt;"",_xlfn.XLOOKUP(表1_53[[#This Row],[配件1]],显卡利益点对照表[型号],显卡利益点对照表[标题2],"ERROR"),"")</f>
        <v>冰猎鹰 16G</v>
      </c>
      <c r="H6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2" t="str">
        <f>IF(表1_53[[#This Row],[配件1]]&lt;&gt;"",_xlfn.XLOOKUP(表1_53[[#This Row],[配件1]],显卡利益点对照表[型号],显卡利益点对照表[利益点1],"ERROR"),"")</f>
        <v>铜板+复合式热管</v>
      </c>
      <c r="J62" t="str">
        <f>IF(表1_53[[#This Row],[配件1]]&lt;&gt;"",_xlfn.XLOOKUP(表1_53[[#This Row],[配件1]],显卡利益点对照表[型号],显卡利益点对照表[利益点2],"ERROR"),"")</f>
        <v>精巧双风扇</v>
      </c>
      <c r="K62" t="str">
        <f>IF(表1_53[[#This Row],[配件1]]&lt;&gt;"",_xlfn.XLOOKUP(表1_53[[#This Row],[配件1]],显卡利益点对照表[型号],显卡利益点对照表[利益点3],"ERROR"),"")</f>
        <v>16G大显存</v>
      </c>
      <c r="L62" t="str">
        <f>IF(表1_53[[#This Row],[配件1]]&lt;&gt;"",_xlfn.XLOOKUP(表1_53[[#This Row],[配件1]],显卡利益点对照表[型号],显卡利益点对照表[算力],"ERROR"),"")</f>
        <v>AI算力759 TOPS</v>
      </c>
      <c r="M62" t="str">
        <f>IF(表1_53[[#This Row],[配件1]]&lt;&gt;"",_xlfn.XLOOKUP(表1_53[[#This Row],[配件1]],显卡利益点对照表[型号],显卡利益点对照表[可显性],"ERROR"),"")</f>
        <v>GV-N506TEAGLE OC ICE-16GD</v>
      </c>
      <c r="N6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2" t="str" cm="1">
        <f t="array" ref="Q62">_xlfn.IFS(表1_53[[#This Row],[配件1]]="","",表1_53[[#This Row],[文本丨算力丨算力值]]=0,"",表1_53[[#This Row],[文本丨算力丨算力值]]&lt;&gt;"","算力")</f>
        <v>算力</v>
      </c>
    </row>
    <row r="63" spans="2:17" x14ac:dyDescent="0.2">
      <c r="B63" s="22">
        <v>10080978603165</v>
      </c>
      <c r="C63" t="s">
        <v>256</v>
      </c>
      <c r="D63" t="s">
        <v>468</v>
      </c>
      <c r="F63" t="str">
        <f>IF(表1_53[[#This Row],[配件1]]&lt;&gt;"",_xlfn.XLOOKUP(表1_53[[#This Row],[配件1]],显卡利益点对照表[型号],显卡利益点对照表[标题1],"ERROR"),"")</f>
        <v>RTX5060 Ti</v>
      </c>
      <c r="G63" t="str">
        <f>IF(表1_53[[#This Row],[配件1]]&lt;&gt;"",_xlfn.XLOOKUP(表1_53[[#This Row],[配件1]],显卡利益点对照表[型号],显卡利益点对照表[标题2],"ERROR"),"")</f>
        <v>魔鹰 16G</v>
      </c>
      <c r="H6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63" t="str">
        <f>IF(表1_53[[#This Row],[配件1]]&lt;&gt;"",_xlfn.XLOOKUP(表1_53[[#This Row],[配件1]],显卡利益点对照表[型号],显卡利益点对照表[利益点1],"ERROR"),"")</f>
        <v>铜板+复合式热管</v>
      </c>
      <c r="J63" t="str">
        <f>IF(表1_53[[#This Row],[配件1]]&lt;&gt;"",_xlfn.XLOOKUP(表1_53[[#This Row],[配件1]],显卡利益点对照表[型号],显卡利益点对照表[利益点2],"ERROR"),"")</f>
        <v>RGB滑动侧板</v>
      </c>
      <c r="K63" t="str">
        <f>IF(表1_53[[#This Row],[配件1]]&lt;&gt;"",_xlfn.XLOOKUP(表1_53[[#This Row],[配件1]],显卡利益点对照表[型号],显卡利益点对照表[利益点3],"ERROR"),"")</f>
        <v>正逆转三风扇</v>
      </c>
      <c r="L63" t="str">
        <f>IF(表1_53[[#This Row],[配件1]]&lt;&gt;"",_xlfn.XLOOKUP(表1_53[[#This Row],[配件1]],显卡利益点对照表[型号],显卡利益点对照表[算力],"ERROR"),"")</f>
        <v>AI算力759 TOPS</v>
      </c>
      <c r="M63" t="str">
        <f>IF(表1_53[[#This Row],[配件1]]&lt;&gt;"",_xlfn.XLOOKUP(表1_53[[#This Row],[配件1]],显卡利益点对照表[型号],显卡利益点对照表[可显性],"ERROR"),"")</f>
        <v>GV-N506TGAMING OC-16GD</v>
      </c>
      <c r="N6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3" t="str" cm="1">
        <f t="array" ref="Q63">_xlfn.IFS(表1_53[[#This Row],[配件1]]="","",表1_53[[#This Row],[文本丨算力丨算力值]]=0,"",表1_53[[#This Row],[文本丨算力丨算力值]]&lt;&gt;"","算力")</f>
        <v>算力</v>
      </c>
    </row>
    <row r="64" spans="2:17" x14ac:dyDescent="0.2">
      <c r="B64" s="22">
        <v>10098325451771</v>
      </c>
      <c r="C64" t="s">
        <v>256</v>
      </c>
      <c r="D64" t="s">
        <v>262</v>
      </c>
      <c r="F64" t="str">
        <f>IF(表1_53[[#This Row],[配件1]]&lt;&gt;"",_xlfn.XLOOKUP(表1_53[[#This Row],[配件1]],显卡利益点对照表[型号],显卡利益点对照表[标题1],"ERROR"),"")</f>
        <v>RTX5060 Ti</v>
      </c>
      <c r="G64" t="str">
        <f>IF(表1_53[[#This Row],[配件1]]&lt;&gt;"",_xlfn.XLOOKUP(表1_53[[#This Row],[配件1]],显卡利益点对照表[型号],显卡利益点对照表[标题2],"ERROR"),"")</f>
        <v>魔鹰 16G</v>
      </c>
      <c r="H6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4" t="str">
        <f>IF(表1_53[[#This Row],[配件1]]&lt;&gt;"",_xlfn.XLOOKUP(表1_53[[#This Row],[配件1]],显卡利益点对照表[型号],显卡利益点对照表[利益点1],"ERROR"),"")</f>
        <v>铜板+复合式热管</v>
      </c>
      <c r="J64" t="str">
        <f>IF(表1_53[[#This Row],[配件1]]&lt;&gt;"",_xlfn.XLOOKUP(表1_53[[#This Row],[配件1]],显卡利益点对照表[型号],显卡利益点对照表[利益点2],"ERROR"),"")</f>
        <v>RGB滑动侧板</v>
      </c>
      <c r="K64" t="str">
        <f>IF(表1_53[[#This Row],[配件1]]&lt;&gt;"",_xlfn.XLOOKUP(表1_53[[#This Row],[配件1]],显卡利益点对照表[型号],显卡利益点对照表[利益点3],"ERROR"),"")</f>
        <v>正逆转三风扇</v>
      </c>
      <c r="L64" t="str">
        <f>IF(表1_53[[#This Row],[配件1]]&lt;&gt;"",_xlfn.XLOOKUP(表1_53[[#This Row],[配件1]],显卡利益点对照表[型号],显卡利益点对照表[算力],"ERROR"),"")</f>
        <v>AI算力759 TOPS</v>
      </c>
      <c r="M64" t="str">
        <f>IF(表1_53[[#This Row],[配件1]]&lt;&gt;"",_xlfn.XLOOKUP(表1_53[[#This Row],[配件1]],显卡利益点对照表[型号],显卡利益点对照表[可显性],"ERROR"),"")</f>
        <v>GV-N506TGAMING OC-16GD</v>
      </c>
      <c r="N6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4" t="str" cm="1">
        <f t="array" ref="Q64">_xlfn.IFS(表1_53[[#This Row],[配件1]]="","",表1_53[[#This Row],[文本丨算力丨算力值]]=0,"",表1_53[[#This Row],[文本丨算力丨算力值]]&lt;&gt;"","算力")</f>
        <v>算力</v>
      </c>
    </row>
    <row r="65" spans="2:17" ht="15" customHeight="1" x14ac:dyDescent="0.2">
      <c r="B65" s="22">
        <v>10080978603167</v>
      </c>
      <c r="C65" t="s">
        <v>252</v>
      </c>
      <c r="D65" t="s">
        <v>468</v>
      </c>
      <c r="F65" t="str">
        <f>IF(表1_53[[#This Row],[配件1]]&lt;&gt;"",_xlfn.XLOOKUP(表1_53[[#This Row],[配件1]],显卡利益点对照表[型号],显卡利益点对照表[标题1],"ERROR"),"")</f>
        <v>RTX5060 Ti</v>
      </c>
      <c r="G65" t="str">
        <f>IF(表1_53[[#This Row],[配件1]]&lt;&gt;"",_xlfn.XLOOKUP(表1_53[[#This Row],[配件1]],显卡利益点对照表[型号],显卡利益点对照表[标题2],"ERROR"),"")</f>
        <v>雪鹰 16G</v>
      </c>
      <c r="H6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65" t="str">
        <f>IF(表1_53[[#This Row],[配件1]]&lt;&gt;"",_xlfn.XLOOKUP(表1_53[[#This Row],[配件1]],显卡利益点对照表[型号],显卡利益点对照表[利益点1],"ERROR"),"")</f>
        <v>铜板+复合式热管</v>
      </c>
      <c r="J65" t="str">
        <f>IF(表1_53[[#This Row],[配件1]]&lt;&gt;"",_xlfn.XLOOKUP(表1_53[[#This Row],[配件1]],显卡利益点对照表[型号],显卡利益点对照表[利益点2],"ERROR"),"")</f>
        <v>银白雪装外观</v>
      </c>
      <c r="K65" t="str">
        <f>IF(表1_53[[#This Row],[配件1]]&lt;&gt;"",_xlfn.XLOOKUP(表1_53[[#This Row],[配件1]],显卡利益点对照表[型号],显卡利益点对照表[利益点3],"ERROR"),"")</f>
        <v>正逆转三风扇</v>
      </c>
      <c r="L65" t="str">
        <f>IF(表1_53[[#This Row],[配件1]]&lt;&gt;"",_xlfn.XLOOKUP(表1_53[[#This Row],[配件1]],显卡利益点对照表[型号],显卡利益点对照表[算力],"ERROR"),"")</f>
        <v>AI算力759 TOPS</v>
      </c>
      <c r="M65" t="str">
        <f>IF(表1_53[[#This Row],[配件1]]&lt;&gt;"",_xlfn.XLOOKUP(表1_53[[#This Row],[配件1]],显卡利益点对照表[型号],显卡利益点对照表[可显性],"ERROR"),"")</f>
        <v>GV-N506TAERO OC-16GD</v>
      </c>
      <c r="N6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5" t="str" cm="1">
        <f t="array" ref="Q65">_xlfn.IFS(表1_53[[#This Row],[配件1]]="","",表1_53[[#This Row],[文本丨算力丨算力值]]=0,"",表1_53[[#This Row],[文本丨算力丨算力值]]&lt;&gt;"","算力")</f>
        <v>算力</v>
      </c>
    </row>
    <row r="66" spans="2:17" ht="15" customHeight="1" x14ac:dyDescent="0.2">
      <c r="B66" s="22">
        <v>10148973357244</v>
      </c>
      <c r="C66" t="s">
        <v>252</v>
      </c>
      <c r="D66" t="s">
        <v>196</v>
      </c>
      <c r="F66" t="str">
        <f>IF(表1_53[[#This Row],[配件1]]&lt;&gt;"",_xlfn.XLOOKUP(表1_53[[#This Row],[配件1]],显卡利益点对照表[型号],显卡利益点对照表[标题1],"ERROR"),"")</f>
        <v>RTX5060 Ti</v>
      </c>
      <c r="G66" t="str">
        <f>IF(表1_53[[#This Row],[配件1]]&lt;&gt;"",_xlfn.XLOOKUP(表1_53[[#This Row],[配件1]],显卡利益点对照表[型号],显卡利益点对照表[标题2],"ERROR"),"")</f>
        <v>雪鹰 16G</v>
      </c>
      <c r="H6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6" t="str">
        <f>IF(表1_53[[#This Row],[配件1]]&lt;&gt;"",_xlfn.XLOOKUP(表1_53[[#This Row],[配件1]],显卡利益点对照表[型号],显卡利益点对照表[利益点1],"ERROR"),"")</f>
        <v>铜板+复合式热管</v>
      </c>
      <c r="J66" t="str">
        <f>IF(表1_53[[#This Row],[配件1]]&lt;&gt;"",_xlfn.XLOOKUP(表1_53[[#This Row],[配件1]],显卡利益点对照表[型号],显卡利益点对照表[利益点2],"ERROR"),"")</f>
        <v>银白雪装外观</v>
      </c>
      <c r="K66" t="str">
        <f>IF(表1_53[[#This Row],[配件1]]&lt;&gt;"",_xlfn.XLOOKUP(表1_53[[#This Row],[配件1]],显卡利益点对照表[型号],显卡利益点对照表[利益点3],"ERROR"),"")</f>
        <v>正逆转三风扇</v>
      </c>
      <c r="L66" t="str">
        <f>IF(表1_53[[#This Row],[配件1]]&lt;&gt;"",_xlfn.XLOOKUP(表1_53[[#This Row],[配件1]],显卡利益点对照表[型号],显卡利益点对照表[算力],"ERROR"),"")</f>
        <v>AI算力759 TOPS</v>
      </c>
      <c r="M66" t="str">
        <f>IF(表1_53[[#This Row],[配件1]]&lt;&gt;"",_xlfn.XLOOKUP(表1_53[[#This Row],[配件1]],显卡利益点对照表[型号],显卡利益点对照表[可显性],"ERROR"),"")</f>
        <v>GV-N506TAERO OC-16GD</v>
      </c>
      <c r="N6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6" t="str" cm="1">
        <f t="array" ref="Q66">_xlfn.IFS(表1_53[[#This Row],[配件1]]="","",表1_53[[#This Row],[文本丨算力丨算力值]]=0,"",表1_53[[#This Row],[文本丨算力丨算力值]]&lt;&gt;"","算力")</f>
        <v>算力</v>
      </c>
    </row>
    <row r="67" spans="2:17" ht="15" customHeight="1" x14ac:dyDescent="0.2">
      <c r="B67" s="22">
        <v>10076155580256</v>
      </c>
      <c r="C67" t="s">
        <v>251</v>
      </c>
      <c r="D67" t="s">
        <v>468</v>
      </c>
      <c r="F67" t="str">
        <f>IF(表1_53[[#This Row],[配件1]]&lt;&gt;"",_xlfn.XLOOKUP(表1_53[[#This Row],[配件1]],显卡利益点对照表[型号],显卡利益点对照表[标题1],"ERROR"),"")</f>
        <v>RTX5060 Ti</v>
      </c>
      <c r="G67" t="str">
        <f>IF(表1_53[[#This Row],[配件1]]&lt;&gt;"",_xlfn.XLOOKUP(表1_53[[#This Row],[配件1]],显卡利益点对照表[型号],显卡利益点对照表[标题2],"ERROR"),"")</f>
        <v>小雕 16G</v>
      </c>
      <c r="H6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67" t="str">
        <f>IF(表1_53[[#This Row],[配件1]]&lt;&gt;"",_xlfn.XLOOKUP(表1_53[[#This Row],[配件1]],显卡利益点对照表[型号],显卡利益点对照表[利益点1],"ERROR"),"")</f>
        <v>注册4年保/个人送保</v>
      </c>
      <c r="J67" t="str">
        <f>IF(表1_53[[#This Row],[配件1]]&lt;&gt;"",_xlfn.XLOOKUP(表1_53[[#This Row],[配件1]],显卡利益点对照表[型号],显卡利益点对照表[利益点2],"ERROR"),"")</f>
        <v>RGB幻彩光轮</v>
      </c>
      <c r="K67" t="str">
        <f>IF(表1_53[[#This Row],[配件1]]&lt;&gt;"",_xlfn.XLOOKUP(表1_53[[#This Row],[配件1]],显卡利益点对照表[型号],显卡利益点对照表[利益点3],"ERROR"),"")</f>
        <v>五重高效散热</v>
      </c>
      <c r="L67" t="str">
        <f>IF(表1_53[[#This Row],[配件1]]&lt;&gt;"",_xlfn.XLOOKUP(表1_53[[#This Row],[配件1]],显卡利益点对照表[型号],显卡利益点对照表[算力],"ERROR"),"")</f>
        <v>AI算力759 TOPS</v>
      </c>
      <c r="M67" t="str">
        <f>IF(表1_53[[#This Row],[配件1]]&lt;&gt;"",_xlfn.XLOOKUP(表1_53[[#This Row],[配件1]],显卡利益点对照表[型号],显卡利益点对照表[可显性],"ERROR"),"")</f>
        <v>GV-N506TAORUS E-16GD</v>
      </c>
      <c r="N6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7" t="str" cm="1">
        <f t="array" ref="Q67">_xlfn.IFS(表1_53[[#This Row],[配件1]]="","",表1_53[[#This Row],[文本丨算力丨算力值]]=0,"",表1_53[[#This Row],[文本丨算力丨算力值]]&lt;&gt;"","算力")</f>
        <v>算力</v>
      </c>
    </row>
    <row r="68" spans="2:17" ht="15" customHeight="1" x14ac:dyDescent="0.2">
      <c r="B68" s="22">
        <v>10148973357245</v>
      </c>
      <c r="C68" t="s">
        <v>251</v>
      </c>
      <c r="D68" t="s">
        <v>262</v>
      </c>
      <c r="F68" t="str">
        <f>IF(表1_53[[#This Row],[配件1]]&lt;&gt;"",_xlfn.XLOOKUP(表1_53[[#This Row],[配件1]],显卡利益点对照表[型号],显卡利益点对照表[标题1],"ERROR"),"")</f>
        <v>RTX5060 Ti</v>
      </c>
      <c r="G68" t="str">
        <f>IF(表1_53[[#This Row],[配件1]]&lt;&gt;"",_xlfn.XLOOKUP(表1_53[[#This Row],[配件1]],显卡利益点对照表[型号],显卡利益点对照表[标题2],"ERROR"),"")</f>
        <v>小雕 16G</v>
      </c>
      <c r="H6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8" t="str">
        <f>IF(表1_53[[#This Row],[配件1]]&lt;&gt;"",_xlfn.XLOOKUP(表1_53[[#This Row],[配件1]],显卡利益点对照表[型号],显卡利益点对照表[利益点1],"ERROR"),"")</f>
        <v>注册4年保/个人送保</v>
      </c>
      <c r="J68" t="str">
        <f>IF(表1_53[[#This Row],[配件1]]&lt;&gt;"",_xlfn.XLOOKUP(表1_53[[#This Row],[配件1]],显卡利益点对照表[型号],显卡利益点对照表[利益点2],"ERROR"),"")</f>
        <v>RGB幻彩光轮</v>
      </c>
      <c r="K68" t="str">
        <f>IF(表1_53[[#This Row],[配件1]]&lt;&gt;"",_xlfn.XLOOKUP(表1_53[[#This Row],[配件1]],显卡利益点对照表[型号],显卡利益点对照表[利益点3],"ERROR"),"")</f>
        <v>五重高效散热</v>
      </c>
      <c r="L68" t="str">
        <f>IF(表1_53[[#This Row],[配件1]]&lt;&gt;"",_xlfn.XLOOKUP(表1_53[[#This Row],[配件1]],显卡利益点对照表[型号],显卡利益点对照表[算力],"ERROR"),"")</f>
        <v>AI算力759 TOPS</v>
      </c>
      <c r="M68" t="str">
        <f>IF(表1_53[[#This Row],[配件1]]&lt;&gt;"",_xlfn.XLOOKUP(表1_53[[#This Row],[配件1]],显卡利益点对照表[型号],显卡利益点对照表[可显性],"ERROR"),"")</f>
        <v>GV-N506TAORUS E-16GD</v>
      </c>
      <c r="N6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8" t="str" cm="1">
        <f t="array" ref="Q68">_xlfn.IFS(表1_53[[#This Row],[配件1]]="","",表1_53[[#This Row],[文本丨算力丨算力值]]=0,"",表1_53[[#This Row],[文本丨算力丨算力值]]&lt;&gt;"","算力")</f>
        <v>算力</v>
      </c>
    </row>
    <row r="69" spans="2:17" ht="15" customHeight="1" x14ac:dyDescent="0.2">
      <c r="F69" t="str">
        <f>IF(表1_53[[#This Row],[配件1]]&lt;&gt;"",_xlfn.XLOOKUP(表1_53[[#This Row],[配件1]],显卡利益点对照表[型号],显卡利益点对照表[标题1],"ERROR"),"")</f>
        <v/>
      </c>
      <c r="G69" t="str">
        <f>IF(表1_53[[#This Row],[配件1]]&lt;&gt;"",_xlfn.XLOOKUP(表1_53[[#This Row],[配件1]],显卡利益点对照表[型号],显卡利益点对照表[标题2],"ERROR"),"")</f>
        <v/>
      </c>
      <c r="H6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9" t="str">
        <f>IF(表1_53[[#This Row],[配件1]]&lt;&gt;"",_xlfn.XLOOKUP(表1_53[[#This Row],[配件1]],显卡利益点对照表[型号],显卡利益点对照表[利益点1],"ERROR"),"")</f>
        <v/>
      </c>
      <c r="J69" t="str">
        <f>IF(表1_53[[#This Row],[配件1]]&lt;&gt;"",_xlfn.XLOOKUP(表1_53[[#This Row],[配件1]],显卡利益点对照表[型号],显卡利益点对照表[利益点2],"ERROR"),"")</f>
        <v/>
      </c>
      <c r="K69" t="str">
        <f>IF(表1_53[[#This Row],[配件1]]&lt;&gt;"",_xlfn.XLOOKUP(表1_53[[#This Row],[配件1]],显卡利益点对照表[型号],显卡利益点对照表[利益点3],"ERROR"),"")</f>
        <v/>
      </c>
      <c r="L69" t="str">
        <f>IF(表1_53[[#This Row],[配件1]]&lt;&gt;"",_xlfn.XLOOKUP(表1_53[[#This Row],[配件1]],显卡利益点对照表[型号],显卡利益点对照表[算力],"ERROR"),"")</f>
        <v/>
      </c>
      <c r="M69" t="str">
        <f>IF(表1_53[[#This Row],[配件1]]&lt;&gt;"",_xlfn.XLOOKUP(表1_53[[#This Row],[配件1]],显卡利益点对照表[型号],显卡利益点对照表[可显性],"ERROR"),"")</f>
        <v/>
      </c>
      <c r="N6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9" t="str" cm="1">
        <f t="array" ref="Q69">_xlfn.IFS(表1_53[[#This Row],[配件1]]="","",表1_53[[#This Row],[文本丨算力丨算力值]]=0,"",表1_53[[#This Row],[文本丨算力丨算力值]]&lt;&gt;"","算力")</f>
        <v/>
      </c>
    </row>
    <row r="70" spans="2:17" ht="15" customHeight="1" x14ac:dyDescent="0.2">
      <c r="B70" s="22">
        <v>10172207920814</v>
      </c>
      <c r="C70" t="s">
        <v>815</v>
      </c>
      <c r="D70" t="s">
        <v>468</v>
      </c>
      <c r="F70" t="str">
        <f>IF(表1_53[[#This Row],[配件1]]&lt;&gt;"",_xlfn.XLOOKUP(表1_53[[#This Row],[配件1]],显卡利益点对照表[型号],显卡利益点对照表[标题1],"ERROR"),"")</f>
        <v>RTX5090D V2</v>
      </c>
      <c r="G70" t="str">
        <f>IF(表1_53[[#This Row],[配件1]]&lt;&gt;"",_xlfn.XLOOKUP(表1_53[[#This Row],[配件1]],显卡利益点对照表[型号],显卡利益点对照表[标题2],"ERROR"),"")</f>
        <v>24G 魔鹰</v>
      </c>
      <c r="H7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</v>
      </c>
      <c r="I70" t="str">
        <f>IF(表1_53[[#This Row],[配件1]]&lt;&gt;"",_xlfn.XLOOKUP(表1_53[[#This Row],[配件1]],显卡利益点对照表[型号],显卡利益点对照表[利益点1],"ERROR"),"")</f>
        <v>注册4年保/个人送保丨25</v>
      </c>
      <c r="J70" t="str">
        <f>IF(表1_53[[#This Row],[配件1]]&lt;&gt;"",_xlfn.XLOOKUP(表1_53[[#This Row],[配件1]],显卡利益点对照表[型号],显卡利益点对照表[利益点2],"ERROR"),"")</f>
        <v>RGB幻彩光轮</v>
      </c>
      <c r="K70" t="str">
        <f>IF(表1_53[[#This Row],[配件1]]&lt;&gt;"",_xlfn.XLOOKUP(表1_53[[#This Row],[配件1]],显卡利益点对照表[型号],显卡利益点对照表[利益点3],"ERROR"),"")</f>
        <v>四重高效散热</v>
      </c>
      <c r="L70" t="str">
        <f>IF(表1_53[[#This Row],[配件1]]&lt;&gt;"",_xlfn.XLOOKUP(表1_53[[#This Row],[配件1]],显卡利益点对照表[型号],显卡利益点对照表[算力],"ERROR"),"")</f>
        <v>AI算力2375 TOPS</v>
      </c>
      <c r="M70" t="str">
        <f>IF(表1_53[[#This Row],[配件1]]&lt;&gt;"",_xlfn.XLOOKUP(表1_53[[#This Row],[配件1]],显卡利益点对照表[型号],显卡利益点对照表[可显性],"ERROR"),"")</f>
        <v>GV-N509DGAMING-24GD</v>
      </c>
      <c r="N7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0" t="s">
        <v>835</v>
      </c>
      <c r="Q70" t="str" cm="1">
        <f t="array" ref="Q70">_xlfn.IFS(表1_53[[#This Row],[配件1]]="","",表1_53[[#This Row],[文本丨算力丨算力值]]=0,"",表1_53[[#This Row],[文本丨算力丨算力值]]&lt;&gt;"","算力")</f>
        <v>算力</v>
      </c>
    </row>
    <row r="71" spans="2:17" ht="15" customHeight="1" x14ac:dyDescent="0.2">
      <c r="B71" s="22">
        <v>10172207920815</v>
      </c>
      <c r="C71" t="s">
        <v>815</v>
      </c>
      <c r="D71" t="s">
        <v>832</v>
      </c>
      <c r="F71" t="str">
        <f>IF(表1_53[[#This Row],[配件1]]&lt;&gt;"",_xlfn.XLOOKUP(表1_53[[#This Row],[配件1]],显卡利益点对照表[型号],显卡利益点对照表[标题1],"ERROR"),"")</f>
        <v>RTX5090D V2</v>
      </c>
      <c r="G71" t="str">
        <f>IF(表1_53[[#This Row],[配件1]]&lt;&gt;"",_xlfn.XLOOKUP(表1_53[[#This Row],[配件1]],显卡利益点对照表[型号],显卡利益点对照表[标题2],"ERROR"),"")</f>
        <v>24G 魔鹰</v>
      </c>
      <c r="H7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+1000W全模电源</v>
      </c>
      <c r="I71" t="str">
        <f>IF(表1_53[[#This Row],[配件1]]&lt;&gt;"",_xlfn.XLOOKUP(表1_53[[#This Row],[配件1]],显卡利益点对照表[型号],显卡利益点对照表[利益点1],"ERROR"),"")</f>
        <v>注册4年保/个人送保丨25</v>
      </c>
      <c r="J71" t="str">
        <f>IF(表1_53[[#This Row],[配件1]]&lt;&gt;"",_xlfn.XLOOKUP(表1_53[[#This Row],[配件1]],显卡利益点对照表[型号],显卡利益点对照表[利益点2],"ERROR"),"")</f>
        <v>RGB幻彩光轮</v>
      </c>
      <c r="K71" t="str">
        <f>IF(表1_53[[#This Row],[配件1]]&lt;&gt;"",_xlfn.XLOOKUP(表1_53[[#This Row],[配件1]],显卡利益点对照表[型号],显卡利益点对照表[利益点3],"ERROR"),"")</f>
        <v>四重高效散热</v>
      </c>
      <c r="L71" t="str">
        <f>IF(表1_53[[#This Row],[配件1]]&lt;&gt;"",_xlfn.XLOOKUP(表1_53[[#This Row],[配件1]],显卡利益点对照表[型号],显卡利益点对照表[算力],"ERROR"),"")</f>
        <v>AI算力2375 TOPS</v>
      </c>
      <c r="M71" t="str">
        <f>IF(表1_53[[#This Row],[配件1]]&lt;&gt;"",_xlfn.XLOOKUP(表1_53[[#This Row],[配件1]],显卡利益点对照表[型号],显卡利益点对照表[可显性],"ERROR"),"")</f>
        <v>GV-N509DGAMING-24GD</v>
      </c>
      <c r="N7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UD1000GM PG5</v>
      </c>
      <c r="O7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1" t="s">
        <v>835</v>
      </c>
      <c r="Q71" t="str" cm="1">
        <f t="array" ref="Q71">_xlfn.IFS(表1_53[[#This Row],[配件1]]="","",表1_53[[#This Row],[文本丨算力丨算力值]]=0,"",表1_53[[#This Row],[文本丨算力丨算力值]]&lt;&gt;"","算力")</f>
        <v>算力</v>
      </c>
    </row>
    <row r="72" spans="2:17" ht="15" customHeight="1" x14ac:dyDescent="0.2">
      <c r="B72" s="22">
        <v>10172207920816</v>
      </c>
      <c r="C72" t="s">
        <v>816</v>
      </c>
      <c r="D72" t="s">
        <v>468</v>
      </c>
      <c r="F72" t="str">
        <f>IF(表1_53[[#This Row],[配件1]]&lt;&gt;"",_xlfn.XLOOKUP(表1_53[[#This Row],[配件1]],显卡利益点对照表[型号],显卡利益点对照表[标题1],"ERROR"),"")</f>
        <v>RTX5090D V2</v>
      </c>
      <c r="G72" t="str">
        <f>IF(表1_53[[#This Row],[配件1]]&lt;&gt;"",_xlfn.XLOOKUP(表1_53[[#This Row],[配件1]],显卡利益点对照表[型号],显卡利益点对照表[标题2],"ERROR"),"")</f>
        <v>24G 魔鹰OC</v>
      </c>
      <c r="H7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72" t="str">
        <f>IF(表1_53[[#This Row],[配件1]]&lt;&gt;"",_xlfn.XLOOKUP(表1_53[[#This Row],[配件1]],显卡利益点对照表[型号],显卡利益点对照表[利益点1],"ERROR"),"")</f>
        <v>注册4年保/个人送保丨25</v>
      </c>
      <c r="J72" t="str">
        <f>IF(表1_53[[#This Row],[配件1]]&lt;&gt;"",_xlfn.XLOOKUP(表1_53[[#This Row],[配件1]],显卡利益点对照表[型号],显卡利益点对照表[利益点2],"ERROR"),"")</f>
        <v>RGB幻彩光轮</v>
      </c>
      <c r="K72" t="str">
        <f>IF(表1_53[[#This Row],[配件1]]&lt;&gt;"",_xlfn.XLOOKUP(表1_53[[#This Row],[配件1]],显卡利益点对照表[型号],显卡利益点对照表[利益点3],"ERROR"),"")</f>
        <v>四重高效散热</v>
      </c>
      <c r="L72" t="str">
        <f>IF(表1_53[[#This Row],[配件1]]&lt;&gt;"",_xlfn.XLOOKUP(表1_53[[#This Row],[配件1]],显卡利益点对照表[型号],显卡利益点对照表[算力],"ERROR"),"")</f>
        <v>AI算力2375 TOPS</v>
      </c>
      <c r="M72" t="str">
        <f>IF(表1_53[[#This Row],[配件1]]&lt;&gt;"",_xlfn.XLOOKUP(表1_53[[#This Row],[配件1]],显卡利益点对照表[型号],显卡利益点对照表[可显性],"ERROR"),"")</f>
        <v>GV-N509DGAMING OC-24GD</v>
      </c>
      <c r="N7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2" t="s">
        <v>835</v>
      </c>
      <c r="Q72" t="str" cm="1">
        <f t="array" ref="Q72">_xlfn.IFS(表1_53[[#This Row],[配件1]]="","",表1_53[[#This Row],[文本丨算力丨算力值]]=0,"",表1_53[[#This Row],[文本丨算力丨算力值]]&lt;&gt;"","算力")</f>
        <v>算力</v>
      </c>
    </row>
    <row r="73" spans="2:17" ht="15" customHeight="1" x14ac:dyDescent="0.2">
      <c r="B73" s="22">
        <v>10172207920817</v>
      </c>
      <c r="C73" t="s">
        <v>816</v>
      </c>
      <c r="D73" t="s">
        <v>832</v>
      </c>
      <c r="F73" t="str">
        <f>IF(表1_53[[#This Row],[配件1]]&lt;&gt;"",_xlfn.XLOOKUP(表1_53[[#This Row],[配件1]],显卡利益点对照表[型号],显卡利益点对照表[标题1],"ERROR"),"")</f>
        <v>RTX5090D V2</v>
      </c>
      <c r="G73" t="str">
        <f>IF(表1_53[[#This Row],[配件1]]&lt;&gt;"",_xlfn.XLOOKUP(表1_53[[#This Row],[配件1]],显卡利益点对照表[型号],显卡利益点对照表[标题2],"ERROR"),"")</f>
        <v>24G 魔鹰OC</v>
      </c>
      <c r="H7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+1000W全模电源</v>
      </c>
      <c r="I73" t="str">
        <f>IF(表1_53[[#This Row],[配件1]]&lt;&gt;"",_xlfn.XLOOKUP(表1_53[[#This Row],[配件1]],显卡利益点对照表[型号],显卡利益点对照表[利益点1],"ERROR"),"")</f>
        <v>注册4年保/个人送保丨25</v>
      </c>
      <c r="J73" t="str">
        <f>IF(表1_53[[#This Row],[配件1]]&lt;&gt;"",_xlfn.XLOOKUP(表1_53[[#This Row],[配件1]],显卡利益点对照表[型号],显卡利益点对照表[利益点2],"ERROR"),"")</f>
        <v>RGB幻彩光轮</v>
      </c>
      <c r="K73" t="str">
        <f>IF(表1_53[[#This Row],[配件1]]&lt;&gt;"",_xlfn.XLOOKUP(表1_53[[#This Row],[配件1]],显卡利益点对照表[型号],显卡利益点对照表[利益点3],"ERROR"),"")</f>
        <v>四重高效散热</v>
      </c>
      <c r="L73" t="str">
        <f>IF(表1_53[[#This Row],[配件1]]&lt;&gt;"",_xlfn.XLOOKUP(表1_53[[#This Row],[配件1]],显卡利益点对照表[型号],显卡利益点对照表[算力],"ERROR"),"")</f>
        <v>AI算力2375 TOPS</v>
      </c>
      <c r="M73" t="str">
        <f>IF(表1_53[[#This Row],[配件1]]&lt;&gt;"",_xlfn.XLOOKUP(表1_53[[#This Row],[配件1]],显卡利益点对照表[型号],显卡利益点对照表[可显性],"ERROR"),"")</f>
        <v>GV-N509DGAMING OC-24GD</v>
      </c>
      <c r="N7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UD1000GM PG5</v>
      </c>
      <c r="O7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3" t="s">
        <v>835</v>
      </c>
      <c r="Q73" t="str" cm="1">
        <f t="array" ref="Q73">_xlfn.IFS(表1_53[[#This Row],[配件1]]="","",表1_53[[#This Row],[文本丨算力丨算力值]]=0,"",表1_53[[#This Row],[文本丨算力丨算力值]]&lt;&gt;"","算力")</f>
        <v>算力</v>
      </c>
    </row>
    <row r="74" spans="2:17" ht="15" customHeight="1" x14ac:dyDescent="0.2">
      <c r="B74" s="22">
        <v>10172207920818</v>
      </c>
      <c r="C74" t="s">
        <v>817</v>
      </c>
      <c r="D74" t="s">
        <v>468</v>
      </c>
      <c r="F74" t="str">
        <f>IF(表1_53[[#This Row],[配件1]]&lt;&gt;"",_xlfn.XLOOKUP(表1_53[[#This Row],[配件1]],显卡利益点对照表[型号],显卡利益点对照表[标题1],"ERROR"),"")</f>
        <v>RTX5090D V2</v>
      </c>
      <c r="G74" t="str">
        <f>IF(表1_53[[#This Row],[配件1]]&lt;&gt;"",_xlfn.XLOOKUP(表1_53[[#This Row],[配件1]],显卡利益点对照表[型号],显卡利益点对照表[标题2],"ERROR"),"")</f>
        <v>24G 超级雕</v>
      </c>
      <c r="H7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74" t="str">
        <f>IF(表1_53[[#This Row],[配件1]]&lt;&gt;"",_xlfn.XLOOKUP(表1_53[[#This Row],[配件1]],显卡利益点对照表[型号],显卡利益点对照表[利益点1],"ERROR"),"")</f>
        <v>注册4年保/个人送保丨25</v>
      </c>
      <c r="J74" t="str">
        <f>IF(表1_53[[#This Row],[配件1]]&lt;&gt;"",_xlfn.XLOOKUP(表1_53[[#This Row],[配件1]],显卡利益点对照表[型号],显卡利益点对照表[利益点2],"ERROR"),"")</f>
        <v>LCD自定义屏幕丨30</v>
      </c>
      <c r="K74" t="str">
        <f>IF(表1_53[[#This Row],[配件1]]&lt;&gt;"",_xlfn.XLOOKUP(表1_53[[#This Row],[配件1]],显卡利益点对照表[型号],显卡利益点对照表[利益点3],"ERROR"),"")</f>
        <v>五重高效散热</v>
      </c>
      <c r="L74" t="str">
        <f>IF(表1_53[[#This Row],[配件1]]&lt;&gt;"",_xlfn.XLOOKUP(表1_53[[#This Row],[配件1]],显卡利益点对照表[型号],显卡利益点对照表[算力],"ERROR"),"")</f>
        <v>AI算力2375 TOPS</v>
      </c>
      <c r="M74" t="str">
        <f>IF(表1_53[[#This Row],[配件1]]&lt;&gt;"",_xlfn.XLOOKUP(表1_53[[#This Row],[配件1]],显卡利益点对照表[型号],显卡利益点对照表[可显性],"ERROR"),"")</f>
        <v>GV-N509DAORUS M-24GD</v>
      </c>
      <c r="N7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4" t="s">
        <v>835</v>
      </c>
      <c r="Q74" t="str" cm="1">
        <f t="array" ref="Q74">_xlfn.IFS(表1_53[[#This Row],[配件1]]="","",表1_53[[#This Row],[文本丨算力丨算力值]]=0,"",表1_53[[#This Row],[文本丨算力丨算力值]]&lt;&gt;"","算力")</f>
        <v>算力</v>
      </c>
    </row>
    <row r="75" spans="2:17" ht="15" customHeight="1" x14ac:dyDescent="0.2">
      <c r="B75" s="22">
        <v>10172207920819</v>
      </c>
      <c r="C75" t="s">
        <v>817</v>
      </c>
      <c r="D75" t="s">
        <v>534</v>
      </c>
      <c r="F75" t="str">
        <f>IF(表1_53[[#This Row],[配件1]]&lt;&gt;"",_xlfn.XLOOKUP(表1_53[[#This Row],[配件1]],显卡利益点对照表[型号],显卡利益点对照表[标题1],"ERROR"),"")</f>
        <v>RTX5090D V2</v>
      </c>
      <c r="G75" t="str">
        <f>IF(表1_53[[#This Row],[配件1]]&lt;&gt;"",_xlfn.XLOOKUP(表1_53[[#This Row],[配件1]],显卡利益点对照表[型号],显卡利益点对照表[标题2],"ERROR"),"")</f>
        <v>24G 超级雕</v>
      </c>
      <c r="H7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+1000W铂金雕电源 丨32</v>
      </c>
      <c r="I75" t="str">
        <f>IF(表1_53[[#This Row],[配件1]]&lt;&gt;"",_xlfn.XLOOKUP(表1_53[[#This Row],[配件1]],显卡利益点对照表[型号],显卡利益点对照表[利益点1],"ERROR"),"")</f>
        <v>注册4年保/个人送保丨25</v>
      </c>
      <c r="J75" t="str">
        <f>IF(表1_53[[#This Row],[配件1]]&lt;&gt;"",_xlfn.XLOOKUP(表1_53[[#This Row],[配件1]],显卡利益点对照表[型号],显卡利益点对照表[利益点2],"ERROR"),"")</f>
        <v>LCD自定义屏幕丨30</v>
      </c>
      <c r="K75" t="str">
        <f>IF(表1_53[[#This Row],[配件1]]&lt;&gt;"",_xlfn.XLOOKUP(表1_53[[#This Row],[配件1]],显卡利益点对照表[型号],显卡利益点对照表[利益点3],"ERROR"),"")</f>
        <v>五重高效散热</v>
      </c>
      <c r="L75" t="str">
        <f>IF(表1_53[[#This Row],[配件1]]&lt;&gt;"",_xlfn.XLOOKUP(表1_53[[#This Row],[配件1]],显卡利益点对照表[型号],显卡利益点对照表[算力],"ERROR"),"")</f>
        <v>AI算力2375 TOPS</v>
      </c>
      <c r="M75" t="str">
        <f>IF(表1_53[[#This Row],[配件1]]&lt;&gt;"",_xlfn.XLOOKUP(表1_53[[#This Row],[配件1]],显卡利益点对照表[型号],显卡利益点对照表[可显性],"ERROR"),"")</f>
        <v>GV-N509DAORUS M-24GD</v>
      </c>
      <c r="N7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GP-AE1000PM PG5</v>
      </c>
      <c r="O7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5" t="s">
        <v>835</v>
      </c>
      <c r="Q75" t="str" cm="1">
        <f t="array" ref="Q75">_xlfn.IFS(表1_53[[#This Row],[配件1]]="","",表1_53[[#This Row],[文本丨算力丨算力值]]=0,"",表1_53[[#This Row],[文本丨算力丨算力值]]&lt;&gt;"","算力")</f>
        <v>算力</v>
      </c>
    </row>
    <row r="76" spans="2:17" ht="15" customHeight="1" x14ac:dyDescent="0.2">
      <c r="B76" s="22">
        <v>10172207920820</v>
      </c>
      <c r="C76" t="s">
        <v>818</v>
      </c>
      <c r="D76" t="s">
        <v>468</v>
      </c>
      <c r="F76" t="str">
        <f>IF(表1_53[[#This Row],[配件1]]&lt;&gt;"",_xlfn.XLOOKUP(表1_53[[#This Row],[配件1]],显卡利益点对照表[型号],显卡利益点对照表[标题1],"ERROR"),"")</f>
        <v>RTX5090D V2</v>
      </c>
      <c r="G76" t="str">
        <f>IF(表1_53[[#This Row],[配件1]]&lt;&gt;"",_xlfn.XLOOKUP(表1_53[[#This Row],[配件1]],显卡利益点对照表[型号],显卡利益点对照表[标题2],"ERROR"),"")</f>
        <v>24G 超级雕白</v>
      </c>
      <c r="H7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ICE</v>
      </c>
      <c r="I76" t="str">
        <f>IF(表1_53[[#This Row],[配件1]]&lt;&gt;"",_xlfn.XLOOKUP(表1_53[[#This Row],[配件1]],显卡利益点对照表[型号],显卡利益点对照表[利益点1],"ERROR"),"")</f>
        <v>注册4年保/个人送保丨25</v>
      </c>
      <c r="J76" t="str">
        <f>IF(表1_53[[#This Row],[配件1]]&lt;&gt;"",_xlfn.XLOOKUP(表1_53[[#This Row],[配件1]],显卡利益点对照表[型号],显卡利益点对照表[利益点2],"ERROR"),"")</f>
        <v>LCD自定义屏幕丨30</v>
      </c>
      <c r="K76" t="str">
        <f>IF(表1_53[[#This Row],[配件1]]&lt;&gt;"",_xlfn.XLOOKUP(表1_53[[#This Row],[配件1]],显卡利益点对照表[型号],显卡利益点对照表[利益点3],"ERROR"),"")</f>
        <v>五重高效散热</v>
      </c>
      <c r="L76" t="str">
        <f>IF(表1_53[[#This Row],[配件1]]&lt;&gt;"",_xlfn.XLOOKUP(表1_53[[#This Row],[配件1]],显卡利益点对照表[型号],显卡利益点对照表[算力],"ERROR"),"")</f>
        <v>AI算力2375 TOPS</v>
      </c>
      <c r="M76" t="str">
        <f>IF(表1_53[[#This Row],[配件1]]&lt;&gt;"",_xlfn.XLOOKUP(表1_53[[#This Row],[配件1]],显卡利益点对照表[型号],显卡利益点对照表[可显性],"ERROR"),"")</f>
        <v>GV-N509DAORUSM ICE-24GD</v>
      </c>
      <c r="N7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6" t="s">
        <v>835</v>
      </c>
      <c r="Q76" t="str" cm="1">
        <f t="array" ref="Q76">_xlfn.IFS(表1_53[[#This Row],[配件1]]="","",表1_53[[#This Row],[文本丨算力丨算力值]]=0,"",表1_53[[#This Row],[文本丨算力丨算力值]]&lt;&gt;"","算力")</f>
        <v>算力</v>
      </c>
    </row>
    <row r="77" spans="2:17" ht="15" customHeight="1" x14ac:dyDescent="0.2">
      <c r="B77" s="22">
        <v>10172207920821</v>
      </c>
      <c r="C77" t="s">
        <v>818</v>
      </c>
      <c r="D77" t="s">
        <v>833</v>
      </c>
      <c r="F77" t="str">
        <f>IF(表1_53[[#This Row],[配件1]]&lt;&gt;"",_xlfn.XLOOKUP(表1_53[[#This Row],[配件1]],显卡利益点对照表[型号],显卡利益点对照表[标题1],"ERROR"),"")</f>
        <v>RTX5090D V2</v>
      </c>
      <c r="G77" t="str">
        <f>IF(表1_53[[#This Row],[配件1]]&lt;&gt;"",_xlfn.XLOOKUP(表1_53[[#This Row],[配件1]],显卡利益点对照表[型号],显卡利益点对照表[标题2],"ERROR"),"")</f>
        <v>24G 超级雕白</v>
      </c>
      <c r="H7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+1000W铂金雕电源 丨32</v>
      </c>
      <c r="I77" t="str">
        <f>IF(表1_53[[#This Row],[配件1]]&lt;&gt;"",_xlfn.XLOOKUP(表1_53[[#This Row],[配件1]],显卡利益点对照表[型号],显卡利益点对照表[利益点1],"ERROR"),"")</f>
        <v>注册4年保/个人送保丨25</v>
      </c>
      <c r="J77" t="str">
        <f>IF(表1_53[[#This Row],[配件1]]&lt;&gt;"",_xlfn.XLOOKUP(表1_53[[#This Row],[配件1]],显卡利益点对照表[型号],显卡利益点对照表[利益点2],"ERROR"),"")</f>
        <v>LCD自定义屏幕丨30</v>
      </c>
      <c r="K77" t="str">
        <f>IF(表1_53[[#This Row],[配件1]]&lt;&gt;"",_xlfn.XLOOKUP(表1_53[[#This Row],[配件1]],显卡利益点对照表[型号],显卡利益点对照表[利益点3],"ERROR"),"")</f>
        <v>五重高效散热</v>
      </c>
      <c r="L77" t="str">
        <f>IF(表1_53[[#This Row],[配件1]]&lt;&gt;"",_xlfn.XLOOKUP(表1_53[[#This Row],[配件1]],显卡利益点对照表[型号],显卡利益点对照表[算力],"ERROR"),"")</f>
        <v>AI算力2375 TOPS</v>
      </c>
      <c r="M77" t="str">
        <f>IF(表1_53[[#This Row],[配件1]]&lt;&gt;"",_xlfn.XLOOKUP(表1_53[[#This Row],[配件1]],显卡利益点对照表[型号],显卡利益点对照表[可显性],"ERROR"),"")</f>
        <v>GV-N509DAORUSM ICE-24GD</v>
      </c>
      <c r="N7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GP-AE1000PM PG5 ICE</v>
      </c>
      <c r="O7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7" t="s">
        <v>835</v>
      </c>
      <c r="Q77" t="str" cm="1">
        <f t="array" ref="Q77">_xlfn.IFS(表1_53[[#This Row],[配件1]]="","",表1_53[[#This Row],[文本丨算力丨算力值]]=0,"",表1_53[[#This Row],[文本丨算力丨算力值]]&lt;&gt;"","算力")</f>
        <v>算力</v>
      </c>
    </row>
    <row r="78" spans="2:17" ht="15" customHeight="1" x14ac:dyDescent="0.2">
      <c r="F78" t="str">
        <f>IF(表1_53[[#This Row],[配件1]]&lt;&gt;"",_xlfn.XLOOKUP(表1_53[[#This Row],[配件1]],显卡利益点对照表[型号],显卡利益点对照表[标题1],"ERROR"),"")</f>
        <v/>
      </c>
      <c r="G78" t="str">
        <f>IF(表1_53[[#This Row],[配件1]]&lt;&gt;"",_xlfn.XLOOKUP(表1_53[[#This Row],[配件1]],显卡利益点对照表[型号],显卡利益点对照表[标题2],"ERROR"),"")</f>
        <v/>
      </c>
      <c r="H7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8" t="str">
        <f>IF(表1_53[[#This Row],[配件1]]&lt;&gt;"",_xlfn.XLOOKUP(表1_53[[#This Row],[配件1]],显卡利益点对照表[型号],显卡利益点对照表[利益点1],"ERROR"),"")</f>
        <v/>
      </c>
      <c r="J78" t="str">
        <f>IF(表1_53[[#This Row],[配件1]]&lt;&gt;"",_xlfn.XLOOKUP(表1_53[[#This Row],[配件1]],显卡利益点对照表[型号],显卡利益点对照表[利益点2],"ERROR"),"")</f>
        <v/>
      </c>
      <c r="K78" t="str">
        <f>IF(表1_53[[#This Row],[配件1]]&lt;&gt;"",_xlfn.XLOOKUP(表1_53[[#This Row],[配件1]],显卡利益点对照表[型号],显卡利益点对照表[利益点3],"ERROR"),"")</f>
        <v/>
      </c>
      <c r="L78" t="str">
        <f>IF(表1_53[[#This Row],[配件1]]&lt;&gt;"",_xlfn.XLOOKUP(表1_53[[#This Row],[配件1]],显卡利益点对照表[型号],显卡利益点对照表[算力],"ERROR"),"")</f>
        <v/>
      </c>
      <c r="M78" t="str">
        <f>IF(表1_53[[#This Row],[配件1]]&lt;&gt;"",_xlfn.XLOOKUP(表1_53[[#This Row],[配件1]],显卡利益点对照表[型号],显卡利益点对照表[可显性],"ERROR"),"")</f>
        <v/>
      </c>
      <c r="N7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8" t="str" cm="1">
        <f t="array" ref="Q78">_xlfn.IFS(表1_53[[#This Row],[配件1]]="","",表1_53[[#This Row],[文本丨算力丨算力值]]=0,"",表1_53[[#This Row],[文本丨算力丨算力值]]&lt;&gt;"","算力")</f>
        <v/>
      </c>
    </row>
    <row r="79" spans="2:17" ht="15" customHeight="1" x14ac:dyDescent="0.2">
      <c r="F79" t="str">
        <f>IF(表1_53[[#This Row],[配件1]]&lt;&gt;"",_xlfn.XLOOKUP(表1_53[[#This Row],[配件1]],显卡利益点对照表[型号],显卡利益点对照表[标题1],"ERROR"),"")</f>
        <v/>
      </c>
      <c r="G79" t="str">
        <f>IF(表1_53[[#This Row],[配件1]]&lt;&gt;"",_xlfn.XLOOKUP(表1_53[[#This Row],[配件1]],显卡利益点对照表[型号],显卡利益点对照表[标题2],"ERROR"),"")</f>
        <v/>
      </c>
      <c r="H7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9" t="str">
        <f>IF(表1_53[[#This Row],[配件1]]&lt;&gt;"",_xlfn.XLOOKUP(表1_53[[#This Row],[配件1]],显卡利益点对照表[型号],显卡利益点对照表[利益点1],"ERROR"),"")</f>
        <v/>
      </c>
      <c r="J79" t="str">
        <f>IF(表1_53[[#This Row],[配件1]]&lt;&gt;"",_xlfn.XLOOKUP(表1_53[[#This Row],[配件1]],显卡利益点对照表[型号],显卡利益点对照表[利益点2],"ERROR"),"")</f>
        <v/>
      </c>
      <c r="K79" t="str">
        <f>IF(表1_53[[#This Row],[配件1]]&lt;&gt;"",_xlfn.XLOOKUP(表1_53[[#This Row],[配件1]],显卡利益点对照表[型号],显卡利益点对照表[利益点3],"ERROR"),"")</f>
        <v/>
      </c>
      <c r="L79" t="str">
        <f>IF(表1_53[[#This Row],[配件1]]&lt;&gt;"",_xlfn.XLOOKUP(表1_53[[#This Row],[配件1]],显卡利益点对照表[型号],显卡利益点对照表[算力],"ERROR"),"")</f>
        <v/>
      </c>
      <c r="M79" t="str">
        <f>IF(表1_53[[#This Row],[配件1]]&lt;&gt;"",_xlfn.XLOOKUP(表1_53[[#This Row],[配件1]],显卡利益点对照表[型号],显卡利益点对照表[可显性],"ERROR"),"")</f>
        <v/>
      </c>
      <c r="N7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9" t="str" cm="1">
        <f t="array" ref="Q79">_xlfn.IFS(表1_53[[#This Row],[配件1]]="","",表1_53[[#This Row],[文本丨算力丨算力值]]=0,"",表1_53[[#This Row],[文本丨算力丨算力值]]&lt;&gt;"","算力")</f>
        <v/>
      </c>
    </row>
    <row r="80" spans="2:17" ht="15" customHeight="1" x14ac:dyDescent="0.2">
      <c r="B80" s="22">
        <v>10136251148677</v>
      </c>
      <c r="C80" t="s">
        <v>1003</v>
      </c>
      <c r="D80" t="s">
        <v>468</v>
      </c>
      <c r="F80" t="str">
        <f>IF(表1_53[[#This Row],[配件1]]&lt;&gt;"",_xlfn.XLOOKUP(表1_53[[#This Row],[配件1]],显卡利益点对照表[型号],显卡利益点对照表[标题1],"ERROR"),"")</f>
        <v>RTX5080</v>
      </c>
      <c r="G80" t="str">
        <f>IF(表1_53[[#This Row],[配件1]]&lt;&gt;"",_xlfn.XLOOKUP(表1_53[[#This Row],[配件1]],显卡利益点对照表[型号],显卡利益点对照表[标题2],"ERROR"),"")</f>
        <v>16G 风魔</v>
      </c>
      <c r="H8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</v>
      </c>
      <c r="I80" t="str">
        <f>IF(表1_53[[#This Row],[配件1]]&lt;&gt;"",_xlfn.XLOOKUP(表1_53[[#This Row],[配件1]],显卡利益点对照表[型号],显卡利益点对照表[利益点1],"ERROR"),"")</f>
        <v>三年质保/个人送保</v>
      </c>
      <c r="J80" t="str">
        <f>IF(表1_53[[#This Row],[配件1]]&lt;&gt;"",_xlfn.XLOOKUP(表1_53[[#This Row],[配件1]],显卡利益点对照表[型号],显卡利益点对照表[利益点2],"ERROR"),"")</f>
        <v>SFF小尺寸</v>
      </c>
      <c r="K80" t="str">
        <f>IF(表1_53[[#This Row],[配件1]]&lt;&gt;"",_xlfn.XLOOKUP(表1_53[[#This Row],[配件1]],显卡利益点对照表[型号],显卡利益点对照表[利益点3],"ERROR"),"")</f>
        <v>四重高效散热</v>
      </c>
      <c r="L80" t="str">
        <f>IF(表1_53[[#This Row],[配件1]]&lt;&gt;"",_xlfn.XLOOKUP(表1_53[[#This Row],[配件1]],显卡利益点对照表[型号],显卡利益点对照表[算力],"ERROR"),"")</f>
        <v>AI算力1801 TOPS</v>
      </c>
      <c r="M80" t="str">
        <f>IF(表1_53[[#This Row],[配件1]]&lt;&gt;"",_xlfn.XLOOKUP(表1_53[[#This Row],[配件1]],显卡利益点对照表[型号],显卡利益点对照表[可显性],"ERROR"),"")</f>
        <v>GV-N5080WF3OC-16GD</v>
      </c>
      <c r="N8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0" t="str" cm="1">
        <f t="array" ref="Q80">_xlfn.IFS(表1_53[[#This Row],[配件1]]="","",表1_53[[#This Row],[文本丨算力丨算力值]]=0,"",表1_53[[#This Row],[文本丨算力丨算力值]]&lt;&gt;"","算力")</f>
        <v>算力</v>
      </c>
    </row>
    <row r="81" spans="2:17" ht="15" customHeight="1" x14ac:dyDescent="0.2">
      <c r="B81" s="22">
        <v>10136251148678</v>
      </c>
      <c r="C81" t="s">
        <v>1003</v>
      </c>
      <c r="D81" t="s">
        <v>1002</v>
      </c>
      <c r="F81" t="str">
        <f>IF(表1_53[[#This Row],[配件1]]&lt;&gt;"",_xlfn.XLOOKUP(表1_53[[#This Row],[配件1]],显卡利益点对照表[型号],显卡利益点对照表[标题1],"ERROR"),"")</f>
        <v>RTX5080</v>
      </c>
      <c r="G81" t="str">
        <f>IF(表1_53[[#This Row],[配件1]]&lt;&gt;"",_xlfn.XLOOKUP(表1_53[[#This Row],[配件1]],显卡利益点对照表[型号],显卡利益点对照表[标题2],"ERROR"),"")</f>
        <v>16G 风魔</v>
      </c>
      <c r="H8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+850W模组电源</v>
      </c>
      <c r="I81" t="str">
        <f>IF(表1_53[[#This Row],[配件1]]&lt;&gt;"",_xlfn.XLOOKUP(表1_53[[#This Row],[配件1]],显卡利益点对照表[型号],显卡利益点对照表[利益点1],"ERROR"),"")</f>
        <v>三年质保/个人送保</v>
      </c>
      <c r="J81" t="str">
        <f>IF(表1_53[[#This Row],[配件1]]&lt;&gt;"",_xlfn.XLOOKUP(表1_53[[#This Row],[配件1]],显卡利益点对照表[型号],显卡利益点对照表[利益点2],"ERROR"),"")</f>
        <v>SFF小尺寸</v>
      </c>
      <c r="K81" t="str">
        <f>IF(表1_53[[#This Row],[配件1]]&lt;&gt;"",_xlfn.XLOOKUP(表1_53[[#This Row],[配件1]],显卡利益点对照表[型号],显卡利益点对照表[利益点3],"ERROR"),"")</f>
        <v>四重高效散热</v>
      </c>
      <c r="L81" t="str">
        <f>IF(表1_53[[#This Row],[配件1]]&lt;&gt;"",_xlfn.XLOOKUP(表1_53[[#This Row],[配件1]],显卡利益点对照表[型号],显卡利益点对照表[算力],"ERROR"),"")</f>
        <v>AI算力1801 TOPS</v>
      </c>
      <c r="M81" t="str">
        <f>IF(表1_53[[#This Row],[配件1]]&lt;&gt;"",_xlfn.XLOOKUP(表1_53[[#This Row],[配件1]],显卡利益点对照表[型号],显卡利益点对照表[可显性],"ERROR"),"")</f>
        <v>GV-N5080WF3OC-16GD</v>
      </c>
      <c r="N8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UD850GM PG5</v>
      </c>
      <c r="O8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1" t="str" cm="1">
        <f t="array" ref="Q81">_xlfn.IFS(表1_53[[#This Row],[配件1]]="","",表1_53[[#This Row],[文本丨算力丨算力值]]=0,"",表1_53[[#This Row],[文本丨算力丨算力值]]&lt;&gt;"","算力")</f>
        <v>算力</v>
      </c>
    </row>
    <row r="82" spans="2:17" ht="15" customHeight="1" x14ac:dyDescent="0.2">
      <c r="F82" t="str">
        <f>IF(表1_53[[#This Row],[配件1]]&lt;&gt;"",_xlfn.XLOOKUP(表1_53[[#This Row],[配件1]],显卡利益点对照表[型号],显卡利益点对照表[标题1],"ERROR"),"")</f>
        <v/>
      </c>
      <c r="G82" t="str">
        <f>IF(表1_53[[#This Row],[配件1]]&lt;&gt;"",_xlfn.XLOOKUP(表1_53[[#This Row],[配件1]],显卡利益点对照表[型号],显卡利益点对照表[标题2],"ERROR"),"")</f>
        <v/>
      </c>
      <c r="H8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2" t="str">
        <f>IF(表1_53[[#This Row],[配件1]]&lt;&gt;"",_xlfn.XLOOKUP(表1_53[[#This Row],[配件1]],显卡利益点对照表[型号],显卡利益点对照表[利益点1],"ERROR"),"")</f>
        <v/>
      </c>
      <c r="J82" t="str">
        <f>IF(表1_53[[#This Row],[配件1]]&lt;&gt;"",_xlfn.XLOOKUP(表1_53[[#This Row],[配件1]],显卡利益点对照表[型号],显卡利益点对照表[利益点2],"ERROR"),"")</f>
        <v/>
      </c>
      <c r="K82" t="str">
        <f>IF(表1_53[[#This Row],[配件1]]&lt;&gt;"",_xlfn.XLOOKUP(表1_53[[#This Row],[配件1]],显卡利益点对照表[型号],显卡利益点对照表[利益点3],"ERROR"),"")</f>
        <v/>
      </c>
      <c r="L82" t="str">
        <f>IF(表1_53[[#This Row],[配件1]]&lt;&gt;"",_xlfn.XLOOKUP(表1_53[[#This Row],[配件1]],显卡利益点对照表[型号],显卡利益点对照表[算力],"ERROR"),"")</f>
        <v/>
      </c>
      <c r="M82" t="str">
        <f>IF(表1_53[[#This Row],[配件1]]&lt;&gt;"",_xlfn.XLOOKUP(表1_53[[#This Row],[配件1]],显卡利益点对照表[型号],显卡利益点对照表[可显性],"ERROR"),"")</f>
        <v/>
      </c>
      <c r="N8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2" t="str" cm="1">
        <f t="array" ref="Q82">_xlfn.IFS(表1_53[[#This Row],[配件1]]="","",表1_53[[#This Row],[文本丨算力丨算力值]]=0,"",表1_53[[#This Row],[文本丨算力丨算力值]]&lt;&gt;"","算力")</f>
        <v/>
      </c>
    </row>
    <row r="83" spans="2:17" ht="15" customHeight="1" x14ac:dyDescent="0.2">
      <c r="B83" s="22">
        <v>123</v>
      </c>
      <c r="C83" t="s">
        <v>429</v>
      </c>
      <c r="D83" t="s">
        <v>204</v>
      </c>
      <c r="F83" t="str">
        <f>IF(表1_53[[#This Row],[配件1]]&lt;&gt;"",_xlfn.XLOOKUP(表1_53[[#This Row],[配件1]],显卡利益点对照表[型号],显卡利益点对照表[标题1],"ERROR"),"")</f>
        <v>RX9070XT</v>
      </c>
      <c r="G83" t="str">
        <f>IF(表1_53[[#This Row],[配件1]]&lt;&gt;"",_xlfn.XLOOKUP(表1_53[[#This Row],[配件1]],显卡利益点对照表[型号],显卡利益点对照表[标题2],"ERROR"),"")</f>
        <v>16G 小雕</v>
      </c>
      <c r="H8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ERROR</v>
      </c>
      <c r="I83" t="str">
        <f>IF(表1_53[[#This Row],[配件1]]&lt;&gt;"",_xlfn.XLOOKUP(表1_53[[#This Row],[配件1]],显卡利益点对照表[型号],显卡利益点对照表[利益点1],"ERROR"),"")</f>
        <v>注册4年保/个人送保丨25</v>
      </c>
      <c r="J83" t="str">
        <f>IF(表1_53[[#This Row],[配件1]]&lt;&gt;"",_xlfn.XLOOKUP(表1_53[[#This Row],[配件1]],显卡利益点对照表[型号],显卡利益点对照表[利益点2],"ERROR"),"")</f>
        <v>服务器级导热凝胶</v>
      </c>
      <c r="K83" t="str">
        <f>IF(表1_53[[#This Row],[配件1]]&lt;&gt;"",_xlfn.XLOOKUP(表1_53[[#This Row],[配件1]],显卡利益点对照表[型号],显卡利益点对照表[利益点3],"ERROR"),"")</f>
        <v>RGB幻彩光轮</v>
      </c>
      <c r="L83">
        <f>IF(表1_53[[#This Row],[配件1]]&lt;&gt;"",_xlfn.XLOOKUP(表1_53[[#This Row],[配件1]],显卡利益点对照表[型号],显卡利益点对照表[算力],"ERROR"),"")</f>
        <v>0</v>
      </c>
      <c r="M83" t="str">
        <f>IF(表1_53[[#This Row],[配件1]]&lt;&gt;"",_xlfn.XLOOKUP(表1_53[[#This Row],[配件1]],显卡利益点对照表[型号],显卡利益点对照表[可显性],"ERROR"),"")</f>
        <v>GV-R9070XTAORUS E</v>
      </c>
      <c r="N8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ERROR</v>
      </c>
      <c r="O8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3" t="str" cm="1">
        <f t="array" ref="Q83">_xlfn.IFS(表1_53[[#This Row],[配件1]]="","",表1_53[[#This Row],[文本丨算力丨算力值]]=0,"",表1_53[[#This Row],[文本丨算力丨算力值]]&lt;&gt;"","算力")</f>
        <v/>
      </c>
    </row>
    <row r="84" spans="2:17" ht="15" customHeight="1" x14ac:dyDescent="0.2">
      <c r="K84" t="str">
        <f>IF(表1_53[[#This Row],[配件1]]&lt;&gt;"",_xlfn.XLOOKUP(表1_53[[#This Row],[配件1]],显卡利益点对照表[型号],显卡利益点对照表[利益点3],"ERROR"),"")</f>
        <v/>
      </c>
      <c r="L84" t="str">
        <f>IF(表1_53[[#This Row],[配件1]]&lt;&gt;"",_xlfn.XLOOKUP(表1_53[[#This Row],[配件1]],显卡利益点对照表[型号],显卡利益点对照表[算力],"ERROR"),"")</f>
        <v/>
      </c>
      <c r="M84" t="str">
        <f>IF(表1_53[[#This Row],[配件1]]&lt;&gt;"",_xlfn.XLOOKUP(表1_53[[#This Row],[配件1]],显卡利益点对照表[型号],显卡利益点对照表[可显性],"ERROR"),"")</f>
        <v/>
      </c>
      <c r="O8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4" t="str" cm="1">
        <f t="array" ref="Q84">_xlfn.IFS(表1_53[[#This Row],[配件1]]="","",表1_53[[#This Row],[文本丨算力丨算力值]]=0,"",表1_53[[#This Row],[文本丨算力丨算力值]]&lt;&gt;"","算力")</f>
        <v/>
      </c>
    </row>
    <row r="85" spans="2:17" ht="15" customHeight="1" x14ac:dyDescent="0.2">
      <c r="F85" t="str">
        <f>IF(表1_53[[#This Row],[配件1]]&lt;&gt;"",_xlfn.XLOOKUP(表1_53[[#This Row],[配件1]],显卡利益点对照表[型号],显卡利益点对照表[标题1],"ERROR"),"")</f>
        <v/>
      </c>
      <c r="G85" t="str">
        <f>IF(表1_53[[#This Row],[配件1]]&lt;&gt;"",_xlfn.XLOOKUP(表1_53[[#This Row],[配件1]],显卡利益点对照表[型号],显卡利益点对照表[标题2],"ERROR"),"")</f>
        <v/>
      </c>
      <c r="H8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5" t="str">
        <f>IF(表1_53[[#This Row],[配件1]]&lt;&gt;"",_xlfn.XLOOKUP(表1_53[[#This Row],[配件1]],显卡利益点对照表[型号],显卡利益点对照表[利益点1],"ERROR"),"")</f>
        <v/>
      </c>
      <c r="J85" t="str">
        <f>IF(表1_53[[#This Row],[配件1]]&lt;&gt;"",_xlfn.XLOOKUP(表1_53[[#This Row],[配件1]],显卡利益点对照表[型号],显卡利益点对照表[利益点2],"ERROR"),"")</f>
        <v/>
      </c>
      <c r="K85" t="str">
        <f>IF(表1_53[[#This Row],[配件1]]&lt;&gt;"",_xlfn.XLOOKUP(表1_53[[#This Row],[配件1]],显卡利益点对照表[型号],显卡利益点对照表[利益点3],"ERROR"),"")</f>
        <v/>
      </c>
      <c r="L85" t="str">
        <f>IF(表1_53[[#This Row],[配件1]]&lt;&gt;"",_xlfn.XLOOKUP(表1_53[[#This Row],[配件1]],显卡利益点对照表[型号],显卡利益点对照表[算力],"ERROR"),"")</f>
        <v/>
      </c>
      <c r="M85" t="str">
        <f>IF(表1_53[[#This Row],[配件1]]&lt;&gt;"",_xlfn.XLOOKUP(表1_53[[#This Row],[配件1]],显卡利益点对照表[型号],显卡利益点对照表[可显性],"ERROR"),"")</f>
        <v/>
      </c>
      <c r="N8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5" t="str" cm="1">
        <f t="array" ref="Q85">_xlfn.IFS(表1_53[[#This Row],[配件1]]="","",表1_53[[#This Row],[文本丨算力丨算力值]]=0,"",表1_53[[#This Row],[文本丨算力丨算力值]]&lt;&gt;"","算力")</f>
        <v/>
      </c>
    </row>
    <row r="86" spans="2:17" ht="15" customHeight="1" x14ac:dyDescent="0.2">
      <c r="F86" t="str">
        <f>IF(表1_53[[#This Row],[配件1]]&lt;&gt;"",_xlfn.XLOOKUP(表1_53[[#This Row],[配件1]],显卡利益点对照表[型号],显卡利益点对照表[标题1],"ERROR"),"")</f>
        <v/>
      </c>
      <c r="G86" t="str">
        <f>IF(表1_53[[#This Row],[配件1]]&lt;&gt;"",_xlfn.XLOOKUP(表1_53[[#This Row],[配件1]],显卡利益点对照表[型号],显卡利益点对照表[标题2],"ERROR"),"")</f>
        <v/>
      </c>
      <c r="H8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6" t="str">
        <f>IF(表1_53[[#This Row],[配件1]]&lt;&gt;"",_xlfn.XLOOKUP(表1_53[[#This Row],[配件1]],显卡利益点对照表[型号],显卡利益点对照表[利益点1],"ERROR"),"")</f>
        <v/>
      </c>
      <c r="J86" t="str">
        <f>IF(表1_53[[#This Row],[配件1]]&lt;&gt;"",_xlfn.XLOOKUP(表1_53[[#This Row],[配件1]],显卡利益点对照表[型号],显卡利益点对照表[利益点2],"ERROR"),"")</f>
        <v/>
      </c>
      <c r="K86" t="str">
        <f>IF(表1_53[[#This Row],[配件1]]&lt;&gt;"",_xlfn.XLOOKUP(表1_53[[#This Row],[配件1]],显卡利益点对照表[型号],显卡利益点对照表[利益点3],"ERROR"),"")</f>
        <v/>
      </c>
      <c r="L86" t="str">
        <f>IF(表1_53[[#This Row],[配件1]]&lt;&gt;"",_xlfn.XLOOKUP(表1_53[[#This Row],[配件1]],显卡利益点对照表[型号],显卡利益点对照表[算力],"ERROR"),"")</f>
        <v/>
      </c>
      <c r="M86" t="str">
        <f>IF(表1_53[[#This Row],[配件1]]&lt;&gt;"",_xlfn.XLOOKUP(表1_53[[#This Row],[配件1]],显卡利益点对照表[型号],显卡利益点对照表[可显性],"ERROR"),"")</f>
        <v/>
      </c>
      <c r="N8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6" t="str" cm="1">
        <f t="array" ref="Q86">_xlfn.IFS(表1_53[[#This Row],[配件1]]="","",表1_53[[#This Row],[文本丨算力丨算力值]]=0,"",表1_53[[#This Row],[文本丨算力丨算力值]]&lt;&gt;"","算力")</f>
        <v/>
      </c>
    </row>
    <row r="87" spans="2:17" ht="15" customHeight="1" x14ac:dyDescent="0.2">
      <c r="F87" t="str">
        <f>IF(表1_53[[#This Row],[配件1]]&lt;&gt;"",_xlfn.XLOOKUP(表1_53[[#This Row],[配件1]],显卡利益点对照表[型号],显卡利益点对照表[标题1],"ERROR"),"")</f>
        <v/>
      </c>
      <c r="G87" t="str">
        <f>IF(表1_53[[#This Row],[配件1]]&lt;&gt;"",_xlfn.XLOOKUP(表1_53[[#This Row],[配件1]],显卡利益点对照表[型号],显卡利益点对照表[标题2],"ERROR"),"")</f>
        <v/>
      </c>
      <c r="H8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7" t="str">
        <f>IF(表1_53[[#This Row],[配件1]]&lt;&gt;"",_xlfn.XLOOKUP(表1_53[[#This Row],[配件1]],显卡利益点对照表[型号],显卡利益点对照表[利益点1],"ERROR"),"")</f>
        <v/>
      </c>
      <c r="J87" t="str">
        <f>IF(表1_53[[#This Row],[配件1]]&lt;&gt;"",_xlfn.XLOOKUP(表1_53[[#This Row],[配件1]],显卡利益点对照表[型号],显卡利益点对照表[利益点2],"ERROR"),"")</f>
        <v/>
      </c>
      <c r="K87" t="str">
        <f>IF(表1_53[[#This Row],[配件1]]&lt;&gt;"",_xlfn.XLOOKUP(表1_53[[#This Row],[配件1]],显卡利益点对照表[型号],显卡利益点对照表[利益点3],"ERROR"),"")</f>
        <v/>
      </c>
      <c r="L87" t="str">
        <f>IF(表1_53[[#This Row],[配件1]]&lt;&gt;"",_xlfn.XLOOKUP(表1_53[[#This Row],[配件1]],显卡利益点对照表[型号],显卡利益点对照表[算力],"ERROR"),"")</f>
        <v/>
      </c>
      <c r="M87" t="str">
        <f>IF(表1_53[[#This Row],[配件1]]&lt;&gt;"",_xlfn.XLOOKUP(表1_53[[#This Row],[配件1]],显卡利益点对照表[型号],显卡利益点对照表[可显性],"ERROR"),"")</f>
        <v/>
      </c>
      <c r="N8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7" t="str" cm="1">
        <f t="array" ref="Q87">_xlfn.IFS(表1_53[[#This Row],[配件1]]="","",表1_53[[#This Row],[文本丨算力丨算力值]]=0,"",表1_53[[#This Row],[文本丨算力丨算力值]]&lt;&gt;"","算力")</f>
        <v/>
      </c>
    </row>
    <row r="88" spans="2:17" x14ac:dyDescent="0.2">
      <c r="B88" s="22">
        <v>10096477527460</v>
      </c>
      <c r="C88" t="s">
        <v>461</v>
      </c>
      <c r="F88" t="str">
        <f>IF(表1_53[[#This Row],[配件1]]&lt;&gt;"",_xlfn.XLOOKUP(表1_53[[#This Row],[配件1]],显卡利益点对照表[型号],显卡利益点对照表[标题1],"ERROR"),"")</f>
        <v>RTX5060</v>
      </c>
      <c r="G88" t="str">
        <f>IF(表1_53[[#This Row],[配件1]]&lt;&gt;"",_xlfn.XLOOKUP(表1_53[[#This Row],[配件1]],显卡利益点对照表[型号],显卡利益点对照表[标题2],"ERROR"),"")</f>
        <v>风魔 8G</v>
      </c>
      <c r="H8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88" t="str">
        <f>IF(表1_53[[#This Row],[配件1]]&lt;&gt;"",_xlfn.XLOOKUP(表1_53[[#This Row],[配件1]],显卡利益点对照表[型号],显卡利益点对照表[利益点1],"ERROR"),"")</f>
        <v>铜板+复合式热管</v>
      </c>
      <c r="J88" t="str">
        <f>IF(表1_53[[#This Row],[配件1]]&lt;&gt;"",_xlfn.XLOOKUP(表1_53[[#This Row],[配件1]],显卡利益点对照表[型号],显卡利益点对照表[利益点2],"ERROR"),"")</f>
        <v>精巧双风扇</v>
      </c>
      <c r="K88" t="str">
        <f>IF(表1_53[[#This Row],[配件1]]&lt;&gt;"",_xlfn.XLOOKUP(表1_53[[#This Row],[配件1]],显卡利益点对照表[型号],显卡利益点对照表[利益点3],"ERROR"),"")</f>
        <v>仿生降噪风扇</v>
      </c>
      <c r="L88" t="str">
        <f>IF(表1_53[[#This Row],[配件1]]&lt;&gt;"",_xlfn.XLOOKUP(表1_53[[#This Row],[配件1]],显卡利益点对照表[型号],显卡利益点对照表[算力],"ERROR"),"")</f>
        <v>AI算力614 TOPS</v>
      </c>
      <c r="M88" t="str">
        <f>IF(表1_53[[#This Row],[配件1]]&lt;&gt;"",_xlfn.XLOOKUP(表1_53[[#This Row],[配件1]],显卡利益点对照表[型号],显卡利益点对照表[可显性],"ERROR"),"")</f>
        <v>GV-N5060WF2-8GD</v>
      </c>
      <c r="N8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88" t="s">
        <v>471</v>
      </c>
      <c r="Q88" t="str" cm="1">
        <f t="array" ref="Q88">_xlfn.IFS(表1_53[[#This Row],[配件1]]="","",表1_53[[#This Row],[文本丨算力丨算力值]]=0,"",表1_53[[#This Row],[文本丨算力丨算力值]]&lt;&gt;"","算力")</f>
        <v>算力</v>
      </c>
    </row>
    <row r="89" spans="2:17" x14ac:dyDescent="0.2">
      <c r="B89" s="22">
        <v>10127991509947</v>
      </c>
      <c r="C89" t="s">
        <v>462</v>
      </c>
      <c r="F89" t="str">
        <f>IF(表1_53[[#This Row],[配件1]]&lt;&gt;"",_xlfn.XLOOKUP(表1_53[[#This Row],[配件1]],显卡利益点对照表[型号],显卡利益点对照表[标题1],"ERROR"),"")</f>
        <v>RTX5060</v>
      </c>
      <c r="G89" t="str">
        <f>IF(表1_53[[#This Row],[配件1]]&lt;&gt;"",_xlfn.XLOOKUP(表1_53[[#This Row],[配件1]],显卡利益点对照表[型号],显卡利益点对照表[标题2],"ERROR"),"")</f>
        <v>猎鹰 8G</v>
      </c>
      <c r="H8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89" t="str">
        <f>IF(表1_53[[#This Row],[配件1]]&lt;&gt;"",_xlfn.XLOOKUP(表1_53[[#This Row],[配件1]],显卡利益点对照表[型号],显卡利益点对照表[利益点1],"ERROR"),"")</f>
        <v>铜板+复合式热管</v>
      </c>
      <c r="J89" t="str">
        <f>IF(表1_53[[#This Row],[配件1]]&lt;&gt;"",_xlfn.XLOOKUP(表1_53[[#This Row],[配件1]],显卡利益点对照表[型号],显卡利益点对照表[利益点2],"ERROR"),"")</f>
        <v>精巧双风扇</v>
      </c>
      <c r="K89" t="str">
        <f>IF(表1_53[[#This Row],[配件1]]&lt;&gt;"",_xlfn.XLOOKUP(表1_53[[#This Row],[配件1]],显卡利益点对照表[型号],显卡利益点对照表[利益点3],"ERROR"),"")</f>
        <v>仿生降噪风扇</v>
      </c>
      <c r="L89" t="str">
        <f>IF(表1_53[[#This Row],[配件1]]&lt;&gt;"",_xlfn.XLOOKUP(表1_53[[#This Row],[配件1]],显卡利益点对照表[型号],显卡利益点对照表[算力],"ERROR"),"")</f>
        <v>AI算力614 TOPS</v>
      </c>
      <c r="M89" t="str">
        <f>IF(表1_53[[#This Row],[配件1]]&lt;&gt;"",_xlfn.XLOOKUP(表1_53[[#This Row],[配件1]],显卡利益点对照表[型号],显卡利益点对照表[可显性],"ERROR"),"")</f>
        <v>GV-N5060EAGLE OC-8GD</v>
      </c>
      <c r="N8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89" t="s">
        <v>471</v>
      </c>
      <c r="Q89" t="str" cm="1">
        <f t="array" ref="Q89">_xlfn.IFS(表1_53[[#This Row],[配件1]]="","",表1_53[[#This Row],[文本丨算力丨算力值]]=0,"",表1_53[[#This Row],[文本丨算力丨算力值]]&lt;&gt;"","算力")</f>
        <v>算力</v>
      </c>
    </row>
    <row r="90" spans="2:17" x14ac:dyDescent="0.2">
      <c r="B90" s="22">
        <v>10127991509948</v>
      </c>
      <c r="C90" t="s">
        <v>463</v>
      </c>
      <c r="F90" t="str">
        <f>IF(表1_53[[#This Row],[配件1]]&lt;&gt;"",_xlfn.XLOOKUP(表1_53[[#This Row],[配件1]],显卡利益点对照表[型号],显卡利益点对照表[标题1],"ERROR"),"")</f>
        <v>RTX5060</v>
      </c>
      <c r="G90" t="str">
        <f>IF(表1_53[[#This Row],[配件1]]&lt;&gt;"",_xlfn.XLOOKUP(表1_53[[#This Row],[配件1]],显卡利益点对照表[型号],显卡利益点对照表[标题2],"ERROR"),"")</f>
        <v>冰猎鹰 8G</v>
      </c>
      <c r="H9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90" t="str">
        <f>IF(表1_53[[#This Row],[配件1]]&lt;&gt;"",_xlfn.XLOOKUP(表1_53[[#This Row],[配件1]],显卡利益点对照表[型号],显卡利益点对照表[利益点1],"ERROR"),"")</f>
        <v>铜板+复合式热管</v>
      </c>
      <c r="J90" t="str">
        <f>IF(表1_53[[#This Row],[配件1]]&lt;&gt;"",_xlfn.XLOOKUP(表1_53[[#This Row],[配件1]],显卡利益点对照表[型号],显卡利益点对照表[利益点2],"ERROR"),"")</f>
        <v>精巧双风扇</v>
      </c>
      <c r="K90" t="str">
        <f>IF(表1_53[[#This Row],[配件1]]&lt;&gt;"",_xlfn.XLOOKUP(表1_53[[#This Row],[配件1]],显卡利益点对照表[型号],显卡利益点对照表[利益点3],"ERROR"),"")</f>
        <v>仿生降噪风扇</v>
      </c>
      <c r="L90" t="str">
        <f>IF(表1_53[[#This Row],[配件1]]&lt;&gt;"",_xlfn.XLOOKUP(表1_53[[#This Row],[配件1]],显卡利益点对照表[型号],显卡利益点对照表[算力],"ERROR"),"")</f>
        <v>AI算力614 TOPS</v>
      </c>
      <c r="M90" t="str">
        <f>IF(表1_53[[#This Row],[配件1]]&lt;&gt;"",_xlfn.XLOOKUP(表1_53[[#This Row],[配件1]],显卡利益点对照表[型号],显卡利益点对照表[可显性],"ERROR"),"")</f>
        <v>GV-N5060EAGLEOC ICE-8GD</v>
      </c>
      <c r="N9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0" t="s">
        <v>471</v>
      </c>
      <c r="Q90" t="str" cm="1">
        <f t="array" ref="Q90">_xlfn.IFS(表1_53[[#This Row],[配件1]]="","",表1_53[[#This Row],[文本丨算力丨算力值]]=0,"",表1_53[[#This Row],[文本丨算力丨算力值]]&lt;&gt;"","算力")</f>
        <v>算力</v>
      </c>
    </row>
    <row r="91" spans="2:17" x14ac:dyDescent="0.2">
      <c r="B91" s="22">
        <v>10087909470515</v>
      </c>
      <c r="C91" t="s">
        <v>464</v>
      </c>
      <c r="F91" t="str">
        <f>IF(表1_53[[#This Row],[配件1]]&lt;&gt;"",_xlfn.XLOOKUP(表1_53[[#This Row],[配件1]],显卡利益点对照表[型号],显卡利益点对照表[标题1],"ERROR"),"")</f>
        <v>RTX5060</v>
      </c>
      <c r="G91" t="str">
        <f>IF(表1_53[[#This Row],[配件1]]&lt;&gt;"",_xlfn.XLOOKUP(表1_53[[#This Row],[配件1]],显卡利益点对照表[型号],显卡利益点对照表[标题2],"ERROR"),"")</f>
        <v>魔鹰 8G</v>
      </c>
      <c r="H9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91" t="str">
        <f>IF(表1_53[[#This Row],[配件1]]&lt;&gt;"",_xlfn.XLOOKUP(表1_53[[#This Row],[配件1]],显卡利益点对照表[型号],显卡利益点对照表[利益点1],"ERROR"),"")</f>
        <v>铜板+复合式热管</v>
      </c>
      <c r="J91" t="str">
        <f>IF(表1_53[[#This Row],[配件1]]&lt;&gt;"",_xlfn.XLOOKUP(表1_53[[#This Row],[配件1]],显卡利益点对照表[型号],显卡利益点对照表[利益点2],"ERROR"),"")</f>
        <v>RGB滑动侧板</v>
      </c>
      <c r="K91" t="str">
        <f>IF(表1_53[[#This Row],[配件1]]&lt;&gt;"",_xlfn.XLOOKUP(表1_53[[#This Row],[配件1]],显卡利益点对照表[型号],显卡利益点对照表[利益点3],"ERROR"),"")</f>
        <v>强化金属背板</v>
      </c>
      <c r="L91" t="str">
        <f>IF(表1_53[[#This Row],[配件1]]&lt;&gt;"",_xlfn.XLOOKUP(表1_53[[#This Row],[配件1]],显卡利益点对照表[型号],显卡利益点对照表[算力],"ERROR"),"")</f>
        <v>AI算力614 TOPS</v>
      </c>
      <c r="M91" t="str">
        <f>IF(表1_53[[#This Row],[配件1]]&lt;&gt;"",_xlfn.XLOOKUP(表1_53[[#This Row],[配件1]],显卡利益点对照表[型号],显卡利益点对照表[可显性],"ERROR"),"")</f>
        <v>GV-N5060GAMING OC-8GD</v>
      </c>
      <c r="N9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1" t="s">
        <v>471</v>
      </c>
      <c r="Q91" t="str" cm="1">
        <f t="array" ref="Q91">_xlfn.IFS(表1_53[[#This Row],[配件1]]="","",表1_53[[#This Row],[文本丨算力丨算力值]]=0,"",表1_53[[#This Row],[文本丨算力丨算力值]]&lt;&gt;"","算力")</f>
        <v>算力</v>
      </c>
    </row>
    <row r="92" spans="2:17" x14ac:dyDescent="0.2">
      <c r="B92" s="22">
        <v>10087909470516</v>
      </c>
      <c r="C92" t="s">
        <v>465</v>
      </c>
      <c r="F92" t="str">
        <f>IF(表1_53[[#This Row],[配件1]]&lt;&gt;"",_xlfn.XLOOKUP(表1_53[[#This Row],[配件1]],显卡利益点对照表[型号],显卡利益点对照表[标题1],"ERROR"),"")</f>
        <v>RTX5060</v>
      </c>
      <c r="G92" t="str">
        <f>IF(表1_53[[#This Row],[配件1]]&lt;&gt;"",_xlfn.XLOOKUP(表1_53[[#This Row],[配件1]],显卡利益点对照表[型号],显卡利益点对照表[标题2],"ERROR"),"")</f>
        <v>雪鹰 8G</v>
      </c>
      <c r="H9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92" t="str">
        <f>IF(表1_53[[#This Row],[配件1]]&lt;&gt;"",_xlfn.XLOOKUP(表1_53[[#This Row],[配件1]],显卡利益点对照表[型号],显卡利益点对照表[利益点1],"ERROR"),"")</f>
        <v>铜板+复合式热管</v>
      </c>
      <c r="J92" t="str">
        <f>IF(表1_53[[#This Row],[配件1]]&lt;&gt;"",_xlfn.XLOOKUP(表1_53[[#This Row],[配件1]],显卡利益点对照表[型号],显卡利益点对照表[利益点2],"ERROR"),"")</f>
        <v>银白雪装外观</v>
      </c>
      <c r="K92" t="str">
        <f>IF(表1_53[[#This Row],[配件1]]&lt;&gt;"",_xlfn.XLOOKUP(表1_53[[#This Row],[配件1]],显卡利益点对照表[型号],显卡利益点对照表[利益点3],"ERROR"),"")</f>
        <v>强化金属背板</v>
      </c>
      <c r="L92" t="str">
        <f>IF(表1_53[[#This Row],[配件1]]&lt;&gt;"",_xlfn.XLOOKUP(表1_53[[#This Row],[配件1]],显卡利益点对照表[型号],显卡利益点对照表[算力],"ERROR"),"")</f>
        <v>AI算力614 TOPS</v>
      </c>
      <c r="M92" t="str">
        <f>IF(表1_53[[#This Row],[配件1]]&lt;&gt;"",_xlfn.XLOOKUP(表1_53[[#This Row],[配件1]],显卡利益点对照表[型号],显卡利益点对照表[可显性],"ERROR"),"")</f>
        <v>GV-N5060AERO OC-8GD</v>
      </c>
      <c r="N9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2" t="s">
        <v>471</v>
      </c>
      <c r="Q92" t="str" cm="1">
        <f t="array" ref="Q92">_xlfn.IFS(表1_53[[#This Row],[配件1]]="","",表1_53[[#This Row],[文本丨算力丨算力值]]=0,"",表1_53[[#This Row],[文本丨算力丨算力值]]&lt;&gt;"","算力")</f>
        <v>算力</v>
      </c>
    </row>
    <row r="93" spans="2:17" x14ac:dyDescent="0.2">
      <c r="F93" t="str">
        <f>IF(表1_53[[#This Row],[配件1]]&lt;&gt;"",_xlfn.XLOOKUP(表1_53[[#This Row],[配件1]],显卡利益点对照表[型号],显卡利益点对照表[标题1],"ERROR"),"")</f>
        <v/>
      </c>
      <c r="G93" t="str">
        <f>IF(表1_53[[#This Row],[配件1]]&lt;&gt;"",_xlfn.XLOOKUP(表1_53[[#This Row],[配件1]],显卡利益点对照表[型号],显卡利益点对照表[标题2],"ERROR"),"")</f>
        <v/>
      </c>
      <c r="H9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3" t="str">
        <f>IF(表1_53[[#This Row],[配件1]]&lt;&gt;"",_xlfn.XLOOKUP(表1_53[[#This Row],[配件1]],显卡利益点对照表[型号],显卡利益点对照表[利益点1],"ERROR"),"")</f>
        <v/>
      </c>
      <c r="J93" t="str">
        <f>IF(表1_53[[#This Row],[配件1]]&lt;&gt;"",_xlfn.XLOOKUP(表1_53[[#This Row],[配件1]],显卡利益点对照表[型号],显卡利益点对照表[利益点2],"ERROR"),"")</f>
        <v/>
      </c>
      <c r="K93" t="str">
        <f>IF(表1_53[[#This Row],[配件1]]&lt;&gt;"",_xlfn.XLOOKUP(表1_53[[#This Row],[配件1]],显卡利益点对照表[型号],显卡利益点对照表[利益点3],"ERROR"),"")</f>
        <v/>
      </c>
      <c r="L93" t="str">
        <f>IF(表1_53[[#This Row],[配件1]]&lt;&gt;"",_xlfn.XLOOKUP(表1_53[[#This Row],[配件1]],显卡利益点对照表[型号],显卡利益点对照表[算力],"ERROR"),"")</f>
        <v/>
      </c>
      <c r="M93" t="str">
        <f>IF(表1_53[[#This Row],[配件1]]&lt;&gt;"",_xlfn.XLOOKUP(表1_53[[#This Row],[配件1]],显卡利益点对照表[型号],显卡利益点对照表[可显性],"ERROR"),"")</f>
        <v/>
      </c>
      <c r="N9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3" t="str" cm="1">
        <f t="array" ref="Q93">_xlfn.IFS(表1_53[[#This Row],[配件1]]="","",表1_53[[#This Row],[文本丨算力丨算力值]]=0,"",表1_53[[#This Row],[文本丨算力丨算力值]]&lt;&gt;"","算力")</f>
        <v/>
      </c>
    </row>
    <row r="94" spans="2:17" x14ac:dyDescent="0.2">
      <c r="B94" s="22">
        <v>10095556454944</v>
      </c>
      <c r="C94" t="s">
        <v>356</v>
      </c>
      <c r="D94" t="s">
        <v>468</v>
      </c>
      <c r="F94" t="str">
        <f>IF(表1_53[[#This Row],[配件1]]&lt;&gt;"",_xlfn.XLOOKUP(表1_53[[#This Row],[配件1]],显卡利益点对照表[型号],显卡利益点对照表[标题1],"ERROR"),"")</f>
        <v>RTX5070</v>
      </c>
      <c r="G94" t="str">
        <f>IF(表1_53[[#This Row],[配件1]]&lt;&gt;"",_xlfn.XLOOKUP(表1_53[[#This Row],[配件1]],显卡利益点对照表[型号],显卡利益点对照表[标题2],"ERROR"),"")</f>
        <v>12G 风魔</v>
      </c>
      <c r="H9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94" t="str">
        <f>IF(表1_53[[#This Row],[配件1]]&lt;&gt;"",_xlfn.XLOOKUP(表1_53[[#This Row],[配件1]],显卡利益点对照表[型号],显卡利益点对照表[利益点1],"ERROR"),"")</f>
        <v>3D智能启停风扇丨30</v>
      </c>
      <c r="J94" t="str">
        <f>IF(表1_53[[#This Row],[配件1]]&lt;&gt;"",_xlfn.XLOOKUP(表1_53[[#This Row],[配件1]],显卡利益点对照表[型号],显卡利益点对照表[利益点2],"ERROR"),"")</f>
        <v>SFF小尺寸</v>
      </c>
      <c r="K94" t="str">
        <f>IF(表1_53[[#This Row],[配件1]]&lt;&gt;"",_xlfn.XLOOKUP(表1_53[[#This Row],[配件1]],显卡利益点对照表[型号],显卡利益点对照表[利益点3],"ERROR"),"")</f>
        <v>四重高效散热</v>
      </c>
      <c r="L94" t="str">
        <f>IF(表1_53[[#This Row],[配件1]]&lt;&gt;"",_xlfn.XLOOKUP(表1_53[[#This Row],[配件1]],显卡利益点对照表[型号],显卡利益点对照表[算力],"ERROR"),"")</f>
        <v>AI算力988 TOPS</v>
      </c>
      <c r="M94" t="str">
        <f>IF(表1_53[[#This Row],[配件1]]&lt;&gt;"",_xlfn.XLOOKUP(表1_53[[#This Row],[配件1]],显卡利益点对照表[型号],显卡利益点对照表[可显性],"ERROR"),"")</f>
        <v>GV-N5070WF3OC-12GD</v>
      </c>
      <c r="N9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4" t="str" cm="1">
        <f t="array" ref="Q94">_xlfn.IFS(表1_53[[#This Row],[配件1]]="","",表1_53[[#This Row],[文本丨算力丨算力值]]=0,"",表1_53[[#This Row],[文本丨算力丨算力值]]&lt;&gt;"","算力")</f>
        <v>算力</v>
      </c>
    </row>
    <row r="95" spans="2:17" x14ac:dyDescent="0.2">
      <c r="B95" s="22">
        <v>10095556454945</v>
      </c>
      <c r="C95" t="s">
        <v>356</v>
      </c>
      <c r="D95" t="s">
        <v>669</v>
      </c>
      <c r="F95" t="str">
        <f>IF(表1_53[[#This Row],[配件1]]&lt;&gt;"",_xlfn.XLOOKUP(表1_53[[#This Row],[配件1]],显卡利益点对照表[型号],显卡利益点对照表[标题1],"ERROR"),"")</f>
        <v>RTX5070</v>
      </c>
      <c r="G95" t="str">
        <f>IF(表1_53[[#This Row],[配件1]]&lt;&gt;"",_xlfn.XLOOKUP(表1_53[[#This Row],[配件1]],显卡利益点对照表[型号],显卡利益点对照表[标题2],"ERROR"),"")</f>
        <v>12G 风魔</v>
      </c>
      <c r="H9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95" t="str">
        <f>IF(表1_53[[#This Row],[配件1]]&lt;&gt;"",_xlfn.XLOOKUP(表1_53[[#This Row],[配件1]],显卡利益点对照表[型号],显卡利益点对照表[利益点1],"ERROR"),"")</f>
        <v>3D智能启停风扇丨30</v>
      </c>
      <c r="J95" t="str">
        <f>IF(表1_53[[#This Row],[配件1]]&lt;&gt;"",_xlfn.XLOOKUP(表1_53[[#This Row],[配件1]],显卡利益点对照表[型号],显卡利益点对照表[利益点2],"ERROR"),"")</f>
        <v>SFF小尺寸</v>
      </c>
      <c r="K95" t="str">
        <f>IF(表1_53[[#This Row],[配件1]]&lt;&gt;"",_xlfn.XLOOKUP(表1_53[[#This Row],[配件1]],显卡利益点对照表[型号],显卡利益点对照表[利益点3],"ERROR"),"")</f>
        <v>四重高效散热</v>
      </c>
      <c r="L95" t="str">
        <f>IF(表1_53[[#This Row],[配件1]]&lt;&gt;"",_xlfn.XLOOKUP(表1_53[[#This Row],[配件1]],显卡利益点对照表[型号],显卡利益点对照表[算力],"ERROR"),"")</f>
        <v>AI算力988 TOPS</v>
      </c>
      <c r="M95" t="str">
        <f>IF(表1_53[[#This Row],[配件1]]&lt;&gt;"",_xlfn.XLOOKUP(表1_53[[#This Row],[配件1]],显卡利益点对照表[型号],显卡利益点对照表[可显性],"ERROR"),"")</f>
        <v>GV-N5070WF3OC-12GD</v>
      </c>
      <c r="N9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9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5" t="str" cm="1">
        <f t="array" ref="Q95">_xlfn.IFS(表1_53[[#This Row],[配件1]]="","",表1_53[[#This Row],[文本丨算力丨算力值]]=0,"",表1_53[[#This Row],[文本丨算力丨算力值]]&lt;&gt;"","算力")</f>
        <v>算力</v>
      </c>
    </row>
    <row r="96" spans="2:17" x14ac:dyDescent="0.2">
      <c r="B96" s="22">
        <v>10095556454946</v>
      </c>
      <c r="C96" t="s">
        <v>57</v>
      </c>
      <c r="D96" t="s">
        <v>468</v>
      </c>
      <c r="F96" t="str">
        <f>IF(表1_53[[#This Row],[配件1]]&lt;&gt;"",_xlfn.XLOOKUP(表1_53[[#This Row],[配件1]],显卡利益点对照表[型号],显卡利益点对照表[标题1],"ERROR"),"")</f>
        <v>RTX5070</v>
      </c>
      <c r="G96" t="str">
        <f>IF(表1_53[[#This Row],[配件1]]&lt;&gt;"",_xlfn.XLOOKUP(表1_53[[#This Row],[配件1]],显卡利益点对照表[型号],显卡利益点对照表[标题2],"ERROR"),"")</f>
        <v>12G 猎鹰</v>
      </c>
      <c r="H9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96" t="str">
        <f>IF(表1_53[[#This Row],[配件1]]&lt;&gt;"",_xlfn.XLOOKUP(表1_53[[#This Row],[配件1]],显卡利益点对照表[型号],显卡利益点对照表[利益点1],"ERROR"),"")</f>
        <v>3D智能启停风扇丨30</v>
      </c>
      <c r="J96" t="str">
        <f>IF(表1_53[[#This Row],[配件1]]&lt;&gt;"",_xlfn.XLOOKUP(表1_53[[#This Row],[配件1]],显卡利益点对照表[型号],显卡利益点对照表[利益点2],"ERROR"),"")</f>
        <v>SFF小尺寸</v>
      </c>
      <c r="K96" t="str">
        <f>IF(表1_53[[#This Row],[配件1]]&lt;&gt;"",_xlfn.XLOOKUP(表1_53[[#This Row],[配件1]],显卡利益点对照表[型号],显卡利益点对照表[利益点3],"ERROR"),"")</f>
        <v>四重高效散热</v>
      </c>
      <c r="L96" t="str">
        <f>IF(表1_53[[#This Row],[配件1]]&lt;&gt;"",_xlfn.XLOOKUP(表1_53[[#This Row],[配件1]],显卡利益点对照表[型号],显卡利益点对照表[算力],"ERROR"),"")</f>
        <v>AI算力988 TOPS</v>
      </c>
      <c r="M96" t="str">
        <f>IF(表1_53[[#This Row],[配件1]]&lt;&gt;"",_xlfn.XLOOKUP(表1_53[[#This Row],[配件1]],显卡利益点对照表[型号],显卡利益点对照表[可显性],"ERROR"),"")</f>
        <v>GV-N5070EAGLE OC-12GD</v>
      </c>
      <c r="N9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6" t="str" cm="1">
        <f t="array" ref="Q96">_xlfn.IFS(表1_53[[#This Row],[配件1]]="","",表1_53[[#This Row],[文本丨算力丨算力值]]=0,"",表1_53[[#This Row],[文本丨算力丨算力值]]&lt;&gt;"","算力")</f>
        <v>算力</v>
      </c>
    </row>
    <row r="97" spans="2:17" x14ac:dyDescent="0.2">
      <c r="B97" s="22">
        <v>10095556454947</v>
      </c>
      <c r="C97" t="s">
        <v>57</v>
      </c>
      <c r="D97" t="s">
        <v>669</v>
      </c>
      <c r="F97" t="str">
        <f>IF(表1_53[[#This Row],[配件1]]&lt;&gt;"",_xlfn.XLOOKUP(表1_53[[#This Row],[配件1]],显卡利益点对照表[型号],显卡利益点对照表[标题1],"ERROR"),"")</f>
        <v>RTX5070</v>
      </c>
      <c r="G97" t="str">
        <f>IF(表1_53[[#This Row],[配件1]]&lt;&gt;"",_xlfn.XLOOKUP(表1_53[[#This Row],[配件1]],显卡利益点对照表[型号],显卡利益点对照表[标题2],"ERROR"),"")</f>
        <v>12G 猎鹰</v>
      </c>
      <c r="H9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97" t="str">
        <f>IF(表1_53[[#This Row],[配件1]]&lt;&gt;"",_xlfn.XLOOKUP(表1_53[[#This Row],[配件1]],显卡利益点对照表[型号],显卡利益点对照表[利益点1],"ERROR"),"")</f>
        <v>3D智能启停风扇丨30</v>
      </c>
      <c r="J97" t="str">
        <f>IF(表1_53[[#This Row],[配件1]]&lt;&gt;"",_xlfn.XLOOKUP(表1_53[[#This Row],[配件1]],显卡利益点对照表[型号],显卡利益点对照表[利益点2],"ERROR"),"")</f>
        <v>SFF小尺寸</v>
      </c>
      <c r="K97" t="str">
        <f>IF(表1_53[[#This Row],[配件1]]&lt;&gt;"",_xlfn.XLOOKUP(表1_53[[#This Row],[配件1]],显卡利益点对照表[型号],显卡利益点对照表[利益点3],"ERROR"),"")</f>
        <v>四重高效散热</v>
      </c>
      <c r="L97" t="str">
        <f>IF(表1_53[[#This Row],[配件1]]&lt;&gt;"",_xlfn.XLOOKUP(表1_53[[#This Row],[配件1]],显卡利益点对照表[型号],显卡利益点对照表[算力],"ERROR"),"")</f>
        <v>AI算力988 TOPS</v>
      </c>
      <c r="M97" t="str">
        <f>IF(表1_53[[#This Row],[配件1]]&lt;&gt;"",_xlfn.XLOOKUP(表1_53[[#This Row],[配件1]],显卡利益点对照表[型号],显卡利益点对照表[可显性],"ERROR"),"")</f>
        <v>GV-N5070EAGLE OC-12GD</v>
      </c>
      <c r="N9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9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7" t="str" cm="1">
        <f t="array" ref="Q97">_xlfn.IFS(表1_53[[#This Row],[配件1]]="","",表1_53[[#This Row],[文本丨算力丨算力值]]=0,"",表1_53[[#This Row],[文本丨算力丨算力值]]&lt;&gt;"","算力")</f>
        <v>算力</v>
      </c>
    </row>
    <row r="98" spans="2:17" x14ac:dyDescent="0.2">
      <c r="B98" s="22">
        <v>10113469917672</v>
      </c>
      <c r="C98" t="s">
        <v>60</v>
      </c>
      <c r="D98" t="s">
        <v>468</v>
      </c>
      <c r="F98" t="str">
        <f>IF(表1_53[[#This Row],[配件1]]&lt;&gt;"",_xlfn.XLOOKUP(表1_53[[#This Row],[配件1]],显卡利益点对照表[型号],显卡利益点对照表[标题1],"ERROR"),"")</f>
        <v>RTX5070</v>
      </c>
      <c r="G98" t="str">
        <f>IF(表1_53[[#This Row],[配件1]]&lt;&gt;"",_xlfn.XLOOKUP(表1_53[[#This Row],[配件1]],显卡利益点对照表[型号],显卡利益点对照表[标题2],"ERROR"),"")</f>
        <v>12G 冰猎鹰</v>
      </c>
      <c r="H9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98" t="str">
        <f>IF(表1_53[[#This Row],[配件1]]&lt;&gt;"",_xlfn.XLOOKUP(表1_53[[#This Row],[配件1]],显卡利益点对照表[型号],显卡利益点对照表[利益点1],"ERROR"),"")</f>
        <v>3D智能启停风扇丨30</v>
      </c>
      <c r="J98" t="str">
        <f>IF(表1_53[[#This Row],[配件1]]&lt;&gt;"",_xlfn.XLOOKUP(表1_53[[#This Row],[配件1]],显卡利益点对照表[型号],显卡利益点对照表[利益点2],"ERROR"),"")</f>
        <v>SFF小尺寸</v>
      </c>
      <c r="K98" t="str">
        <f>IF(表1_53[[#This Row],[配件1]]&lt;&gt;"",_xlfn.XLOOKUP(表1_53[[#This Row],[配件1]],显卡利益点对照表[型号],显卡利益点对照表[利益点3],"ERROR"),"")</f>
        <v>四重高效散热</v>
      </c>
      <c r="L98" t="str">
        <f>IF(表1_53[[#This Row],[配件1]]&lt;&gt;"",_xlfn.XLOOKUP(表1_53[[#This Row],[配件1]],显卡利益点对照表[型号],显卡利益点对照表[算力],"ERROR"),"")</f>
        <v>AI算力988 TOPS</v>
      </c>
      <c r="M98" t="str">
        <f>IF(表1_53[[#This Row],[配件1]]&lt;&gt;"",_xlfn.XLOOKUP(表1_53[[#This Row],[配件1]],显卡利益点对照表[型号],显卡利益点对照表[可显性],"ERROR"),"")</f>
        <v>GV-N5070EAGLEOC ICE-12GD</v>
      </c>
      <c r="N9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8" t="str" cm="1">
        <f t="array" ref="Q98">_xlfn.IFS(表1_53[[#This Row],[配件1]]="","",表1_53[[#This Row],[文本丨算力丨算力值]]=0,"",表1_53[[#This Row],[文本丨算力丨算力值]]&lt;&gt;"","算力")</f>
        <v>算力</v>
      </c>
    </row>
    <row r="99" spans="2:17" x14ac:dyDescent="0.2">
      <c r="B99" s="22">
        <v>10096423837393</v>
      </c>
      <c r="C99" t="s">
        <v>60</v>
      </c>
      <c r="D99" t="s">
        <v>670</v>
      </c>
      <c r="F99" t="str">
        <f>IF(表1_53[[#This Row],[配件1]]&lt;&gt;"",_xlfn.XLOOKUP(表1_53[[#This Row],[配件1]],显卡利益点对照表[型号],显卡利益点对照表[标题1],"ERROR"),"")</f>
        <v>RTX5070</v>
      </c>
      <c r="G99" t="str">
        <f>IF(表1_53[[#This Row],[配件1]]&lt;&gt;"",_xlfn.XLOOKUP(表1_53[[#This Row],[配件1]],显卡利益点对照表[型号],显卡利益点对照表[标题2],"ERROR"),"")</f>
        <v>12G 冰猎鹰</v>
      </c>
      <c r="H9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99" t="str">
        <f>IF(表1_53[[#This Row],[配件1]]&lt;&gt;"",_xlfn.XLOOKUP(表1_53[[#This Row],[配件1]],显卡利益点对照表[型号],显卡利益点对照表[利益点1],"ERROR"),"")</f>
        <v>3D智能启停风扇丨30</v>
      </c>
      <c r="J99" t="str">
        <f>IF(表1_53[[#This Row],[配件1]]&lt;&gt;"",_xlfn.XLOOKUP(表1_53[[#This Row],[配件1]],显卡利益点对照表[型号],显卡利益点对照表[利益点2],"ERROR"),"")</f>
        <v>SFF小尺寸</v>
      </c>
      <c r="K99" t="str">
        <f>IF(表1_53[[#This Row],[配件1]]&lt;&gt;"",_xlfn.XLOOKUP(表1_53[[#This Row],[配件1]],显卡利益点对照表[型号],显卡利益点对照表[利益点3],"ERROR"),"")</f>
        <v>四重高效散热</v>
      </c>
      <c r="L99" t="str">
        <f>IF(表1_53[[#This Row],[配件1]]&lt;&gt;"",_xlfn.XLOOKUP(表1_53[[#This Row],[配件1]],显卡利益点对照表[型号],显卡利益点对照表[算力],"ERROR"),"")</f>
        <v>AI算力988 TOPS</v>
      </c>
      <c r="M99" t="str">
        <f>IF(表1_53[[#This Row],[配件1]]&lt;&gt;"",_xlfn.XLOOKUP(表1_53[[#This Row],[配件1]],显卡利益点对照表[型号],显卡利益点对照表[可显性],"ERROR"),"")</f>
        <v>GV-N5070EAGLEOC ICE-12GD</v>
      </c>
      <c r="N9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XPG 魔核IISE 750G白</v>
      </c>
      <c r="O9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9" t="str" cm="1">
        <f t="array" ref="Q99">_xlfn.IFS(表1_53[[#This Row],[配件1]]="","",表1_53[[#This Row],[文本丨算力丨算力值]]=0,"",表1_53[[#This Row],[文本丨算力丨算力值]]&lt;&gt;"","算力")</f>
        <v>算力</v>
      </c>
    </row>
    <row r="100" spans="2:17" x14ac:dyDescent="0.2">
      <c r="B100" s="22">
        <v>10113469917671</v>
      </c>
      <c r="C100" t="s">
        <v>61</v>
      </c>
      <c r="D100" t="s">
        <v>468</v>
      </c>
      <c r="F100" t="str">
        <f>IF(表1_53[[#This Row],[配件1]]&lt;&gt;"",_xlfn.XLOOKUP(表1_53[[#This Row],[配件1]],显卡利益点对照表[型号],显卡利益点对照表[标题1],"ERROR"),"")</f>
        <v>RTX5070</v>
      </c>
      <c r="G100" t="str">
        <f>IF(表1_53[[#This Row],[配件1]]&lt;&gt;"",_xlfn.XLOOKUP(表1_53[[#This Row],[配件1]],显卡利益点对照表[型号],显卡利益点对照表[标题2],"ERROR"),"")</f>
        <v>12G 魔鹰</v>
      </c>
      <c r="H10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100" t="str">
        <f>IF(表1_53[[#This Row],[配件1]]&lt;&gt;"",_xlfn.XLOOKUP(表1_53[[#This Row],[配件1]],显卡利益点对照表[型号],显卡利益点对照表[利益点1],"ERROR"),"")</f>
        <v>注册4年保/个人送保丨25</v>
      </c>
      <c r="J100" t="str">
        <f>IF(表1_53[[#This Row],[配件1]]&lt;&gt;"",_xlfn.XLOOKUP(表1_53[[#This Row],[配件1]],显卡利益点对照表[型号],显卡利益点对照表[利益点2],"ERROR"),"")</f>
        <v>RGB幻彩光轮</v>
      </c>
      <c r="K100" t="str">
        <f>IF(表1_53[[#This Row],[配件1]]&lt;&gt;"",_xlfn.XLOOKUP(表1_53[[#This Row],[配件1]],显卡利益点对照表[型号],显卡利益点对照表[利益点3],"ERROR"),"")</f>
        <v>四重高效散热</v>
      </c>
      <c r="L100" t="str">
        <f>IF(表1_53[[#This Row],[配件1]]&lt;&gt;"",_xlfn.XLOOKUP(表1_53[[#This Row],[配件1]],显卡利益点对照表[型号],显卡利益点对照表[算力],"ERROR"),"")</f>
        <v>AI算力988 TOPS</v>
      </c>
      <c r="M100" t="str">
        <f>IF(表1_53[[#This Row],[配件1]]&lt;&gt;"",_xlfn.XLOOKUP(表1_53[[#This Row],[配件1]],显卡利益点对照表[型号],显卡利益点对照表[可显性],"ERROR"),"")</f>
        <v>GV-N5070GAMING OC-12GD</v>
      </c>
      <c r="N10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0" t="str" cm="1">
        <f t="array" ref="Q100">_xlfn.IFS(表1_53[[#This Row],[配件1]]="","",表1_53[[#This Row],[文本丨算力丨算力值]]=0,"",表1_53[[#This Row],[文本丨算力丨算力值]]&lt;&gt;"","算力")</f>
        <v>算力</v>
      </c>
    </row>
    <row r="101" spans="2:17" x14ac:dyDescent="0.2">
      <c r="B101" s="22">
        <v>10072886192154</v>
      </c>
      <c r="C101" t="s">
        <v>61</v>
      </c>
      <c r="D101" t="s">
        <v>669</v>
      </c>
      <c r="F101" t="str">
        <f>IF(表1_53[[#This Row],[配件1]]&lt;&gt;"",_xlfn.XLOOKUP(表1_53[[#This Row],[配件1]],显卡利益点对照表[型号],显卡利益点对照表[标题1],"ERROR"),"")</f>
        <v>RTX5070</v>
      </c>
      <c r="G101" t="str">
        <f>IF(表1_53[[#This Row],[配件1]]&lt;&gt;"",_xlfn.XLOOKUP(表1_53[[#This Row],[配件1]],显卡利益点对照表[型号],显卡利益点对照表[标题2],"ERROR"),"")</f>
        <v>12G 魔鹰</v>
      </c>
      <c r="H10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01" t="str">
        <f>IF(表1_53[[#This Row],[配件1]]&lt;&gt;"",_xlfn.XLOOKUP(表1_53[[#This Row],[配件1]],显卡利益点对照表[型号],显卡利益点对照表[利益点1],"ERROR"),"")</f>
        <v>注册4年保/个人送保丨25</v>
      </c>
      <c r="J101" t="str">
        <f>IF(表1_53[[#This Row],[配件1]]&lt;&gt;"",_xlfn.XLOOKUP(表1_53[[#This Row],[配件1]],显卡利益点对照表[型号],显卡利益点对照表[利益点2],"ERROR"),"")</f>
        <v>RGB幻彩光轮</v>
      </c>
      <c r="K101" t="str">
        <f>IF(表1_53[[#This Row],[配件1]]&lt;&gt;"",_xlfn.XLOOKUP(表1_53[[#This Row],[配件1]],显卡利益点对照表[型号],显卡利益点对照表[利益点3],"ERROR"),"")</f>
        <v>四重高效散热</v>
      </c>
      <c r="L101" t="str">
        <f>IF(表1_53[[#This Row],[配件1]]&lt;&gt;"",_xlfn.XLOOKUP(表1_53[[#This Row],[配件1]],显卡利益点对照表[型号],显卡利益点对照表[算力],"ERROR"),"")</f>
        <v>AI算力988 TOPS</v>
      </c>
      <c r="M101" t="str">
        <f>IF(表1_53[[#This Row],[配件1]]&lt;&gt;"",_xlfn.XLOOKUP(表1_53[[#This Row],[配件1]],显卡利益点对照表[型号],显卡利益点对照表[可显性],"ERROR"),"")</f>
        <v>GV-N5070GAMING OC-12GD</v>
      </c>
      <c r="N10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0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1" t="str" cm="1">
        <f t="array" ref="Q101">_xlfn.IFS(表1_53[[#This Row],[配件1]]="","",表1_53[[#This Row],[文本丨算力丨算力值]]=0,"",表1_53[[#This Row],[文本丨算力丨算力值]]&lt;&gt;"","算力")</f>
        <v>算力</v>
      </c>
    </row>
    <row r="102" spans="2:17" x14ac:dyDescent="0.2">
      <c r="B102" s="22">
        <v>10095556454948</v>
      </c>
      <c r="C102" t="s">
        <v>66</v>
      </c>
      <c r="D102" t="s">
        <v>468</v>
      </c>
      <c r="F102" t="str">
        <f>IF(表1_53[[#This Row],[配件1]]&lt;&gt;"",_xlfn.XLOOKUP(表1_53[[#This Row],[配件1]],显卡利益点对照表[型号],显卡利益点对照表[标题1],"ERROR"),"")</f>
        <v>RTX5070</v>
      </c>
      <c r="G102" t="str">
        <f>IF(表1_53[[#This Row],[配件1]]&lt;&gt;"",_xlfn.XLOOKUP(表1_53[[#This Row],[配件1]],显卡利益点对照表[型号],显卡利益点对照表[标题2],"ERROR"),"")</f>
        <v>12G 雪鹰</v>
      </c>
      <c r="H10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102" t="str">
        <f>IF(表1_53[[#This Row],[配件1]]&lt;&gt;"",_xlfn.XLOOKUP(表1_53[[#This Row],[配件1]],显卡利益点对照表[型号],显卡利益点对照表[利益点1],"ERROR"),"")</f>
        <v>注册4年保/个人送保丨25</v>
      </c>
      <c r="J102" t="str">
        <f>IF(表1_53[[#This Row],[配件1]]&lt;&gt;"",_xlfn.XLOOKUP(表1_53[[#This Row],[配件1]],显卡利益点对照表[型号],显卡利益点对照表[利益点2],"ERROR"),"")</f>
        <v>纯白雪装限定</v>
      </c>
      <c r="K102" t="str">
        <f>IF(表1_53[[#This Row],[配件1]]&lt;&gt;"",_xlfn.XLOOKUP(表1_53[[#This Row],[配件1]],显卡利益点对照表[型号],显卡利益点对照表[利益点3],"ERROR"),"")</f>
        <v>四重高效散热</v>
      </c>
      <c r="L102" t="str">
        <f>IF(表1_53[[#This Row],[配件1]]&lt;&gt;"",_xlfn.XLOOKUP(表1_53[[#This Row],[配件1]],显卡利益点对照表[型号],显卡利益点对照表[算力],"ERROR"),"")</f>
        <v>AI算力988 TOPS</v>
      </c>
      <c r="M102" t="str">
        <f>IF(表1_53[[#This Row],[配件1]]&lt;&gt;"",_xlfn.XLOOKUP(表1_53[[#This Row],[配件1]],显卡利益点对照表[型号],显卡利益点对照表[可显性],"ERROR"),"")</f>
        <v>GV-N5070AERO OC-12GD</v>
      </c>
      <c r="N10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2" t="str" cm="1">
        <f t="array" ref="Q102">_xlfn.IFS(表1_53[[#This Row],[配件1]]="","",表1_53[[#This Row],[文本丨算力丨算力值]]=0,"",表1_53[[#This Row],[文本丨算力丨算力值]]&lt;&gt;"","算力")</f>
        <v>算力</v>
      </c>
    </row>
    <row r="103" spans="2:17" x14ac:dyDescent="0.2">
      <c r="B103" s="22">
        <v>10095556454949</v>
      </c>
      <c r="C103" t="s">
        <v>66</v>
      </c>
      <c r="D103" t="s">
        <v>670</v>
      </c>
      <c r="F103" t="str">
        <f>IF(表1_53[[#This Row],[配件1]]&lt;&gt;"",_xlfn.XLOOKUP(表1_53[[#This Row],[配件1]],显卡利益点对照表[型号],显卡利益点对照表[标题1],"ERROR"),"")</f>
        <v>RTX5070</v>
      </c>
      <c r="G103" t="str">
        <f>IF(表1_53[[#This Row],[配件1]]&lt;&gt;"",_xlfn.XLOOKUP(表1_53[[#This Row],[配件1]],显卡利益点对照表[型号],显卡利益点对照表[标题2],"ERROR"),"")</f>
        <v>12G 雪鹰</v>
      </c>
      <c r="H10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03" t="str">
        <f>IF(表1_53[[#This Row],[配件1]]&lt;&gt;"",_xlfn.XLOOKUP(表1_53[[#This Row],[配件1]],显卡利益点对照表[型号],显卡利益点对照表[利益点1],"ERROR"),"")</f>
        <v>注册4年保/个人送保丨25</v>
      </c>
      <c r="J103" t="str">
        <f>IF(表1_53[[#This Row],[配件1]]&lt;&gt;"",_xlfn.XLOOKUP(表1_53[[#This Row],[配件1]],显卡利益点对照表[型号],显卡利益点对照表[利益点2],"ERROR"),"")</f>
        <v>纯白雪装限定</v>
      </c>
      <c r="K103" t="str">
        <f>IF(表1_53[[#This Row],[配件1]]&lt;&gt;"",_xlfn.XLOOKUP(表1_53[[#This Row],[配件1]],显卡利益点对照表[型号],显卡利益点对照表[利益点3],"ERROR"),"")</f>
        <v>四重高效散热</v>
      </c>
      <c r="L103" t="str">
        <f>IF(表1_53[[#This Row],[配件1]]&lt;&gt;"",_xlfn.XLOOKUP(表1_53[[#This Row],[配件1]],显卡利益点对照表[型号],显卡利益点对照表[算力],"ERROR"),"")</f>
        <v>AI算力988 TOPS</v>
      </c>
      <c r="M103" t="str">
        <f>IF(表1_53[[#This Row],[配件1]]&lt;&gt;"",_xlfn.XLOOKUP(表1_53[[#This Row],[配件1]],显卡利益点对照表[型号],显卡利益点对照表[可显性],"ERROR"),"")</f>
        <v>GV-N5070AERO OC-12GD</v>
      </c>
      <c r="N10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XPG 魔核IISE 750G白</v>
      </c>
      <c r="O10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3" t="str" cm="1">
        <f t="array" ref="Q103">_xlfn.IFS(表1_53[[#This Row],[配件1]]="","",表1_53[[#This Row],[文本丨算力丨算力值]]=0,"",表1_53[[#This Row],[文本丨算力丨算力值]]&lt;&gt;"","算力")</f>
        <v>算力</v>
      </c>
    </row>
    <row r="104" spans="2:17" x14ac:dyDescent="0.2">
      <c r="B104" s="22">
        <v>10072886192155</v>
      </c>
      <c r="C104" t="s">
        <v>69</v>
      </c>
      <c r="D104" t="s">
        <v>468</v>
      </c>
      <c r="F104" t="str">
        <f>IF(表1_53[[#This Row],[配件1]]&lt;&gt;"",_xlfn.XLOOKUP(表1_53[[#This Row],[配件1]],显卡利益点对照表[型号],显卡利益点对照表[标题1],"ERROR"),"")</f>
        <v>RTX5070</v>
      </c>
      <c r="G104" t="str">
        <f>IF(表1_53[[#This Row],[配件1]]&lt;&gt;"",_xlfn.XLOOKUP(表1_53[[#This Row],[配件1]],显卡利益点对照表[型号],显卡利益点对照表[标题2],"ERROR"),"")</f>
        <v>12G 超级雕</v>
      </c>
      <c r="H10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104" t="str">
        <f>IF(表1_53[[#This Row],[配件1]]&lt;&gt;"",_xlfn.XLOOKUP(表1_53[[#This Row],[配件1]],显卡利益点对照表[型号],显卡利益点对照表[利益点1],"ERROR"),"")</f>
        <v>注册4年保/个人送保丨25</v>
      </c>
      <c r="J104" t="str">
        <f>IF(表1_53[[#This Row],[配件1]]&lt;&gt;"",_xlfn.XLOOKUP(表1_53[[#This Row],[配件1]],显卡利益点对照表[型号],显卡利益点对照表[利益点2],"ERROR"),"")</f>
        <v>LCD 自定义屏幕丨30</v>
      </c>
      <c r="K104" t="str">
        <f>IF(表1_53[[#This Row],[配件1]]&lt;&gt;"",_xlfn.XLOOKUP(表1_53[[#This Row],[配件1]],显卡利益点对照表[型号],显卡利益点对照表[利益点3],"ERROR"),"")</f>
        <v>五重高效散热</v>
      </c>
      <c r="L104" t="str">
        <f>IF(表1_53[[#This Row],[配件1]]&lt;&gt;"",_xlfn.XLOOKUP(表1_53[[#This Row],[配件1]],显卡利益点对照表[型号],显卡利益点对照表[算力],"ERROR"),"")</f>
        <v>AI算力988 TOPS</v>
      </c>
      <c r="M104" t="str">
        <f>IF(表1_53[[#This Row],[配件1]]&lt;&gt;"",_xlfn.XLOOKUP(表1_53[[#This Row],[配件1]],显卡利益点对照表[型号],显卡利益点对照表[可显性],"ERROR"),"")</f>
        <v>GV-N5070AORUS M-12GD</v>
      </c>
      <c r="N10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4" t="str" cm="1">
        <f t="array" ref="Q104">_xlfn.IFS(表1_53[[#This Row],[配件1]]="","",表1_53[[#This Row],[文本丨算力丨算力值]]=0,"",表1_53[[#This Row],[文本丨算力丨算力值]]&lt;&gt;"","算力")</f>
        <v>算力</v>
      </c>
    </row>
    <row r="105" spans="2:17" x14ac:dyDescent="0.2">
      <c r="B105" s="22">
        <v>10072886192156</v>
      </c>
      <c r="C105" t="s">
        <v>69</v>
      </c>
      <c r="D105" t="s">
        <v>669</v>
      </c>
      <c r="F105" t="str">
        <f>IF(表1_53[[#This Row],[配件1]]&lt;&gt;"",_xlfn.XLOOKUP(表1_53[[#This Row],[配件1]],显卡利益点对照表[型号],显卡利益点对照表[标题1],"ERROR"),"")</f>
        <v>RTX5070</v>
      </c>
      <c r="G105" t="str">
        <f>IF(表1_53[[#This Row],[配件1]]&lt;&gt;"",_xlfn.XLOOKUP(表1_53[[#This Row],[配件1]],显卡利益点对照表[型号],显卡利益点对照表[标题2],"ERROR"),"")</f>
        <v>12G 超级雕</v>
      </c>
      <c r="H10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05" t="str">
        <f>IF(表1_53[[#This Row],[配件1]]&lt;&gt;"",_xlfn.XLOOKUP(表1_53[[#This Row],[配件1]],显卡利益点对照表[型号],显卡利益点对照表[利益点1],"ERROR"),"")</f>
        <v>注册4年保/个人送保丨25</v>
      </c>
      <c r="J105" t="str">
        <f>IF(表1_53[[#This Row],[配件1]]&lt;&gt;"",_xlfn.XLOOKUP(表1_53[[#This Row],[配件1]],显卡利益点对照表[型号],显卡利益点对照表[利益点2],"ERROR"),"")</f>
        <v>LCD 自定义屏幕丨30</v>
      </c>
      <c r="K105" t="str">
        <f>IF(表1_53[[#This Row],[配件1]]&lt;&gt;"",_xlfn.XLOOKUP(表1_53[[#This Row],[配件1]],显卡利益点对照表[型号],显卡利益点对照表[利益点3],"ERROR"),"")</f>
        <v>五重高效散热</v>
      </c>
      <c r="L105" t="str">
        <f>IF(表1_53[[#This Row],[配件1]]&lt;&gt;"",_xlfn.XLOOKUP(表1_53[[#This Row],[配件1]],显卡利益点对照表[型号],显卡利益点对照表[算力],"ERROR"),"")</f>
        <v>AI算力988 TOPS</v>
      </c>
      <c r="M105" t="str">
        <f>IF(表1_53[[#This Row],[配件1]]&lt;&gt;"",_xlfn.XLOOKUP(表1_53[[#This Row],[配件1]],显卡利益点对照表[型号],显卡利益点对照表[可显性],"ERROR"),"")</f>
        <v>GV-N5070AORUS M-12GD</v>
      </c>
      <c r="N10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0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5" t="str" cm="1">
        <f t="array" ref="Q105">_xlfn.IFS(表1_53[[#This Row],[配件1]]="","",表1_53[[#This Row],[文本丨算力丨算力值]]=0,"",表1_53[[#This Row],[文本丨算力丨算力值]]&lt;&gt;"","算力")</f>
        <v>算力</v>
      </c>
    </row>
    <row r="106" spans="2:17" x14ac:dyDescent="0.2">
      <c r="F106" t="str">
        <f>IF(表1_53[[#This Row],[配件1]]&lt;&gt;"",_xlfn.XLOOKUP(表1_53[[#This Row],[配件1]],显卡利益点对照表[型号],显卡利益点对照表[标题1],"ERROR"),"")</f>
        <v/>
      </c>
      <c r="G106" t="str">
        <f>IF(表1_53[[#This Row],[配件1]]&lt;&gt;"",_xlfn.XLOOKUP(表1_53[[#This Row],[配件1]],显卡利益点对照表[型号],显卡利益点对照表[标题2],"ERROR"),"")</f>
        <v/>
      </c>
      <c r="H10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6" t="str">
        <f>IF(表1_53[[#This Row],[配件1]]&lt;&gt;"",_xlfn.XLOOKUP(表1_53[[#This Row],[配件1]],显卡利益点对照表[型号],显卡利益点对照表[利益点1],"ERROR"),"")</f>
        <v/>
      </c>
      <c r="J106" t="str">
        <f>IF(表1_53[[#This Row],[配件1]]&lt;&gt;"",_xlfn.XLOOKUP(表1_53[[#This Row],[配件1]],显卡利益点对照表[型号],显卡利益点对照表[利益点2],"ERROR"),"")</f>
        <v/>
      </c>
      <c r="K106" t="str">
        <f>IF(表1_53[[#This Row],[配件1]]&lt;&gt;"",_xlfn.XLOOKUP(表1_53[[#This Row],[配件1]],显卡利益点对照表[型号],显卡利益点对照表[利益点3],"ERROR"),"")</f>
        <v/>
      </c>
      <c r="L106" t="str">
        <f>IF(表1_53[[#This Row],[配件1]]&lt;&gt;"",_xlfn.XLOOKUP(表1_53[[#This Row],[配件1]],显卡利益点对照表[型号],显卡利益点对照表[算力],"ERROR"),"")</f>
        <v/>
      </c>
      <c r="M106" t="str">
        <f>IF(表1_53[[#This Row],[配件1]]&lt;&gt;"",_xlfn.XLOOKUP(表1_53[[#This Row],[配件1]],显卡利益点对照表[型号],显卡利益点对照表[可显性],"ERROR"),"")</f>
        <v/>
      </c>
      <c r="N10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6" t="str" cm="1">
        <f t="array" ref="Q106">_xlfn.IFS(表1_53[[#This Row],[配件1]]="","",表1_53[[#This Row],[文本丨算力丨算力值]]=0,"",表1_53[[#This Row],[文本丨算力丨算力值]]&lt;&gt;"","算力")</f>
        <v/>
      </c>
    </row>
    <row r="107" spans="2:17" x14ac:dyDescent="0.2">
      <c r="B107" s="22" t="s">
        <v>918</v>
      </c>
      <c r="C107" t="s">
        <v>815</v>
      </c>
      <c r="F107" t="str">
        <f>IF(表1_53[[#This Row],[配件1]]&lt;&gt;"",_xlfn.XLOOKUP(表1_53[[#This Row],[配件1]],显卡利益点对照表[型号],显卡利益点对照表[标题1],"ERROR"),"")</f>
        <v>RTX5090D V2</v>
      </c>
      <c r="G107" t="str">
        <f>IF(表1_53[[#This Row],[配件1]]&lt;&gt;"",_xlfn.XLOOKUP(表1_53[[#This Row],[配件1]],显卡利益点对照表[型号],显卡利益点对照表[标题2],"ERROR"),"")</f>
        <v>24G 魔鹰</v>
      </c>
      <c r="H10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</v>
      </c>
      <c r="I107" t="str">
        <f>IF(表1_53[[#This Row],[配件1]]&lt;&gt;"",_xlfn.XLOOKUP(表1_53[[#This Row],[配件1]],显卡利益点对照表[型号],显卡利益点对照表[利益点1],"ERROR"),"")</f>
        <v>注册4年保/个人送保丨25</v>
      </c>
      <c r="J107" t="str">
        <f>IF(表1_53[[#This Row],[配件1]]&lt;&gt;"",_xlfn.XLOOKUP(表1_53[[#This Row],[配件1]],显卡利益点对照表[型号],显卡利益点对照表[利益点2],"ERROR"),"")</f>
        <v>RGB幻彩光轮</v>
      </c>
      <c r="K107" t="str">
        <f>IF(表1_53[[#This Row],[配件1]]&lt;&gt;"",_xlfn.XLOOKUP(表1_53[[#This Row],[配件1]],显卡利益点对照表[型号],显卡利益点对照表[利益点3],"ERROR"),"")</f>
        <v>四重高效散热</v>
      </c>
      <c r="L107" t="str">
        <f>IF(表1_53[[#This Row],[配件1]]&lt;&gt;"",_xlfn.XLOOKUP(表1_53[[#This Row],[配件1]],显卡利益点对照表[型号],显卡利益点对照表[算力],"ERROR"),"")</f>
        <v>AI算力2375 TOPS</v>
      </c>
      <c r="M107" t="str">
        <f>IF(表1_53[[#This Row],[配件1]]&lt;&gt;"",_xlfn.XLOOKUP(表1_53[[#This Row],[配件1]],显卡利益点对照表[型号],显卡利益点对照表[可显性],"ERROR"),"")</f>
        <v>GV-N509DGAMING-24GD</v>
      </c>
      <c r="N10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07" t="s">
        <v>471</v>
      </c>
      <c r="Q107" t="str" cm="1">
        <f t="array" ref="Q107">_xlfn.IFS(表1_53[[#This Row],[配件1]]="","",表1_53[[#This Row],[文本丨算力丨算力值]]=0,"",表1_53[[#This Row],[文本丨算力丨算力值]]&lt;&gt;"","算力")</f>
        <v>算力</v>
      </c>
    </row>
    <row r="108" spans="2:17" x14ac:dyDescent="0.2">
      <c r="B108" s="22" t="s">
        <v>919</v>
      </c>
      <c r="C108" t="s">
        <v>816</v>
      </c>
      <c r="F108" t="str">
        <f>IF(表1_53[[#This Row],[配件1]]&lt;&gt;"",_xlfn.XLOOKUP(表1_53[[#This Row],[配件1]],显卡利益点对照表[型号],显卡利益点对照表[标题1],"ERROR"),"")</f>
        <v>RTX5090D V2</v>
      </c>
      <c r="G108" t="str">
        <f>IF(表1_53[[#This Row],[配件1]]&lt;&gt;"",_xlfn.XLOOKUP(表1_53[[#This Row],[配件1]],显卡利益点对照表[型号],显卡利益点对照表[标题2],"ERROR"),"")</f>
        <v>24G 魔鹰OC</v>
      </c>
      <c r="H10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108" t="str">
        <f>IF(表1_53[[#This Row],[配件1]]&lt;&gt;"",_xlfn.XLOOKUP(表1_53[[#This Row],[配件1]],显卡利益点对照表[型号],显卡利益点对照表[利益点1],"ERROR"),"")</f>
        <v>注册4年保/个人送保丨25</v>
      </c>
      <c r="J108" t="str">
        <f>IF(表1_53[[#This Row],[配件1]]&lt;&gt;"",_xlfn.XLOOKUP(表1_53[[#This Row],[配件1]],显卡利益点对照表[型号],显卡利益点对照表[利益点2],"ERROR"),"")</f>
        <v>RGB幻彩光轮</v>
      </c>
      <c r="K108" t="str">
        <f>IF(表1_53[[#This Row],[配件1]]&lt;&gt;"",_xlfn.XLOOKUP(表1_53[[#This Row],[配件1]],显卡利益点对照表[型号],显卡利益点对照表[利益点3],"ERROR"),"")</f>
        <v>四重高效散热</v>
      </c>
      <c r="L108" t="str">
        <f>IF(表1_53[[#This Row],[配件1]]&lt;&gt;"",_xlfn.XLOOKUP(表1_53[[#This Row],[配件1]],显卡利益点对照表[型号],显卡利益点对照表[算力],"ERROR"),"")</f>
        <v>AI算力2375 TOPS</v>
      </c>
      <c r="M108" t="str">
        <f>IF(表1_53[[#This Row],[配件1]]&lt;&gt;"",_xlfn.XLOOKUP(表1_53[[#This Row],[配件1]],显卡利益点对照表[型号],显卡利益点对照表[可显性],"ERROR"),"")</f>
        <v>GV-N509DGAMING OC-24GD</v>
      </c>
      <c r="N10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08" t="s">
        <v>471</v>
      </c>
      <c r="Q108" t="str" cm="1">
        <f t="array" ref="Q108">_xlfn.IFS(表1_53[[#This Row],[配件1]]="","",表1_53[[#This Row],[文本丨算力丨算力值]]=0,"",表1_53[[#This Row],[文本丨算力丨算力值]]&lt;&gt;"","算力")</f>
        <v>算力</v>
      </c>
    </row>
    <row r="109" spans="2:17" x14ac:dyDescent="0.2">
      <c r="B109" s="22" t="s">
        <v>920</v>
      </c>
      <c r="C109" t="s">
        <v>817</v>
      </c>
      <c r="F109" t="str">
        <f>IF(表1_53[[#This Row],[配件1]]&lt;&gt;"",_xlfn.XLOOKUP(表1_53[[#This Row],[配件1]],显卡利益点对照表[型号],显卡利益点对照表[标题1],"ERROR"),"")</f>
        <v>RTX5090D V2</v>
      </c>
      <c r="G109" t="str">
        <f>IF(表1_53[[#This Row],[配件1]]&lt;&gt;"",_xlfn.XLOOKUP(表1_53[[#This Row],[配件1]],显卡利益点对照表[型号],显卡利益点对照表[标题2],"ERROR"),"")</f>
        <v>24G 超级雕</v>
      </c>
      <c r="H10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109" t="str">
        <f>IF(表1_53[[#This Row],[配件1]]&lt;&gt;"",_xlfn.XLOOKUP(表1_53[[#This Row],[配件1]],显卡利益点对照表[型号],显卡利益点对照表[利益点1],"ERROR"),"")</f>
        <v>注册4年保/个人送保丨25</v>
      </c>
      <c r="J109" t="str">
        <f>IF(表1_53[[#This Row],[配件1]]&lt;&gt;"",_xlfn.XLOOKUP(表1_53[[#This Row],[配件1]],显卡利益点对照表[型号],显卡利益点对照表[利益点2],"ERROR"),"")</f>
        <v>LCD自定义屏幕丨30</v>
      </c>
      <c r="K109" t="str">
        <f>IF(表1_53[[#This Row],[配件1]]&lt;&gt;"",_xlfn.XLOOKUP(表1_53[[#This Row],[配件1]],显卡利益点对照表[型号],显卡利益点对照表[利益点3],"ERROR"),"")</f>
        <v>五重高效散热</v>
      </c>
      <c r="L109" t="str">
        <f>IF(表1_53[[#This Row],[配件1]]&lt;&gt;"",_xlfn.XLOOKUP(表1_53[[#This Row],[配件1]],显卡利益点对照表[型号],显卡利益点对照表[算力],"ERROR"),"")</f>
        <v>AI算力2375 TOPS</v>
      </c>
      <c r="M109" t="str">
        <f>IF(表1_53[[#This Row],[配件1]]&lt;&gt;"",_xlfn.XLOOKUP(表1_53[[#This Row],[配件1]],显卡利益点对照表[型号],显卡利益点对照表[可显性],"ERROR"),"")</f>
        <v>GV-N509DAORUS M-24GD</v>
      </c>
      <c r="N10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09" t="s">
        <v>471</v>
      </c>
      <c r="Q109" t="str" cm="1">
        <f t="array" ref="Q109">_xlfn.IFS(表1_53[[#This Row],[配件1]]="","",表1_53[[#This Row],[文本丨算力丨算力值]]=0,"",表1_53[[#This Row],[文本丨算力丨算力值]]&lt;&gt;"","算力")</f>
        <v>算力</v>
      </c>
    </row>
    <row r="110" spans="2:17" x14ac:dyDescent="0.2">
      <c r="B110" s="22" t="s">
        <v>921</v>
      </c>
      <c r="C110" t="s">
        <v>818</v>
      </c>
      <c r="F110" t="str">
        <f>IF(表1_53[[#This Row],[配件1]]&lt;&gt;"",_xlfn.XLOOKUP(表1_53[[#This Row],[配件1]],显卡利益点对照表[型号],显卡利益点对照表[标题1],"ERROR"),"")</f>
        <v>RTX5090D V2</v>
      </c>
      <c r="G110" t="str">
        <f>IF(表1_53[[#This Row],[配件1]]&lt;&gt;"",_xlfn.XLOOKUP(表1_53[[#This Row],[配件1]],显卡利益点对照表[型号],显卡利益点对照表[标题2],"ERROR"),"")</f>
        <v>24G 超级雕白</v>
      </c>
      <c r="H11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ICE</v>
      </c>
      <c r="I110" t="str">
        <f>IF(表1_53[[#This Row],[配件1]]&lt;&gt;"",_xlfn.XLOOKUP(表1_53[[#This Row],[配件1]],显卡利益点对照表[型号],显卡利益点对照表[利益点1],"ERROR"),"")</f>
        <v>注册4年保/个人送保丨25</v>
      </c>
      <c r="J110" t="str">
        <f>IF(表1_53[[#This Row],[配件1]]&lt;&gt;"",_xlfn.XLOOKUP(表1_53[[#This Row],[配件1]],显卡利益点对照表[型号],显卡利益点对照表[利益点2],"ERROR"),"")</f>
        <v>LCD自定义屏幕丨30</v>
      </c>
      <c r="K110" t="str">
        <f>IF(表1_53[[#This Row],[配件1]]&lt;&gt;"",_xlfn.XLOOKUP(表1_53[[#This Row],[配件1]],显卡利益点对照表[型号],显卡利益点对照表[利益点3],"ERROR"),"")</f>
        <v>五重高效散热</v>
      </c>
      <c r="L110" t="str">
        <f>IF(表1_53[[#This Row],[配件1]]&lt;&gt;"",_xlfn.XLOOKUP(表1_53[[#This Row],[配件1]],显卡利益点对照表[型号],显卡利益点对照表[算力],"ERROR"),"")</f>
        <v>AI算力2375 TOPS</v>
      </c>
      <c r="M110" t="str">
        <f>IF(表1_53[[#This Row],[配件1]]&lt;&gt;"",_xlfn.XLOOKUP(表1_53[[#This Row],[配件1]],显卡利益点对照表[型号],显卡利益点对照表[可显性],"ERROR"),"")</f>
        <v>GV-N509DAORUSM ICE-24GD</v>
      </c>
      <c r="N11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0" t="s">
        <v>471</v>
      </c>
      <c r="Q110" t="str" cm="1">
        <f t="array" ref="Q110">_xlfn.IFS(表1_53[[#This Row],[配件1]]="","",表1_53[[#This Row],[文本丨算力丨算力值]]=0,"",表1_53[[#This Row],[文本丨算力丨算力值]]&lt;&gt;"","算力")</f>
        <v>算力</v>
      </c>
    </row>
    <row r="111" spans="2:17" x14ac:dyDescent="0.2">
      <c r="F111" t="str">
        <f>IF(表1_53[[#This Row],[配件1]]&lt;&gt;"",_xlfn.XLOOKUP(表1_53[[#This Row],[配件1]],显卡利益点对照表[型号],显卡利益点对照表[标题1],"ERROR"),"")</f>
        <v/>
      </c>
      <c r="G111" t="str">
        <f>IF(表1_53[[#This Row],[配件1]]&lt;&gt;"",_xlfn.XLOOKUP(表1_53[[#This Row],[配件1]],显卡利益点对照表[型号],显卡利益点对照表[标题2],"ERROR"),"")</f>
        <v/>
      </c>
      <c r="H1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1" t="str">
        <f>IF(表1_53[[#This Row],[配件1]]&lt;&gt;"",_xlfn.XLOOKUP(表1_53[[#This Row],[配件1]],显卡利益点对照表[型号],显卡利益点对照表[利益点1],"ERROR"),"")</f>
        <v/>
      </c>
      <c r="J111" t="str">
        <f>IF(表1_53[[#This Row],[配件1]]&lt;&gt;"",_xlfn.XLOOKUP(表1_53[[#This Row],[配件1]],显卡利益点对照表[型号],显卡利益点对照表[利益点2],"ERROR"),"")</f>
        <v/>
      </c>
      <c r="K111" t="str">
        <f>IF(表1_53[[#This Row],[配件1]]&lt;&gt;"",_xlfn.XLOOKUP(表1_53[[#This Row],[配件1]],显卡利益点对照表[型号],显卡利益点对照表[利益点3],"ERROR"),"")</f>
        <v/>
      </c>
      <c r="L111" t="str">
        <f>IF(表1_53[[#This Row],[配件1]]&lt;&gt;"",_xlfn.XLOOKUP(表1_53[[#This Row],[配件1]],显卡利益点对照表[型号],显卡利益点对照表[算力],"ERROR"),"")</f>
        <v/>
      </c>
      <c r="M111" t="str">
        <f>IF(表1_53[[#This Row],[配件1]]&lt;&gt;"",_xlfn.XLOOKUP(表1_53[[#This Row],[配件1]],显卡利益点对照表[型号],显卡利益点对照表[可显性],"ERROR"),"")</f>
        <v/>
      </c>
      <c r="N1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1" t="str" cm="1">
        <f t="array" ref="Q111">_xlfn.IFS(表1_53[[#This Row],[配件1]]="","",表1_53[[#This Row],[文本丨算力丨算力值]]=0,"",表1_53[[#This Row],[文本丨算力丨算力值]]&lt;&gt;"","算力")</f>
        <v/>
      </c>
    </row>
    <row r="112" spans="2:17" x14ac:dyDescent="0.2">
      <c r="F112" t="str">
        <f>IF(表1_53[[#This Row],[配件1]]&lt;&gt;"",_xlfn.XLOOKUP(表1_53[[#This Row],[配件1]],显卡利益点对照表[型号],显卡利益点对照表[标题1],"ERROR"),"")</f>
        <v/>
      </c>
      <c r="G112" t="str">
        <f>IF(表1_53[[#This Row],[配件1]]&lt;&gt;"",_xlfn.XLOOKUP(表1_53[[#This Row],[配件1]],显卡利益点对照表[型号],显卡利益点对照表[标题2],"ERROR"),"")</f>
        <v/>
      </c>
      <c r="H1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2" t="str">
        <f>IF(表1_53[[#This Row],[配件1]]&lt;&gt;"",_xlfn.XLOOKUP(表1_53[[#This Row],[配件1]],显卡利益点对照表[型号],显卡利益点对照表[利益点1],"ERROR"),"")</f>
        <v/>
      </c>
      <c r="J112" t="str">
        <f>IF(表1_53[[#This Row],[配件1]]&lt;&gt;"",_xlfn.XLOOKUP(表1_53[[#This Row],[配件1]],显卡利益点对照表[型号],显卡利益点对照表[利益点2],"ERROR"),"")</f>
        <v/>
      </c>
      <c r="K112" t="str">
        <f>IF(表1_53[[#This Row],[配件1]]&lt;&gt;"",_xlfn.XLOOKUP(表1_53[[#This Row],[配件1]],显卡利益点对照表[型号],显卡利益点对照表[利益点3],"ERROR"),"")</f>
        <v/>
      </c>
      <c r="L112" t="str">
        <f>IF(表1_53[[#This Row],[配件1]]&lt;&gt;"",_xlfn.XLOOKUP(表1_53[[#This Row],[配件1]],显卡利益点对照表[型号],显卡利益点对照表[算力],"ERROR"),"")</f>
        <v/>
      </c>
      <c r="M112" t="str">
        <f>IF(表1_53[[#This Row],[配件1]]&lt;&gt;"",_xlfn.XLOOKUP(表1_53[[#This Row],[配件1]],显卡利益点对照表[型号],显卡利益点对照表[可显性],"ERROR"),"")</f>
        <v/>
      </c>
      <c r="N1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2" t="str" cm="1">
        <f t="array" ref="Q112">_xlfn.IFS(表1_53[[#This Row],[配件1]]="","",表1_53[[#This Row],[文本丨算力丨算力值]]=0,"",表1_53[[#This Row],[文本丨算力丨算力值]]&lt;&gt;"","算力")</f>
        <v/>
      </c>
    </row>
    <row r="113" spans="2:17" x14ac:dyDescent="0.2">
      <c r="F113" t="str">
        <f>IF(表1_53[[#This Row],[配件1]]&lt;&gt;"",_xlfn.XLOOKUP(表1_53[[#This Row],[配件1]],显卡利益点对照表[型号],显卡利益点对照表[标题1],"ERROR"),"")</f>
        <v/>
      </c>
      <c r="G113" t="str">
        <f>IF(表1_53[[#This Row],[配件1]]&lt;&gt;"",_xlfn.XLOOKUP(表1_53[[#This Row],[配件1]],显卡利益点对照表[型号],显卡利益点对照表[标题2],"ERROR"),"")</f>
        <v/>
      </c>
      <c r="H1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3" t="str">
        <f>IF(表1_53[[#This Row],[配件1]]&lt;&gt;"",_xlfn.XLOOKUP(表1_53[[#This Row],[配件1]],显卡利益点对照表[型号],显卡利益点对照表[利益点1],"ERROR"),"")</f>
        <v/>
      </c>
      <c r="J113" t="str">
        <f>IF(表1_53[[#This Row],[配件1]]&lt;&gt;"",_xlfn.XLOOKUP(表1_53[[#This Row],[配件1]],显卡利益点对照表[型号],显卡利益点对照表[利益点2],"ERROR"),"")</f>
        <v/>
      </c>
      <c r="K113" t="str">
        <f>IF(表1_53[[#This Row],[配件1]]&lt;&gt;"",_xlfn.XLOOKUP(表1_53[[#This Row],[配件1]],显卡利益点对照表[型号],显卡利益点对照表[利益点3],"ERROR"),"")</f>
        <v/>
      </c>
      <c r="L113" t="str">
        <f>IF(表1_53[[#This Row],[配件1]]&lt;&gt;"",_xlfn.XLOOKUP(表1_53[[#This Row],[配件1]],显卡利益点对照表[型号],显卡利益点对照表[算力],"ERROR"),"")</f>
        <v/>
      </c>
      <c r="M113" t="str">
        <f>IF(表1_53[[#This Row],[配件1]]&lt;&gt;"",_xlfn.XLOOKUP(表1_53[[#This Row],[配件1]],显卡利益点对照表[型号],显卡利益点对照表[可显性],"ERROR"),"")</f>
        <v/>
      </c>
      <c r="N1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3" t="str" cm="1">
        <f t="array" ref="Q113">_xlfn.IFS(表1_53[[#This Row],[配件1]]="","",表1_53[[#This Row],[文本丨算力丨算力值]]=0,"",表1_53[[#This Row],[文本丨算力丨算力值]]&lt;&gt;"","算力")</f>
        <v/>
      </c>
    </row>
    <row r="114" spans="2:17" x14ac:dyDescent="0.2">
      <c r="F114" t="str">
        <f>IF(表1_53[[#This Row],[配件1]]&lt;&gt;"",_xlfn.XLOOKUP(表1_53[[#This Row],[配件1]],显卡利益点对照表[型号],显卡利益点对照表[标题1],"ERROR"),"")</f>
        <v/>
      </c>
      <c r="G114" t="str">
        <f>IF(表1_53[[#This Row],[配件1]]&lt;&gt;"",_xlfn.XLOOKUP(表1_53[[#This Row],[配件1]],显卡利益点对照表[型号],显卡利益点对照表[标题2],"ERROR"),"")</f>
        <v/>
      </c>
      <c r="H1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4" t="str">
        <f>IF(表1_53[[#This Row],[配件1]]&lt;&gt;"",_xlfn.XLOOKUP(表1_53[[#This Row],[配件1]],显卡利益点对照表[型号],显卡利益点对照表[利益点1],"ERROR"),"")</f>
        <v/>
      </c>
      <c r="J114" t="str">
        <f>IF(表1_53[[#This Row],[配件1]]&lt;&gt;"",_xlfn.XLOOKUP(表1_53[[#This Row],[配件1]],显卡利益点对照表[型号],显卡利益点对照表[利益点2],"ERROR"),"")</f>
        <v/>
      </c>
      <c r="K114" t="str">
        <f>IF(表1_53[[#This Row],[配件1]]&lt;&gt;"",_xlfn.XLOOKUP(表1_53[[#This Row],[配件1]],显卡利益点对照表[型号],显卡利益点对照表[利益点3],"ERROR"),"")</f>
        <v/>
      </c>
      <c r="L114" t="str">
        <f>IF(表1_53[[#This Row],[配件1]]&lt;&gt;"",_xlfn.XLOOKUP(表1_53[[#This Row],[配件1]],显卡利益点对照表[型号],显卡利益点对照表[算力],"ERROR"),"")</f>
        <v/>
      </c>
      <c r="M114" t="str">
        <f>IF(表1_53[[#This Row],[配件1]]&lt;&gt;"",_xlfn.XLOOKUP(表1_53[[#This Row],[配件1]],显卡利益点对照表[型号],显卡利益点对照表[可显性],"ERROR"),"")</f>
        <v/>
      </c>
      <c r="N1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4" t="str" cm="1">
        <f t="array" ref="Q114">_xlfn.IFS(表1_53[[#This Row],[配件1]]="","",表1_53[[#This Row],[文本丨算力丨算力值]]=0,"",表1_53[[#This Row],[文本丨算力丨算力值]]&lt;&gt;"","算力")</f>
        <v/>
      </c>
    </row>
    <row r="115" spans="2:17" x14ac:dyDescent="0.2">
      <c r="B115" s="22">
        <v>10128164159539</v>
      </c>
      <c r="C115" t="s">
        <v>57</v>
      </c>
      <c r="F115" t="str">
        <f>IF(表1_53[[#This Row],[配件1]]&lt;&gt;"",_xlfn.XLOOKUP(表1_53[[#This Row],[配件1]],显卡利益点对照表[型号],显卡利益点对照表[标题1],"ERROR"),"")</f>
        <v>RTX5070</v>
      </c>
      <c r="G115" t="str">
        <f>IF(表1_53[[#This Row],[配件1]]&lt;&gt;"",_xlfn.XLOOKUP(表1_53[[#This Row],[配件1]],显卡利益点对照表[型号],显卡利益点对照表[标题2],"ERROR"),"")</f>
        <v>12G 猎鹰</v>
      </c>
      <c r="H1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115" t="str">
        <f>IF(表1_53[[#This Row],[配件1]]&lt;&gt;"",_xlfn.XLOOKUP(表1_53[[#This Row],[配件1]],显卡利益点对照表[型号],显卡利益点对照表[利益点1],"ERROR"),"")</f>
        <v>3D智能启停风扇丨30</v>
      </c>
      <c r="J115" t="str">
        <f>IF(表1_53[[#This Row],[配件1]]&lt;&gt;"",_xlfn.XLOOKUP(表1_53[[#This Row],[配件1]],显卡利益点对照表[型号],显卡利益点对照表[利益点2],"ERROR"),"")</f>
        <v>SFF小尺寸</v>
      </c>
      <c r="K115" t="str">
        <f>IF(表1_53[[#This Row],[配件1]]&lt;&gt;"",_xlfn.XLOOKUP(表1_53[[#This Row],[配件1]],显卡利益点对照表[型号],显卡利益点对照表[利益点3],"ERROR"),"")</f>
        <v>四重高效散热</v>
      </c>
      <c r="L115" t="str">
        <f>IF(表1_53[[#This Row],[配件1]]&lt;&gt;"",_xlfn.XLOOKUP(表1_53[[#This Row],[配件1]],显卡利益点对照表[型号],显卡利益点对照表[算力],"ERROR"),"")</f>
        <v>AI算力988 TOPS</v>
      </c>
      <c r="M115" t="str">
        <f>IF(表1_53[[#This Row],[配件1]]&lt;&gt;"",_xlfn.XLOOKUP(表1_53[[#This Row],[配件1]],显卡利益点对照表[型号],显卡利益点对照表[可显性],"ERROR"),"")</f>
        <v>GV-N5070EAGLE OC-12GD</v>
      </c>
      <c r="N1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5" t="s">
        <v>675</v>
      </c>
      <c r="Q115" t="str" cm="1">
        <f t="array" ref="Q115">_xlfn.IFS(表1_53[[#This Row],[配件1]]="","",表1_53[[#This Row],[文本丨算力丨算力值]]=0,"",表1_53[[#This Row],[文本丨算力丨算力值]]&lt;&gt;"","算力")</f>
        <v>算力</v>
      </c>
    </row>
    <row r="116" spans="2:17" x14ac:dyDescent="0.2">
      <c r="B116" s="22">
        <v>10128164159540</v>
      </c>
      <c r="C116" t="s">
        <v>60</v>
      </c>
      <c r="F116" t="str">
        <f>IF(表1_53[[#This Row],[配件1]]&lt;&gt;"",_xlfn.XLOOKUP(表1_53[[#This Row],[配件1]],显卡利益点对照表[型号],显卡利益点对照表[标题1],"ERROR"),"")</f>
        <v>RTX5070</v>
      </c>
      <c r="G116" t="str">
        <f>IF(表1_53[[#This Row],[配件1]]&lt;&gt;"",_xlfn.XLOOKUP(表1_53[[#This Row],[配件1]],显卡利益点对照表[型号],显卡利益点对照表[标题2],"ERROR"),"")</f>
        <v>12G 冰猎鹰</v>
      </c>
      <c r="H1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116" t="str">
        <f>IF(表1_53[[#This Row],[配件1]]&lt;&gt;"",_xlfn.XLOOKUP(表1_53[[#This Row],[配件1]],显卡利益点对照表[型号],显卡利益点对照表[利益点1],"ERROR"),"")</f>
        <v>3D智能启停风扇丨30</v>
      </c>
      <c r="J116" t="str">
        <f>IF(表1_53[[#This Row],[配件1]]&lt;&gt;"",_xlfn.XLOOKUP(表1_53[[#This Row],[配件1]],显卡利益点对照表[型号],显卡利益点对照表[利益点2],"ERROR"),"")</f>
        <v>SFF小尺寸</v>
      </c>
      <c r="K116" t="str">
        <f>IF(表1_53[[#This Row],[配件1]]&lt;&gt;"",_xlfn.XLOOKUP(表1_53[[#This Row],[配件1]],显卡利益点对照表[型号],显卡利益点对照表[利益点3],"ERROR"),"")</f>
        <v>四重高效散热</v>
      </c>
      <c r="L116" t="str">
        <f>IF(表1_53[[#This Row],[配件1]]&lt;&gt;"",_xlfn.XLOOKUP(表1_53[[#This Row],[配件1]],显卡利益点对照表[型号],显卡利益点对照表[算力],"ERROR"),"")</f>
        <v>AI算力988 TOPS</v>
      </c>
      <c r="M116" t="str">
        <f>IF(表1_53[[#This Row],[配件1]]&lt;&gt;"",_xlfn.XLOOKUP(表1_53[[#This Row],[配件1]],显卡利益点对照表[型号],显卡利益点对照表[可显性],"ERROR"),"")</f>
        <v>GV-N5070EAGLEOC ICE-12GD</v>
      </c>
      <c r="N1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6" t="s">
        <v>675</v>
      </c>
      <c r="Q116" t="str" cm="1">
        <f t="array" ref="Q116">_xlfn.IFS(表1_53[[#This Row],[配件1]]="","",表1_53[[#This Row],[文本丨算力丨算力值]]=0,"",表1_53[[#This Row],[文本丨算力丨算力值]]&lt;&gt;"","算力")</f>
        <v>算力</v>
      </c>
    </row>
    <row r="117" spans="2:17" x14ac:dyDescent="0.2">
      <c r="F117" t="str">
        <f>IF(表1_53[[#This Row],[配件1]]&lt;&gt;"",_xlfn.XLOOKUP(表1_53[[#This Row],[配件1]],显卡利益点对照表[型号],显卡利益点对照表[标题1],"ERROR"),"")</f>
        <v/>
      </c>
      <c r="G117" t="str">
        <f>IF(表1_53[[#This Row],[配件1]]&lt;&gt;"",_xlfn.XLOOKUP(表1_53[[#This Row],[配件1]],显卡利益点对照表[型号],显卡利益点对照表[标题2],"ERROR"),"")</f>
        <v/>
      </c>
      <c r="H1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7" t="str">
        <f>IF(表1_53[[#This Row],[配件1]]&lt;&gt;"",_xlfn.XLOOKUP(表1_53[[#This Row],[配件1]],显卡利益点对照表[型号],显卡利益点对照表[利益点1],"ERROR"),"")</f>
        <v/>
      </c>
      <c r="J117" t="str">
        <f>IF(表1_53[[#This Row],[配件1]]&lt;&gt;"",_xlfn.XLOOKUP(表1_53[[#This Row],[配件1]],显卡利益点对照表[型号],显卡利益点对照表[利益点2],"ERROR"),"")</f>
        <v/>
      </c>
      <c r="K117" t="str">
        <f>IF(表1_53[[#This Row],[配件1]]&lt;&gt;"",_xlfn.XLOOKUP(表1_53[[#This Row],[配件1]],显卡利益点对照表[型号],显卡利益点对照表[利益点3],"ERROR"),"")</f>
        <v/>
      </c>
      <c r="L117" t="str">
        <f>IF(表1_53[[#This Row],[配件1]]&lt;&gt;"",_xlfn.XLOOKUP(表1_53[[#This Row],[配件1]],显卡利益点对照表[型号],显卡利益点对照表[算力],"ERROR"),"")</f>
        <v/>
      </c>
      <c r="M117" t="str">
        <f>IF(表1_53[[#This Row],[配件1]]&lt;&gt;"",_xlfn.XLOOKUP(表1_53[[#This Row],[配件1]],显卡利益点对照表[型号],显卡利益点对照表[可显性],"ERROR"),"")</f>
        <v/>
      </c>
      <c r="N1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7" t="str" cm="1">
        <f t="array" ref="Q117">_xlfn.IFS(表1_53[[#This Row],[配件1]]="","",表1_53[[#This Row],[文本丨算力丨算力值]]=0,"",表1_53[[#This Row],[文本丨算力丨算力值]]&lt;&gt;"","算力")</f>
        <v/>
      </c>
    </row>
    <row r="118" spans="2:17" x14ac:dyDescent="0.2">
      <c r="F118" t="str">
        <f>IF(表1_53[[#This Row],[配件1]]&lt;&gt;"",_xlfn.XLOOKUP(表1_53[[#This Row],[配件1]],显卡利益点对照表[型号],显卡利益点对照表[标题1],"ERROR"),"")</f>
        <v/>
      </c>
      <c r="G118" t="str">
        <f>IF(表1_53[[#This Row],[配件1]]&lt;&gt;"",_xlfn.XLOOKUP(表1_53[[#This Row],[配件1]],显卡利益点对照表[型号],显卡利益点对照表[标题2],"ERROR"),"")</f>
        <v/>
      </c>
      <c r="H1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8" t="str">
        <f>IF(表1_53[[#This Row],[配件1]]&lt;&gt;"",_xlfn.XLOOKUP(表1_53[[#This Row],[配件1]],显卡利益点对照表[型号],显卡利益点对照表[利益点1],"ERROR"),"")</f>
        <v/>
      </c>
      <c r="J118" t="str">
        <f>IF(表1_53[[#This Row],[配件1]]&lt;&gt;"",_xlfn.XLOOKUP(表1_53[[#This Row],[配件1]],显卡利益点对照表[型号],显卡利益点对照表[利益点2],"ERROR"),"")</f>
        <v/>
      </c>
      <c r="K118" t="str">
        <f>IF(表1_53[[#This Row],[配件1]]&lt;&gt;"",_xlfn.XLOOKUP(表1_53[[#This Row],[配件1]],显卡利益点对照表[型号],显卡利益点对照表[利益点3],"ERROR"),"")</f>
        <v/>
      </c>
      <c r="L118" t="str">
        <f>IF(表1_53[[#This Row],[配件1]]&lt;&gt;"",_xlfn.XLOOKUP(表1_53[[#This Row],[配件1]],显卡利益点对照表[型号],显卡利益点对照表[算力],"ERROR"),"")</f>
        <v/>
      </c>
      <c r="M118" t="str">
        <f>IF(表1_53[[#This Row],[配件1]]&lt;&gt;"",_xlfn.XLOOKUP(表1_53[[#This Row],[配件1]],显卡利益点对照表[型号],显卡利益点对照表[可显性],"ERROR"),"")</f>
        <v/>
      </c>
      <c r="N1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8" t="str" cm="1">
        <f t="array" ref="Q118">_xlfn.IFS(表1_53[[#This Row],[配件1]]="","",表1_53[[#This Row],[文本丨算力丨算力值]]=0,"",表1_53[[#This Row],[文本丨算力丨算力值]]&lt;&gt;"","算力")</f>
        <v/>
      </c>
    </row>
    <row r="119" spans="2:17" x14ac:dyDescent="0.2">
      <c r="B119" s="22">
        <v>10128159232362</v>
      </c>
      <c r="C119" t="s">
        <v>57</v>
      </c>
      <c r="F119" t="str">
        <f>IF(表1_53[[#This Row],[配件1]]&lt;&gt;"",_xlfn.XLOOKUP(表1_53[[#This Row],[配件1]],显卡利益点对照表[型号],显卡利益点对照表[标题1],"ERROR"),"")</f>
        <v>RTX5070</v>
      </c>
      <c r="G119" t="str">
        <f>IF(表1_53[[#This Row],[配件1]]&lt;&gt;"",_xlfn.XLOOKUP(表1_53[[#This Row],[配件1]],显卡利益点对照表[型号],显卡利益点对照表[标题2],"ERROR"),"")</f>
        <v>12G 猎鹰</v>
      </c>
      <c r="H1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119" t="str">
        <f>IF(表1_53[[#This Row],[配件1]]&lt;&gt;"",_xlfn.XLOOKUP(表1_53[[#This Row],[配件1]],显卡利益点对照表[型号],显卡利益点对照表[利益点1],"ERROR"),"")</f>
        <v>3D智能启停风扇丨30</v>
      </c>
      <c r="J119" t="str">
        <f>IF(表1_53[[#This Row],[配件1]]&lt;&gt;"",_xlfn.XLOOKUP(表1_53[[#This Row],[配件1]],显卡利益点对照表[型号],显卡利益点对照表[利益点2],"ERROR"),"")</f>
        <v>SFF小尺寸</v>
      </c>
      <c r="K119" t="str">
        <f>IF(表1_53[[#This Row],[配件1]]&lt;&gt;"",_xlfn.XLOOKUP(表1_53[[#This Row],[配件1]],显卡利益点对照表[型号],显卡利益点对照表[利益点3],"ERROR"),"")</f>
        <v>四重高效散热</v>
      </c>
      <c r="L119" t="str">
        <f>IF(表1_53[[#This Row],[配件1]]&lt;&gt;"",_xlfn.XLOOKUP(表1_53[[#This Row],[配件1]],显卡利益点对照表[型号],显卡利益点对照表[算力],"ERROR"),"")</f>
        <v>AI算力988 TOPS</v>
      </c>
      <c r="M119" t="str">
        <f>IF(表1_53[[#This Row],[配件1]]&lt;&gt;"",_xlfn.XLOOKUP(表1_53[[#This Row],[配件1]],显卡利益点对照表[型号],显卡利益点对照表[可显性],"ERROR"),"")</f>
        <v>GV-N5070EAGLE OC-12GD</v>
      </c>
      <c r="N1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9" t="s">
        <v>674</v>
      </c>
      <c r="Q119" t="str" cm="1">
        <f t="array" ref="Q119">_xlfn.IFS(表1_53[[#This Row],[配件1]]="","",表1_53[[#This Row],[文本丨算力丨算力值]]=0,"",表1_53[[#This Row],[文本丨算力丨算力值]]&lt;&gt;"","算力")</f>
        <v>算力</v>
      </c>
    </row>
    <row r="120" spans="2:17" x14ac:dyDescent="0.2">
      <c r="B120" s="22">
        <v>10128159232363</v>
      </c>
      <c r="C120" t="s">
        <v>60</v>
      </c>
      <c r="F120" t="str">
        <f>IF(表1_53[[#This Row],[配件1]]&lt;&gt;"",_xlfn.XLOOKUP(表1_53[[#This Row],[配件1]],显卡利益点对照表[型号],显卡利益点对照表[标题1],"ERROR"),"")</f>
        <v>RTX5070</v>
      </c>
      <c r="G120" t="str">
        <f>IF(表1_53[[#This Row],[配件1]]&lt;&gt;"",_xlfn.XLOOKUP(表1_53[[#This Row],[配件1]],显卡利益点对照表[型号],显卡利益点对照表[标题2],"ERROR"),"")</f>
        <v>12G 冰猎鹰</v>
      </c>
      <c r="H1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120" t="str">
        <f>IF(表1_53[[#This Row],[配件1]]&lt;&gt;"",_xlfn.XLOOKUP(表1_53[[#This Row],[配件1]],显卡利益点对照表[型号],显卡利益点对照表[利益点1],"ERROR"),"")</f>
        <v>3D智能启停风扇丨30</v>
      </c>
      <c r="J120" t="str">
        <f>IF(表1_53[[#This Row],[配件1]]&lt;&gt;"",_xlfn.XLOOKUP(表1_53[[#This Row],[配件1]],显卡利益点对照表[型号],显卡利益点对照表[利益点2],"ERROR"),"")</f>
        <v>SFF小尺寸</v>
      </c>
      <c r="K120" t="str">
        <f>IF(表1_53[[#This Row],[配件1]]&lt;&gt;"",_xlfn.XLOOKUP(表1_53[[#This Row],[配件1]],显卡利益点对照表[型号],显卡利益点对照表[利益点3],"ERROR"),"")</f>
        <v>四重高效散热</v>
      </c>
      <c r="L120" t="str">
        <f>IF(表1_53[[#This Row],[配件1]]&lt;&gt;"",_xlfn.XLOOKUP(表1_53[[#This Row],[配件1]],显卡利益点对照表[型号],显卡利益点对照表[算力],"ERROR"),"")</f>
        <v>AI算力988 TOPS</v>
      </c>
      <c r="M120" t="str">
        <f>IF(表1_53[[#This Row],[配件1]]&lt;&gt;"",_xlfn.XLOOKUP(表1_53[[#This Row],[配件1]],显卡利益点对照表[型号],显卡利益点对照表[可显性],"ERROR"),"")</f>
        <v>GV-N5070EAGLEOC ICE-12GD</v>
      </c>
      <c r="N1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20" t="s">
        <v>674</v>
      </c>
      <c r="Q120" t="str" cm="1">
        <f t="array" ref="Q120">_xlfn.IFS(表1_53[[#This Row],[配件1]]="","",表1_53[[#This Row],[文本丨算力丨算力值]]=0,"",表1_53[[#This Row],[文本丨算力丨算力值]]&lt;&gt;"","算力")</f>
        <v>算力</v>
      </c>
    </row>
    <row r="121" spans="2:17" x14ac:dyDescent="0.2">
      <c r="B121" s="26"/>
      <c r="F121" t="str">
        <f>IF(表1_53[[#This Row],[配件1]]&lt;&gt;"",_xlfn.XLOOKUP(表1_53[[#This Row],[配件1]],显卡利益点对照表[型号],显卡利益点对照表[标题1],"ERROR"),"")</f>
        <v/>
      </c>
      <c r="G121" t="str">
        <f>IF(表1_53[[#This Row],[配件1]]&lt;&gt;"",_xlfn.XLOOKUP(表1_53[[#This Row],[配件1]],显卡利益点对照表[型号],显卡利益点对照表[标题2],"ERROR"),"")</f>
        <v/>
      </c>
      <c r="H1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1" t="str">
        <f>IF(表1_53[[#This Row],[配件1]]&lt;&gt;"",_xlfn.XLOOKUP(表1_53[[#This Row],[配件1]],显卡利益点对照表[型号],显卡利益点对照表[利益点1],"ERROR"),"")</f>
        <v/>
      </c>
      <c r="J121" t="str">
        <f>IF(表1_53[[#This Row],[配件1]]&lt;&gt;"",_xlfn.XLOOKUP(表1_53[[#This Row],[配件1]],显卡利益点对照表[型号],显卡利益点对照表[利益点2],"ERROR"),"")</f>
        <v/>
      </c>
      <c r="K121" t="str">
        <f>IF(表1_53[[#This Row],[配件1]]&lt;&gt;"",_xlfn.XLOOKUP(表1_53[[#This Row],[配件1]],显卡利益点对照表[型号],显卡利益点对照表[利益点3],"ERROR"),"")</f>
        <v/>
      </c>
      <c r="L121" t="str">
        <f>IF(表1_53[[#This Row],[配件1]]&lt;&gt;"",_xlfn.XLOOKUP(表1_53[[#This Row],[配件1]],显卡利益点对照表[型号],显卡利益点对照表[算力],"ERROR"),"")</f>
        <v/>
      </c>
      <c r="M121" t="str">
        <f>IF(表1_53[[#This Row],[配件1]]&lt;&gt;"",_xlfn.XLOOKUP(表1_53[[#This Row],[配件1]],显卡利益点对照表[型号],显卡利益点对照表[可显性],"ERROR"),"")</f>
        <v/>
      </c>
      <c r="N1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1" t="str" cm="1">
        <f t="array" ref="Q121">_xlfn.IFS(表1_53[[#This Row],[配件1]]="","",表1_53[[#This Row],[文本丨算力丨算力值]]=0,"",表1_53[[#This Row],[文本丨算力丨算力值]]&lt;&gt;"","算力")</f>
        <v/>
      </c>
    </row>
    <row r="122" spans="2:17" x14ac:dyDescent="0.2">
      <c r="B122" s="26"/>
      <c r="C122" s="27"/>
      <c r="F122" t="str">
        <f>IF(表1_53[[#This Row],[配件1]]&lt;&gt;"",_xlfn.XLOOKUP(表1_53[[#This Row],[配件1]],显卡利益点对照表[型号],显卡利益点对照表[标题1],"ERROR"),"")</f>
        <v/>
      </c>
      <c r="G122" t="str">
        <f>IF(表1_53[[#This Row],[配件1]]&lt;&gt;"",_xlfn.XLOOKUP(表1_53[[#This Row],[配件1]],显卡利益点对照表[型号],显卡利益点对照表[标题2],"ERROR"),"")</f>
        <v/>
      </c>
      <c r="H1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2" t="str">
        <f>IF(表1_53[[#This Row],[配件1]]&lt;&gt;"",_xlfn.XLOOKUP(表1_53[[#This Row],[配件1]],显卡利益点对照表[型号],显卡利益点对照表[利益点1],"ERROR"),"")</f>
        <v/>
      </c>
      <c r="J122" t="str">
        <f>IF(表1_53[[#This Row],[配件1]]&lt;&gt;"",_xlfn.XLOOKUP(表1_53[[#This Row],[配件1]],显卡利益点对照表[型号],显卡利益点对照表[利益点2],"ERROR"),"")</f>
        <v/>
      </c>
      <c r="K122" t="str">
        <f>IF(表1_53[[#This Row],[配件1]]&lt;&gt;"",_xlfn.XLOOKUP(表1_53[[#This Row],[配件1]],显卡利益点对照表[型号],显卡利益点对照表[利益点3],"ERROR"),"")</f>
        <v/>
      </c>
      <c r="L122" t="str">
        <f>IF(表1_53[[#This Row],[配件1]]&lt;&gt;"",_xlfn.XLOOKUP(表1_53[[#This Row],[配件1]],显卡利益点对照表[型号],显卡利益点对照表[算力],"ERROR"),"")</f>
        <v/>
      </c>
      <c r="M122" t="str">
        <f>IF(表1_53[[#This Row],[配件1]]&lt;&gt;"",_xlfn.XLOOKUP(表1_53[[#This Row],[配件1]],显卡利益点对照表[型号],显卡利益点对照表[可显性],"ERROR"),"")</f>
        <v/>
      </c>
      <c r="N1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2" t="str" cm="1">
        <f t="array" ref="Q122">_xlfn.IFS(表1_53[[#This Row],[配件1]]="","",表1_53[[#This Row],[文本丨算力丨算力值]]=0,"",表1_53[[#This Row],[文本丨算力丨算力值]]&lt;&gt;"","算力")</f>
        <v/>
      </c>
    </row>
    <row r="123" spans="2:17" x14ac:dyDescent="0.2">
      <c r="F123" t="str">
        <f>IF(表1_53[[#This Row],[配件1]]&lt;&gt;"",_xlfn.XLOOKUP(表1_53[[#This Row],[配件1]],显卡利益点对照表[型号],显卡利益点对照表[标题1],"ERROR"),"")</f>
        <v/>
      </c>
      <c r="G123" t="str">
        <f>IF(表1_53[[#This Row],[配件1]]&lt;&gt;"",_xlfn.XLOOKUP(表1_53[[#This Row],[配件1]],显卡利益点对照表[型号],显卡利益点对照表[标题2],"ERROR"),"")</f>
        <v/>
      </c>
      <c r="H1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3" t="str">
        <f>IF(表1_53[[#This Row],[配件1]]&lt;&gt;"",_xlfn.XLOOKUP(表1_53[[#This Row],[配件1]],显卡利益点对照表[型号],显卡利益点对照表[利益点1],"ERROR"),"")</f>
        <v/>
      </c>
      <c r="J123" t="str">
        <f>IF(表1_53[[#This Row],[配件1]]&lt;&gt;"",_xlfn.XLOOKUP(表1_53[[#This Row],[配件1]],显卡利益点对照表[型号],显卡利益点对照表[利益点2],"ERROR"),"")</f>
        <v/>
      </c>
      <c r="K123" t="str">
        <f>IF(表1_53[[#This Row],[配件1]]&lt;&gt;"",_xlfn.XLOOKUP(表1_53[[#This Row],[配件1]],显卡利益点对照表[型号],显卡利益点对照表[利益点3],"ERROR"),"")</f>
        <v/>
      </c>
      <c r="L123" t="str">
        <f>IF(表1_53[[#This Row],[配件1]]&lt;&gt;"",_xlfn.XLOOKUP(表1_53[[#This Row],[配件1]],显卡利益点对照表[型号],显卡利益点对照表[算力],"ERROR"),"")</f>
        <v/>
      </c>
      <c r="M123" t="str">
        <f>IF(表1_53[[#This Row],[配件1]]&lt;&gt;"",_xlfn.XLOOKUP(表1_53[[#This Row],[配件1]],显卡利益点对照表[型号],显卡利益点对照表[可显性],"ERROR"),"")</f>
        <v/>
      </c>
      <c r="N1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3" t="str" cm="1">
        <f t="array" ref="Q123">_xlfn.IFS(表1_53[[#This Row],[配件1]]="","",表1_53[[#This Row],[文本丨算力丨算力值]]=0,"",表1_53[[#This Row],[文本丨算力丨算力值]]&lt;&gt;"","算力")</f>
        <v/>
      </c>
    </row>
    <row r="124" spans="2:17" x14ac:dyDescent="0.2">
      <c r="B124" s="22">
        <v>10182290346750</v>
      </c>
      <c r="C124" t="s">
        <v>570</v>
      </c>
      <c r="D124" t="s">
        <v>468</v>
      </c>
      <c r="F124" t="str">
        <f>IF(表1_53[[#This Row],[配件1]]&lt;&gt;"",_xlfn.XLOOKUP(表1_53[[#This Row],[配件1]],显卡利益点对照表[型号],显卡利益点对照表[标题1],"ERROR"),"")</f>
        <v>RTX5060 Ti</v>
      </c>
      <c r="G124" t="str">
        <f>IF(表1_53[[#This Row],[配件1]]&lt;&gt;"",_xlfn.XLOOKUP(表1_53[[#This Row],[配件1]],显卡利益点对照表[型号],显卡利益点对照表[标题2],"ERROR"),"")</f>
        <v>风魔MAX 8G</v>
      </c>
      <c r="H1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OC</v>
      </c>
      <c r="I124" t="str">
        <f>IF(表1_53[[#This Row],[配件1]]&lt;&gt;"",_xlfn.XLOOKUP(表1_53[[#This Row],[配件1]],显卡利益点对照表[型号],显卡利益点对照表[利益点1],"ERROR"),"")</f>
        <v>铜板+复合式热管</v>
      </c>
      <c r="J124" t="str">
        <f>IF(表1_53[[#This Row],[配件1]]&lt;&gt;"",_xlfn.XLOOKUP(表1_53[[#This Row],[配件1]],显卡利益点对照表[型号],显卡利益点对照表[利益点2],"ERROR"),"")</f>
        <v>精巧双风扇</v>
      </c>
      <c r="K124" t="str">
        <f>IF(表1_53[[#This Row],[配件1]]&lt;&gt;"",_xlfn.XLOOKUP(表1_53[[#This Row],[配件1]],显卡利益点对照表[型号],显卡利益点对照表[利益点3],"ERROR"),"")</f>
        <v>仿生降噪风扇</v>
      </c>
      <c r="L124" t="str">
        <f>IF(表1_53[[#This Row],[配件1]]&lt;&gt;"",_xlfn.XLOOKUP(表1_53[[#This Row],[配件1]],显卡利益点对照表[型号],显卡利益点对照表[算力],"ERROR"),"")</f>
        <v>AI算力759 TOPS</v>
      </c>
      <c r="M124" t="str">
        <f>IF(表1_53[[#This Row],[配件1]]&lt;&gt;"",_xlfn.XLOOKUP(表1_53[[#This Row],[配件1]],显卡利益点对照表[型号],显卡利益点对照表[可显性],"ERROR"),"")</f>
        <v>GV-N506TWF2MAX OC-8GD</v>
      </c>
      <c r="N1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4" t="str" cm="1">
        <f t="array" ref="Q124">_xlfn.IFS(表1_53[[#This Row],[配件1]]="","",表1_53[[#This Row],[文本丨算力丨算力值]]=0,"",表1_53[[#This Row],[文本丨算力丨算力值]]&lt;&gt;"","算力")</f>
        <v>算力</v>
      </c>
    </row>
    <row r="125" spans="2:17" x14ac:dyDescent="0.2">
      <c r="B125" s="22">
        <v>10182290346753</v>
      </c>
      <c r="C125" t="s">
        <v>571</v>
      </c>
      <c r="D125" t="s">
        <v>468</v>
      </c>
      <c r="F125" t="str">
        <f>IF(表1_53[[#This Row],[配件1]]&lt;&gt;"",_xlfn.XLOOKUP(表1_53[[#This Row],[配件1]],显卡利益点对照表[型号],显卡利益点对照表[标题1],"ERROR"),"")</f>
        <v>RTX5060 Ti</v>
      </c>
      <c r="G125" t="str">
        <f>IF(表1_53[[#This Row],[配件1]]&lt;&gt;"",_xlfn.XLOOKUP(表1_53[[#This Row],[配件1]],显卡利益点对照表[型号],显卡利益点对照表[标题2],"ERROR"),"")</f>
        <v>风魔MAX 16G</v>
      </c>
      <c r="H1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OC</v>
      </c>
      <c r="I125" t="str">
        <f>IF(表1_53[[#This Row],[配件1]]&lt;&gt;"",_xlfn.XLOOKUP(表1_53[[#This Row],[配件1]],显卡利益点对照表[型号],显卡利益点对照表[利益点1],"ERROR"),"")</f>
        <v>铜板+复合式热管</v>
      </c>
      <c r="J125" t="str">
        <f>IF(表1_53[[#This Row],[配件1]]&lt;&gt;"",_xlfn.XLOOKUP(表1_53[[#This Row],[配件1]],显卡利益点对照表[型号],显卡利益点对照表[利益点2],"ERROR"),"")</f>
        <v>精巧双风扇</v>
      </c>
      <c r="K125" t="str">
        <f>IF(表1_53[[#This Row],[配件1]]&lt;&gt;"",_xlfn.XLOOKUP(表1_53[[#This Row],[配件1]],显卡利益点对照表[型号],显卡利益点对照表[利益点3],"ERROR"),"")</f>
        <v>16G大显存</v>
      </c>
      <c r="L125" t="str">
        <f>IF(表1_53[[#This Row],[配件1]]&lt;&gt;"",_xlfn.XLOOKUP(表1_53[[#This Row],[配件1]],显卡利益点对照表[型号],显卡利益点对照表[算力],"ERROR"),"")</f>
        <v>AI算力759 TOPS</v>
      </c>
      <c r="M125" t="str">
        <f>IF(表1_53[[#This Row],[配件1]]&lt;&gt;"",_xlfn.XLOOKUP(表1_53[[#This Row],[配件1]],显卡利益点对照表[型号],显卡利益点对照表[可显性],"ERROR"),"")</f>
        <v>GV-N506TWF2MAX OC-16GD</v>
      </c>
      <c r="N1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5" t="str" cm="1">
        <f t="array" ref="Q125">_xlfn.IFS(表1_53[[#This Row],[配件1]]="","",表1_53[[#This Row],[文本丨算力丨算力值]]=0,"",表1_53[[#This Row],[文本丨算力丨算力值]]&lt;&gt;"","算力")</f>
        <v>算力</v>
      </c>
    </row>
    <row r="126" spans="2:17" x14ac:dyDescent="0.2">
      <c r="B126" s="22">
        <v>10182290918449</v>
      </c>
      <c r="C126" t="s">
        <v>48</v>
      </c>
      <c r="D126" t="s">
        <v>468</v>
      </c>
      <c r="F126" t="str">
        <f>IF(表1_53[[#This Row],[配件1]]&lt;&gt;"",_xlfn.XLOOKUP(表1_53[[#This Row],[配件1]],显卡利益点对照表[型号],显卡利益点对照表[标题1],"ERROR"),"")</f>
        <v>RTX5070</v>
      </c>
      <c r="G126" t="str">
        <f>IF(表1_53[[#This Row],[配件1]]&lt;&gt;"",_xlfn.XLOOKUP(表1_53[[#This Row],[配件1]],显卡利益点对照表[型号],显卡利益点对照表[标题2],"ERROR"),"")</f>
        <v>12G 风魔</v>
      </c>
      <c r="H1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126" t="str">
        <f>IF(表1_53[[#This Row],[配件1]]&lt;&gt;"",_xlfn.XLOOKUP(表1_53[[#This Row],[配件1]],显卡利益点对照表[型号],显卡利益点对照表[利益点1],"ERROR"),"")</f>
        <v>3D智能启停风扇丨30</v>
      </c>
      <c r="J126" t="str">
        <f>IF(表1_53[[#This Row],[配件1]]&lt;&gt;"",_xlfn.XLOOKUP(表1_53[[#This Row],[配件1]],显卡利益点对照表[型号],显卡利益点对照表[利益点2],"ERROR"),"")</f>
        <v>SFF小尺寸</v>
      </c>
      <c r="K126" t="str">
        <f>IF(表1_53[[#This Row],[配件1]]&lt;&gt;"",_xlfn.XLOOKUP(表1_53[[#This Row],[配件1]],显卡利益点对照表[型号],显卡利益点对照表[利益点3],"ERROR"),"")</f>
        <v>四重高效散热</v>
      </c>
      <c r="L126" t="str">
        <f>IF(表1_53[[#This Row],[配件1]]&lt;&gt;"",_xlfn.XLOOKUP(表1_53[[#This Row],[配件1]],显卡利益点对照表[型号],显卡利益点对照表[算力],"ERROR"),"")</f>
        <v>AI算力988 TOPS</v>
      </c>
      <c r="M126" t="str">
        <f>IF(表1_53[[#This Row],[配件1]]&lt;&gt;"",_xlfn.XLOOKUP(表1_53[[#This Row],[配件1]],显卡利益点对照表[型号],显卡利益点对照表[可显性],"ERROR"),"")</f>
        <v>GV-N5070WF3OC-12GD</v>
      </c>
      <c r="N1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6" t="str" cm="1">
        <f t="array" ref="Q126">_xlfn.IFS(表1_53[[#This Row],[配件1]]="","",表1_53[[#This Row],[文本丨算力丨算力值]]=0,"",表1_53[[#This Row],[文本丨算力丨算力值]]&lt;&gt;"","算力")</f>
        <v>算力</v>
      </c>
    </row>
    <row r="127" spans="2:17" x14ac:dyDescent="0.2">
      <c r="B127" s="22">
        <v>10182290918450</v>
      </c>
      <c r="C127" t="s">
        <v>48</v>
      </c>
      <c r="D127" t="s">
        <v>669</v>
      </c>
      <c r="F127" t="str">
        <f>IF(表1_53[[#This Row],[配件1]]&lt;&gt;"",_xlfn.XLOOKUP(表1_53[[#This Row],[配件1]],显卡利益点对照表[型号],显卡利益点对照表[标题1],"ERROR"),"")</f>
        <v>RTX5070</v>
      </c>
      <c r="G127" t="str">
        <f>IF(表1_53[[#This Row],[配件1]]&lt;&gt;"",_xlfn.XLOOKUP(表1_53[[#This Row],[配件1]],显卡利益点对照表[型号],显卡利益点对照表[标题2],"ERROR"),"")</f>
        <v>12G 风魔</v>
      </c>
      <c r="H1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27" t="str">
        <f>IF(表1_53[[#This Row],[配件1]]&lt;&gt;"",_xlfn.XLOOKUP(表1_53[[#This Row],[配件1]],显卡利益点对照表[型号],显卡利益点对照表[利益点1],"ERROR"),"")</f>
        <v>3D智能启停风扇丨30</v>
      </c>
      <c r="J127" t="str">
        <f>IF(表1_53[[#This Row],[配件1]]&lt;&gt;"",_xlfn.XLOOKUP(表1_53[[#This Row],[配件1]],显卡利益点对照表[型号],显卡利益点对照表[利益点2],"ERROR"),"")</f>
        <v>SFF小尺寸</v>
      </c>
      <c r="K127" t="str">
        <f>IF(表1_53[[#This Row],[配件1]]&lt;&gt;"",_xlfn.XLOOKUP(表1_53[[#This Row],[配件1]],显卡利益点对照表[型号],显卡利益点对照表[利益点3],"ERROR"),"")</f>
        <v>四重高效散热</v>
      </c>
      <c r="L127" t="str">
        <f>IF(表1_53[[#This Row],[配件1]]&lt;&gt;"",_xlfn.XLOOKUP(表1_53[[#This Row],[配件1]],显卡利益点对照表[型号],显卡利益点对照表[算力],"ERROR"),"")</f>
        <v>AI算力988 TOPS</v>
      </c>
      <c r="M127" t="str">
        <f>IF(表1_53[[#This Row],[配件1]]&lt;&gt;"",_xlfn.XLOOKUP(表1_53[[#This Row],[配件1]],显卡利益点对照表[型号],显卡利益点对照表[可显性],"ERROR"),"")</f>
        <v>GV-N5070WF3OC-12GD</v>
      </c>
      <c r="N1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7" t="str" cm="1">
        <f t="array" ref="Q127">_xlfn.IFS(表1_53[[#This Row],[配件1]]="","",表1_53[[#This Row],[文本丨算力丨算力值]]=0,"",表1_53[[#This Row],[文本丨算力丨算力值]]&lt;&gt;"","算力")</f>
        <v>算力</v>
      </c>
    </row>
    <row r="128" spans="2:17" x14ac:dyDescent="0.2">
      <c r="B128" s="22">
        <v>10182294204351</v>
      </c>
      <c r="C128" t="s">
        <v>72</v>
      </c>
      <c r="D128" t="s">
        <v>468</v>
      </c>
      <c r="F128" t="str">
        <f>IF(表1_53[[#This Row],[配件1]]&lt;&gt;"",_xlfn.XLOOKUP(表1_53[[#This Row],[配件1]],显卡利益点对照表[型号],显卡利益点对照表[标题1],"ERROR"),"")</f>
        <v>RTX5070Ti</v>
      </c>
      <c r="G128" t="str">
        <f>IF(表1_53[[#This Row],[配件1]]&lt;&gt;"",_xlfn.XLOOKUP(表1_53[[#This Row],[配件1]],显卡利益点对照表[型号],显卡利益点对照表[标题2],"ERROR"),"")</f>
        <v>16G 风魔</v>
      </c>
      <c r="H1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128" t="str">
        <f>IF(表1_53[[#This Row],[配件1]]&lt;&gt;"",_xlfn.XLOOKUP(表1_53[[#This Row],[配件1]],显卡利益点对照表[型号],显卡利益点对照表[利益点1],"ERROR"),"")</f>
        <v>可调式显卡支架丨30</v>
      </c>
      <c r="J128" t="str">
        <f>IF(表1_53[[#This Row],[配件1]]&lt;&gt;"",_xlfn.XLOOKUP(表1_53[[#This Row],[配件1]],显卡利益点对照表[型号],显卡利益点对照表[利益点2],"ERROR"),"")</f>
        <v>SFF小尺寸</v>
      </c>
      <c r="K128" t="str">
        <f>IF(表1_53[[#This Row],[配件1]]&lt;&gt;"",_xlfn.XLOOKUP(表1_53[[#This Row],[配件1]],显卡利益点对照表[型号],显卡利益点对照表[利益点3],"ERROR"),"")</f>
        <v>四重高效散热</v>
      </c>
      <c r="L128" t="str">
        <f>IF(表1_53[[#This Row],[配件1]]&lt;&gt;"",_xlfn.XLOOKUP(表1_53[[#This Row],[配件1]],显卡利益点对照表[型号],显卡利益点对照表[算力],"ERROR"),"")</f>
        <v>AI算力1406 TOPS</v>
      </c>
      <c r="M128" t="str">
        <f>IF(表1_53[[#This Row],[配件1]]&lt;&gt;"",_xlfn.XLOOKUP(表1_53[[#This Row],[配件1]],显卡利益点对照表[型号],显卡利益点对照表[可显性],"ERROR"),"")</f>
        <v>GV-N507TWF3OC-16GD</v>
      </c>
      <c r="N1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8" t="str" cm="1">
        <f t="array" ref="Q128">_xlfn.IFS(表1_53[[#This Row],[配件1]]="","",表1_53[[#This Row],[文本丨算力丨算力值]]=0,"",表1_53[[#This Row],[文本丨算力丨算力值]]&lt;&gt;"","算力")</f>
        <v>算力</v>
      </c>
    </row>
    <row r="129" spans="2:17" x14ac:dyDescent="0.2">
      <c r="B129" s="22">
        <v>10182294204352</v>
      </c>
      <c r="C129" t="s">
        <v>72</v>
      </c>
      <c r="D129" t="s">
        <v>669</v>
      </c>
      <c r="F129" t="str">
        <f>IF(表1_53[[#This Row],[配件1]]&lt;&gt;"",_xlfn.XLOOKUP(表1_53[[#This Row],[配件1]],显卡利益点对照表[型号],显卡利益点对照表[标题1],"ERROR"),"")</f>
        <v>RTX5070Ti</v>
      </c>
      <c r="G129" t="str">
        <f>IF(表1_53[[#This Row],[配件1]]&lt;&gt;"",_xlfn.XLOOKUP(表1_53[[#This Row],[配件1]],显卡利益点对照表[型号],显卡利益点对照表[标题2],"ERROR"),"")</f>
        <v>16G 风魔</v>
      </c>
      <c r="H1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29" t="str">
        <f>IF(表1_53[[#This Row],[配件1]]&lt;&gt;"",_xlfn.XLOOKUP(表1_53[[#This Row],[配件1]],显卡利益点对照表[型号],显卡利益点对照表[利益点1],"ERROR"),"")</f>
        <v>可调式显卡支架丨30</v>
      </c>
      <c r="J129" t="str">
        <f>IF(表1_53[[#This Row],[配件1]]&lt;&gt;"",_xlfn.XLOOKUP(表1_53[[#This Row],[配件1]],显卡利益点对照表[型号],显卡利益点对照表[利益点2],"ERROR"),"")</f>
        <v>SFF小尺寸</v>
      </c>
      <c r="K129" t="str">
        <f>IF(表1_53[[#This Row],[配件1]]&lt;&gt;"",_xlfn.XLOOKUP(表1_53[[#This Row],[配件1]],显卡利益点对照表[型号],显卡利益点对照表[利益点3],"ERROR"),"")</f>
        <v>四重高效散热</v>
      </c>
      <c r="L129" t="str">
        <f>IF(表1_53[[#This Row],[配件1]]&lt;&gt;"",_xlfn.XLOOKUP(表1_53[[#This Row],[配件1]],显卡利益点对照表[型号],显卡利益点对照表[算力],"ERROR"),"")</f>
        <v>AI算力1406 TOPS</v>
      </c>
      <c r="M129" t="str">
        <f>IF(表1_53[[#This Row],[配件1]]&lt;&gt;"",_xlfn.XLOOKUP(表1_53[[#This Row],[配件1]],显卡利益点对照表[型号],显卡利益点对照表[可显性],"ERROR"),"")</f>
        <v>GV-N507TWF3OC-16GD</v>
      </c>
      <c r="N1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9" t="str" cm="1">
        <f t="array" ref="Q129">_xlfn.IFS(表1_53[[#This Row],[配件1]]="","",表1_53[[#This Row],[文本丨算力丨算力值]]=0,"",表1_53[[#This Row],[文本丨算力丨算力值]]&lt;&gt;"","算力")</f>
        <v>算力</v>
      </c>
    </row>
    <row r="130" spans="2:17" x14ac:dyDescent="0.2">
      <c r="B130" s="22">
        <v>10182296450029</v>
      </c>
      <c r="C130" t="s">
        <v>89</v>
      </c>
      <c r="D130" t="s">
        <v>468</v>
      </c>
      <c r="F130" t="str">
        <f>IF(表1_53[[#This Row],[配件1]]&lt;&gt;"",_xlfn.XLOOKUP(表1_53[[#This Row],[配件1]],显卡利益点对照表[型号],显卡利益点对照表[标题1],"ERROR"),"")</f>
        <v>RTX5080</v>
      </c>
      <c r="G130" t="str">
        <f>IF(表1_53[[#This Row],[配件1]]&lt;&gt;"",_xlfn.XLOOKUP(表1_53[[#This Row],[配件1]],显卡利益点对照表[型号],显卡利益点对照表[标题2],"ERROR"),"")</f>
        <v>16G 风魔</v>
      </c>
      <c r="H1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130" t="str">
        <f>IF(表1_53[[#This Row],[配件1]]&lt;&gt;"",_xlfn.XLOOKUP(表1_53[[#This Row],[配件1]],显卡利益点对照表[型号],显卡利益点对照表[利益点1],"ERROR"),"")</f>
        <v>三年质保/个人送保</v>
      </c>
      <c r="J130" t="str">
        <f>IF(表1_53[[#This Row],[配件1]]&lt;&gt;"",_xlfn.XLOOKUP(表1_53[[#This Row],[配件1]],显卡利益点对照表[型号],显卡利益点对照表[利益点2],"ERROR"),"")</f>
        <v>SFF小尺寸</v>
      </c>
      <c r="K130" t="str">
        <f>IF(表1_53[[#This Row],[配件1]]&lt;&gt;"",_xlfn.XLOOKUP(表1_53[[#This Row],[配件1]],显卡利益点对照表[型号],显卡利益点对照表[利益点3],"ERROR"),"")</f>
        <v>四重高效散热</v>
      </c>
      <c r="L130" t="str">
        <f>IF(表1_53[[#This Row],[配件1]]&lt;&gt;"",_xlfn.XLOOKUP(表1_53[[#This Row],[配件1]],显卡利益点对照表[型号],显卡利益点对照表[算力],"ERROR"),"")</f>
        <v>AI算力1801 TOPS</v>
      </c>
      <c r="M130" t="str">
        <f>IF(表1_53[[#This Row],[配件1]]&lt;&gt;"",_xlfn.XLOOKUP(表1_53[[#This Row],[配件1]],显卡利益点对照表[型号],显卡利益点对照表[可显性],"ERROR"),"")</f>
        <v>GV-N5080WF3OC-16GD</v>
      </c>
      <c r="N1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0" t="str" cm="1">
        <f t="array" ref="Q130">_xlfn.IFS(表1_53[[#This Row],[配件1]]="","",表1_53[[#This Row],[文本丨算力丨算力值]]=0,"",表1_53[[#This Row],[文本丨算力丨算力值]]&lt;&gt;"","算力")</f>
        <v>算力</v>
      </c>
    </row>
    <row r="131" spans="2:17" x14ac:dyDescent="0.2">
      <c r="B131" s="22">
        <v>10182296450030</v>
      </c>
      <c r="C131" t="s">
        <v>89</v>
      </c>
      <c r="D131" t="s">
        <v>1002</v>
      </c>
      <c r="F131" t="str">
        <f>IF(表1_53[[#This Row],[配件1]]&lt;&gt;"",_xlfn.XLOOKUP(表1_53[[#This Row],[配件1]],显卡利益点对照表[型号],显卡利益点对照表[标题1],"ERROR"),"")</f>
        <v>RTX5080</v>
      </c>
      <c r="G131" t="str">
        <f>IF(表1_53[[#This Row],[配件1]]&lt;&gt;"",_xlfn.XLOOKUP(表1_53[[#This Row],[配件1]],显卡利益点对照表[型号],显卡利益点对照表[标题2],"ERROR"),"")</f>
        <v>16G 风魔</v>
      </c>
      <c r="H1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+850W模组电源</v>
      </c>
      <c r="I131" t="str">
        <f>IF(表1_53[[#This Row],[配件1]]&lt;&gt;"",_xlfn.XLOOKUP(表1_53[[#This Row],[配件1]],显卡利益点对照表[型号],显卡利益点对照表[利益点1],"ERROR"),"")</f>
        <v>三年质保/个人送保</v>
      </c>
      <c r="J131" t="str">
        <f>IF(表1_53[[#This Row],[配件1]]&lt;&gt;"",_xlfn.XLOOKUP(表1_53[[#This Row],[配件1]],显卡利益点对照表[型号],显卡利益点对照表[利益点2],"ERROR"),"")</f>
        <v>SFF小尺寸</v>
      </c>
      <c r="K131" t="str">
        <f>IF(表1_53[[#This Row],[配件1]]&lt;&gt;"",_xlfn.XLOOKUP(表1_53[[#This Row],[配件1]],显卡利益点对照表[型号],显卡利益点对照表[利益点3],"ERROR"),"")</f>
        <v>四重高效散热</v>
      </c>
      <c r="L131" t="str">
        <f>IF(表1_53[[#This Row],[配件1]]&lt;&gt;"",_xlfn.XLOOKUP(表1_53[[#This Row],[配件1]],显卡利益点对照表[型号],显卡利益点对照表[算力],"ERROR"),"")</f>
        <v>AI算力1801 TOPS</v>
      </c>
      <c r="M131" t="str">
        <f>IF(表1_53[[#This Row],[配件1]]&lt;&gt;"",_xlfn.XLOOKUP(表1_53[[#This Row],[配件1]],显卡利益点对照表[型号],显卡利益点对照表[可显性],"ERROR"),"")</f>
        <v>GV-N5080WF3OC-16GD</v>
      </c>
      <c r="N1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UD850GM PG5</v>
      </c>
      <c r="O1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1" t="str" cm="1">
        <f t="array" ref="Q131">_xlfn.IFS(表1_53[[#This Row],[配件1]]="","",表1_53[[#This Row],[文本丨算力丨算力值]]=0,"",表1_53[[#This Row],[文本丨算力丨算力值]]&lt;&gt;"","算力")</f>
        <v>算力</v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90"/>
  <sheetViews>
    <sheetView topLeftCell="A76" zoomScaleNormal="100" workbookViewId="0">
      <selection activeCell="D128" sqref="D128"/>
    </sheetView>
  </sheetViews>
  <sheetFormatPr defaultRowHeight="14.25" x14ac:dyDescent="0.2"/>
  <cols>
    <col min="2" max="2" width="37.5" bestFit="1" customWidth="1"/>
    <col min="3" max="3" width="36.75" customWidth="1"/>
    <col min="4" max="4" width="21.62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9.37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246</v>
      </c>
      <c r="C8" t="s">
        <v>249</v>
      </c>
      <c r="D8" t="s">
        <v>218</v>
      </c>
      <c r="E8" t="s">
        <v>219</v>
      </c>
      <c r="F8" t="s">
        <v>220</v>
      </c>
      <c r="G8" t="s">
        <v>221</v>
      </c>
      <c r="H8" t="s">
        <v>222</v>
      </c>
      <c r="I8" t="s">
        <v>223</v>
      </c>
      <c r="J8" t="s">
        <v>224</v>
      </c>
      <c r="K8" t="s">
        <v>245</v>
      </c>
      <c r="L8" t="s">
        <v>192</v>
      </c>
    </row>
    <row r="9" spans="2:12" x14ac:dyDescent="0.2">
      <c r="B9" s="30" t="s">
        <v>1059</v>
      </c>
      <c r="C9" s="30" t="s">
        <v>1049</v>
      </c>
      <c r="D9" s="30" t="s">
        <v>495</v>
      </c>
      <c r="E9" s="30" t="s">
        <v>1056</v>
      </c>
      <c r="F9" s="30" t="s">
        <v>1051</v>
      </c>
      <c r="G9" s="30" t="s">
        <v>1060</v>
      </c>
      <c r="H9" s="30" t="s">
        <v>1057</v>
      </c>
      <c r="I9" s="30" t="s">
        <v>498</v>
      </c>
      <c r="J9" s="30" t="s">
        <v>1049</v>
      </c>
      <c r="K9" s="30" t="s">
        <v>209</v>
      </c>
      <c r="L9" s="30" t="s">
        <v>497</v>
      </c>
    </row>
    <row r="10" spans="2:12" x14ac:dyDescent="0.2">
      <c r="B10" s="30" t="s">
        <v>501</v>
      </c>
      <c r="C10" s="30" t="s">
        <v>486</v>
      </c>
      <c r="D10" s="30" t="s">
        <v>495</v>
      </c>
      <c r="E10" s="30" t="s">
        <v>309</v>
      </c>
      <c r="F10" s="30" t="s">
        <v>310</v>
      </c>
      <c r="G10" s="30" t="s">
        <v>498</v>
      </c>
      <c r="H10" s="30" t="s">
        <v>499</v>
      </c>
      <c r="I10" s="30" t="s">
        <v>230</v>
      </c>
      <c r="J10" s="30" t="s">
        <v>486</v>
      </c>
      <c r="K10" s="30" t="s">
        <v>209</v>
      </c>
      <c r="L10" s="30" t="s">
        <v>497</v>
      </c>
    </row>
    <row r="11" spans="2:12" x14ac:dyDescent="0.2">
      <c r="B11" s="30" t="s">
        <v>502</v>
      </c>
      <c r="C11" s="30" t="s">
        <v>487</v>
      </c>
      <c r="D11" s="30" t="s">
        <v>495</v>
      </c>
      <c r="E11" s="30" t="s">
        <v>226</v>
      </c>
      <c r="F11" s="30" t="s">
        <v>496</v>
      </c>
      <c r="G11" s="30" t="s">
        <v>498</v>
      </c>
      <c r="H11" s="30" t="s">
        <v>229</v>
      </c>
      <c r="I11" s="30" t="s">
        <v>230</v>
      </c>
      <c r="J11" s="30" t="s">
        <v>487</v>
      </c>
      <c r="K11" s="30" t="s">
        <v>209</v>
      </c>
      <c r="L11" s="30" t="s">
        <v>497</v>
      </c>
    </row>
    <row r="12" spans="2:12" x14ac:dyDescent="0.2">
      <c r="B12" s="30" t="s">
        <v>503</v>
      </c>
      <c r="C12" s="30" t="s">
        <v>485</v>
      </c>
      <c r="D12" s="30" t="s">
        <v>495</v>
      </c>
      <c r="E12" s="30" t="s">
        <v>238</v>
      </c>
      <c r="F12" s="30" t="s">
        <v>239</v>
      </c>
      <c r="G12" s="30" t="s">
        <v>498</v>
      </c>
      <c r="H12" s="30" t="s">
        <v>500</v>
      </c>
      <c r="I12" s="30" t="s">
        <v>230</v>
      </c>
      <c r="J12" s="30" t="s">
        <v>485</v>
      </c>
      <c r="K12" s="30" t="s">
        <v>209</v>
      </c>
      <c r="L12" s="30" t="s">
        <v>497</v>
      </c>
    </row>
    <row r="13" spans="2:12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</row>
    <row r="14" spans="2:12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</row>
    <row r="15" spans="2:12" x14ac:dyDescent="0.2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</row>
    <row r="16" spans="2:12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</row>
    <row r="17" spans="2:12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</row>
    <row r="18" spans="2:12" x14ac:dyDescent="0.2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</row>
    <row r="19" spans="2:12" x14ac:dyDescent="0.2">
      <c r="B19" s="30" t="s">
        <v>460</v>
      </c>
      <c r="C19" s="30" t="s">
        <v>280</v>
      </c>
      <c r="D19" s="30" t="s">
        <v>313</v>
      </c>
      <c r="E19" s="30" t="s">
        <v>309</v>
      </c>
      <c r="F19" s="30" t="s">
        <v>310</v>
      </c>
      <c r="G19" s="30" t="s">
        <v>228</v>
      </c>
      <c r="H19" s="30" t="s">
        <v>314</v>
      </c>
      <c r="I19" s="30" t="s">
        <v>230</v>
      </c>
      <c r="J19" s="30" t="s">
        <v>280</v>
      </c>
      <c r="K19" s="30" t="s">
        <v>209</v>
      </c>
      <c r="L19" s="30" t="s">
        <v>446</v>
      </c>
    </row>
    <row r="20" spans="2:12" x14ac:dyDescent="0.2">
      <c r="B20" s="30" t="s">
        <v>461</v>
      </c>
      <c r="C20" s="30" t="s">
        <v>278</v>
      </c>
      <c r="D20" s="30" t="s">
        <v>313</v>
      </c>
      <c r="E20" s="30" t="s">
        <v>226</v>
      </c>
      <c r="F20" s="30" t="s">
        <v>227</v>
      </c>
      <c r="G20" s="30" t="s">
        <v>228</v>
      </c>
      <c r="H20" s="30" t="s">
        <v>229</v>
      </c>
      <c r="I20" s="30" t="s">
        <v>230</v>
      </c>
      <c r="J20" s="30" t="s">
        <v>278</v>
      </c>
      <c r="K20" s="30" t="s">
        <v>209</v>
      </c>
      <c r="L20" s="30" t="s">
        <v>446</v>
      </c>
    </row>
    <row r="21" spans="2:12" x14ac:dyDescent="0.2">
      <c r="B21" s="30" t="s">
        <v>467</v>
      </c>
      <c r="C21" s="30" t="s">
        <v>279</v>
      </c>
      <c r="D21" s="30" t="s">
        <v>313</v>
      </c>
      <c r="E21" s="30" t="s">
        <v>226</v>
      </c>
      <c r="F21" s="30" t="s">
        <v>232</v>
      </c>
      <c r="G21" s="30" t="s">
        <v>228</v>
      </c>
      <c r="H21" s="30" t="s">
        <v>229</v>
      </c>
      <c r="I21" s="30" t="s">
        <v>230</v>
      </c>
      <c r="J21" s="30" t="s">
        <v>279</v>
      </c>
      <c r="K21" s="30" t="s">
        <v>209</v>
      </c>
      <c r="L21" s="30" t="s">
        <v>446</v>
      </c>
    </row>
    <row r="22" spans="2:12" x14ac:dyDescent="0.2">
      <c r="B22" s="30" t="s">
        <v>544</v>
      </c>
      <c r="C22" s="30" t="s">
        <v>535</v>
      </c>
      <c r="D22" s="30" t="s">
        <v>313</v>
      </c>
      <c r="E22" s="30" t="s">
        <v>1046</v>
      </c>
      <c r="F22" s="30" t="s">
        <v>553</v>
      </c>
      <c r="G22" s="30" t="s">
        <v>228</v>
      </c>
      <c r="H22" s="30" t="s">
        <v>229</v>
      </c>
      <c r="I22" s="30" t="s">
        <v>230</v>
      </c>
      <c r="J22" s="30" t="s">
        <v>535</v>
      </c>
      <c r="K22" s="30" t="s">
        <v>209</v>
      </c>
      <c r="L22" s="30" t="s">
        <v>446</v>
      </c>
    </row>
    <row r="23" spans="2:12" x14ac:dyDescent="0.2">
      <c r="B23" s="30" t="s">
        <v>462</v>
      </c>
      <c r="C23" s="30" t="s">
        <v>277</v>
      </c>
      <c r="D23" s="30" t="s">
        <v>313</v>
      </c>
      <c r="E23" s="30" t="s">
        <v>233</v>
      </c>
      <c r="F23" s="30" t="s">
        <v>234</v>
      </c>
      <c r="G23" s="30" t="s">
        <v>228</v>
      </c>
      <c r="H23" s="30" t="s">
        <v>229</v>
      </c>
      <c r="I23" s="30" t="s">
        <v>230</v>
      </c>
      <c r="J23" s="30" t="s">
        <v>277</v>
      </c>
      <c r="K23" s="30" t="s">
        <v>209</v>
      </c>
      <c r="L23" s="30" t="s">
        <v>446</v>
      </c>
    </row>
    <row r="24" spans="2:12" x14ac:dyDescent="0.2">
      <c r="B24" s="30" t="s">
        <v>545</v>
      </c>
      <c r="C24" s="30" t="s">
        <v>537</v>
      </c>
      <c r="D24" s="30" t="s">
        <v>313</v>
      </c>
      <c r="E24" s="30" t="s">
        <v>233</v>
      </c>
      <c r="F24" s="30" t="s">
        <v>554</v>
      </c>
      <c r="G24" s="30" t="s">
        <v>228</v>
      </c>
      <c r="H24" s="30" t="s">
        <v>550</v>
      </c>
      <c r="I24" s="30" t="s">
        <v>230</v>
      </c>
      <c r="J24" s="30" t="s">
        <v>537</v>
      </c>
      <c r="K24" s="30" t="s">
        <v>209</v>
      </c>
      <c r="L24" s="30" t="s">
        <v>446</v>
      </c>
    </row>
    <row r="25" spans="2:12" x14ac:dyDescent="0.2">
      <c r="B25" s="30" t="s">
        <v>463</v>
      </c>
      <c r="C25" s="30" t="s">
        <v>275</v>
      </c>
      <c r="D25" s="30" t="s">
        <v>313</v>
      </c>
      <c r="E25" s="30" t="s">
        <v>235</v>
      </c>
      <c r="F25" s="30" t="s">
        <v>997</v>
      </c>
      <c r="G25" s="30" t="s">
        <v>228</v>
      </c>
      <c r="H25" s="30" t="s">
        <v>229</v>
      </c>
      <c r="I25" s="30" t="s">
        <v>230</v>
      </c>
      <c r="J25" s="30" t="s">
        <v>275</v>
      </c>
      <c r="K25" s="30" t="s">
        <v>209</v>
      </c>
      <c r="L25" s="30" t="s">
        <v>446</v>
      </c>
    </row>
    <row r="26" spans="2:12" x14ac:dyDescent="0.2">
      <c r="B26" s="30" t="s">
        <v>464</v>
      </c>
      <c r="C26" s="30" t="s">
        <v>276</v>
      </c>
      <c r="D26" s="30" t="s">
        <v>313</v>
      </c>
      <c r="E26" s="30" t="s">
        <v>238</v>
      </c>
      <c r="F26" s="30" t="s">
        <v>239</v>
      </c>
      <c r="G26" s="30" t="s">
        <v>228</v>
      </c>
      <c r="H26" s="30" t="s">
        <v>240</v>
      </c>
      <c r="I26" s="30" t="s">
        <v>203</v>
      </c>
      <c r="J26" s="30" t="s">
        <v>274</v>
      </c>
      <c r="K26" s="30" t="s">
        <v>209</v>
      </c>
      <c r="L26" s="30" t="s">
        <v>446</v>
      </c>
    </row>
    <row r="27" spans="2:12" x14ac:dyDescent="0.2">
      <c r="B27" s="30" t="s">
        <v>465</v>
      </c>
      <c r="C27" s="30" t="s">
        <v>274</v>
      </c>
      <c r="D27" s="30" t="s">
        <v>313</v>
      </c>
      <c r="E27" s="30" t="s">
        <v>311</v>
      </c>
      <c r="F27" s="30" t="s">
        <v>211</v>
      </c>
      <c r="G27" s="30" t="s">
        <v>228</v>
      </c>
      <c r="H27" s="30" t="s">
        <v>241</v>
      </c>
      <c r="I27" s="30" t="s">
        <v>203</v>
      </c>
      <c r="J27" s="30" t="s">
        <v>276</v>
      </c>
      <c r="K27" s="30" t="s">
        <v>209</v>
      </c>
      <c r="L27" s="30" t="s">
        <v>446</v>
      </c>
    </row>
    <row r="28" spans="2:12" x14ac:dyDescent="0.2">
      <c r="B28" s="30" t="s">
        <v>466</v>
      </c>
      <c r="C28" s="30" t="s">
        <v>273</v>
      </c>
      <c r="D28" s="30" t="s">
        <v>313</v>
      </c>
      <c r="E28" s="30" t="s">
        <v>470</v>
      </c>
      <c r="F28" s="30" t="s">
        <v>243</v>
      </c>
      <c r="G28" s="30" t="s">
        <v>996</v>
      </c>
      <c r="H28" s="30" t="s">
        <v>202</v>
      </c>
      <c r="I28" s="30" t="s">
        <v>212</v>
      </c>
      <c r="J28" s="30" t="s">
        <v>273</v>
      </c>
      <c r="K28" s="30" t="s">
        <v>209</v>
      </c>
      <c r="L28" s="30" t="s">
        <v>446</v>
      </c>
    </row>
    <row r="29" spans="2:12" x14ac:dyDescent="0.2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</row>
    <row r="30" spans="2:12" x14ac:dyDescent="0.2">
      <c r="B30" s="30" t="s">
        <v>250</v>
      </c>
      <c r="C30" s="30" t="s">
        <v>552</v>
      </c>
      <c r="D30" s="30" t="s">
        <v>225</v>
      </c>
      <c r="E30" s="30" t="s">
        <v>226</v>
      </c>
      <c r="F30" s="30" t="s">
        <v>227</v>
      </c>
      <c r="G30" s="30" t="s">
        <v>228</v>
      </c>
      <c r="H30" s="30" t="s">
        <v>229</v>
      </c>
      <c r="I30" s="30" t="s">
        <v>230</v>
      </c>
      <c r="J30" s="30" t="s">
        <v>552</v>
      </c>
      <c r="K30" s="30" t="s">
        <v>209</v>
      </c>
      <c r="L30" s="30" t="s">
        <v>447</v>
      </c>
    </row>
    <row r="31" spans="2:12" x14ac:dyDescent="0.2">
      <c r="B31" s="30" t="s">
        <v>254</v>
      </c>
      <c r="C31" s="30" t="s">
        <v>297</v>
      </c>
      <c r="D31" s="30" t="s">
        <v>225</v>
      </c>
      <c r="E31" s="30" t="s">
        <v>231</v>
      </c>
      <c r="F31" s="30" t="s">
        <v>227</v>
      </c>
      <c r="G31" s="30" t="s">
        <v>228</v>
      </c>
      <c r="H31" s="30" t="s">
        <v>229</v>
      </c>
      <c r="I31" s="30" t="s">
        <v>555</v>
      </c>
      <c r="J31" s="30" t="s">
        <v>297</v>
      </c>
      <c r="K31" s="30" t="s">
        <v>209</v>
      </c>
      <c r="L31" s="30" t="s">
        <v>447</v>
      </c>
    </row>
    <row r="32" spans="2:12" x14ac:dyDescent="0.2">
      <c r="B32" s="30" t="s">
        <v>443</v>
      </c>
      <c r="C32" s="30" t="s">
        <v>299</v>
      </c>
      <c r="D32" s="30" t="s">
        <v>225</v>
      </c>
      <c r="E32" s="30" t="s">
        <v>226</v>
      </c>
      <c r="F32" s="30" t="s">
        <v>232</v>
      </c>
      <c r="G32" s="30" t="s">
        <v>228</v>
      </c>
      <c r="H32" s="30" t="s">
        <v>229</v>
      </c>
      <c r="I32" s="30" t="s">
        <v>230</v>
      </c>
      <c r="J32" s="30" t="s">
        <v>163</v>
      </c>
      <c r="K32" s="30" t="s">
        <v>209</v>
      </c>
      <c r="L32" s="30" t="s">
        <v>447</v>
      </c>
    </row>
    <row r="33" spans="2:12" x14ac:dyDescent="0.2">
      <c r="B33" s="30" t="s">
        <v>577</v>
      </c>
      <c r="C33" s="30" t="s">
        <v>539</v>
      </c>
      <c r="D33" s="30" t="s">
        <v>225</v>
      </c>
      <c r="E33" s="30" t="s">
        <v>1046</v>
      </c>
      <c r="F33" s="30" t="s">
        <v>232</v>
      </c>
      <c r="G33" s="30" t="s">
        <v>228</v>
      </c>
      <c r="H33" s="30" t="s">
        <v>229</v>
      </c>
      <c r="I33" s="30" t="s">
        <v>230</v>
      </c>
      <c r="J33" s="30" t="s">
        <v>539</v>
      </c>
      <c r="K33" s="30" t="s">
        <v>209</v>
      </c>
      <c r="L33" s="30" t="s">
        <v>447</v>
      </c>
    </row>
    <row r="34" spans="2:12" x14ac:dyDescent="0.2">
      <c r="B34" s="30" t="s">
        <v>444</v>
      </c>
      <c r="C34" s="30" t="s">
        <v>163</v>
      </c>
      <c r="D34" s="30" t="s">
        <v>225</v>
      </c>
      <c r="E34" s="30" t="s">
        <v>1048</v>
      </c>
      <c r="F34" s="30" t="s">
        <v>232</v>
      </c>
      <c r="G34" s="30" t="s">
        <v>228</v>
      </c>
      <c r="H34" s="30" t="s">
        <v>229</v>
      </c>
      <c r="I34" s="30" t="s">
        <v>555</v>
      </c>
      <c r="J34" s="30" t="s">
        <v>163</v>
      </c>
      <c r="K34" s="30" t="s">
        <v>209</v>
      </c>
      <c r="L34" s="30" t="s">
        <v>447</v>
      </c>
    </row>
    <row r="35" spans="2:12" x14ac:dyDescent="0.2">
      <c r="B35" s="30" t="s">
        <v>576</v>
      </c>
      <c r="C35" s="30" t="s">
        <v>543</v>
      </c>
      <c r="D35" s="30" t="s">
        <v>225</v>
      </c>
      <c r="E35" s="30" t="s">
        <v>1047</v>
      </c>
      <c r="F35" s="30" t="s">
        <v>232</v>
      </c>
      <c r="G35" s="30" t="s">
        <v>228</v>
      </c>
      <c r="H35" s="30" t="s">
        <v>229</v>
      </c>
      <c r="I35" s="30" t="s">
        <v>555</v>
      </c>
      <c r="J35" s="30" t="s">
        <v>543</v>
      </c>
      <c r="K35" s="30" t="s">
        <v>209</v>
      </c>
      <c r="L35" s="30" t="s">
        <v>447</v>
      </c>
    </row>
    <row r="36" spans="2:12" x14ac:dyDescent="0.2">
      <c r="B36" s="30" t="s">
        <v>259</v>
      </c>
      <c r="C36" s="30" t="s">
        <v>300</v>
      </c>
      <c r="D36" s="30" t="s">
        <v>225</v>
      </c>
      <c r="E36" s="30" t="s">
        <v>233</v>
      </c>
      <c r="F36" s="30" t="s">
        <v>234</v>
      </c>
      <c r="G36" s="30" t="s">
        <v>228</v>
      </c>
      <c r="H36" s="30" t="s">
        <v>229</v>
      </c>
      <c r="I36" s="30" t="s">
        <v>230</v>
      </c>
      <c r="J36" s="30" t="s">
        <v>165</v>
      </c>
      <c r="K36" s="30" t="s">
        <v>209</v>
      </c>
      <c r="L36" s="30" t="s">
        <v>447</v>
      </c>
    </row>
    <row r="37" spans="2:12" x14ac:dyDescent="0.2">
      <c r="B37" s="30" t="s">
        <v>546</v>
      </c>
      <c r="C37" s="30" t="s">
        <v>541</v>
      </c>
      <c r="D37" s="30" t="s">
        <v>225</v>
      </c>
      <c r="E37" s="30" t="s">
        <v>233</v>
      </c>
      <c r="F37" s="30" t="s">
        <v>554</v>
      </c>
      <c r="G37" s="30" t="s">
        <v>228</v>
      </c>
      <c r="H37" s="30" t="s">
        <v>550</v>
      </c>
      <c r="I37" s="30" t="s">
        <v>230</v>
      </c>
      <c r="J37" s="30" t="s">
        <v>541</v>
      </c>
      <c r="K37" s="30" t="s">
        <v>209</v>
      </c>
      <c r="L37" s="30" t="s">
        <v>447</v>
      </c>
    </row>
    <row r="38" spans="2:12" x14ac:dyDescent="0.2">
      <c r="B38" s="30" t="s">
        <v>261</v>
      </c>
      <c r="C38" s="30" t="s">
        <v>165</v>
      </c>
      <c r="D38" s="30" t="s">
        <v>225</v>
      </c>
      <c r="E38" s="30" t="s">
        <v>260</v>
      </c>
      <c r="F38" s="30" t="s">
        <v>234</v>
      </c>
      <c r="G38" s="30" t="s">
        <v>228</v>
      </c>
      <c r="H38" s="30" t="s">
        <v>229</v>
      </c>
      <c r="I38" s="30" t="s">
        <v>555</v>
      </c>
      <c r="J38" s="30" t="s">
        <v>165</v>
      </c>
      <c r="K38" s="30" t="s">
        <v>209</v>
      </c>
      <c r="L38" s="30" t="s">
        <v>447</v>
      </c>
    </row>
    <row r="39" spans="2:12" x14ac:dyDescent="0.2">
      <c r="B39" s="30" t="s">
        <v>547</v>
      </c>
      <c r="C39" s="30" t="s">
        <v>551</v>
      </c>
      <c r="D39" s="30" t="s">
        <v>225</v>
      </c>
      <c r="E39" s="30" t="s">
        <v>260</v>
      </c>
      <c r="F39" s="30" t="s">
        <v>554</v>
      </c>
      <c r="G39" s="30" t="s">
        <v>228</v>
      </c>
      <c r="H39" s="30" t="s">
        <v>550</v>
      </c>
      <c r="I39" s="30" t="s">
        <v>555</v>
      </c>
      <c r="J39" s="30" t="s">
        <v>551</v>
      </c>
      <c r="K39" s="30" t="s">
        <v>209</v>
      </c>
      <c r="L39" s="30" t="s">
        <v>447</v>
      </c>
    </row>
    <row r="40" spans="2:12" x14ac:dyDescent="0.2">
      <c r="B40" s="30" t="s">
        <v>258</v>
      </c>
      <c r="C40" s="30" t="s">
        <v>301</v>
      </c>
      <c r="D40" s="30" t="s">
        <v>225</v>
      </c>
      <c r="E40" s="30" t="s">
        <v>235</v>
      </c>
      <c r="F40" s="30" t="s">
        <v>236</v>
      </c>
      <c r="G40" s="30" t="s">
        <v>228</v>
      </c>
      <c r="H40" s="30" t="s">
        <v>229</v>
      </c>
      <c r="I40" s="30" t="s">
        <v>230</v>
      </c>
      <c r="J40" s="30" t="s">
        <v>167</v>
      </c>
      <c r="K40" s="30" t="s">
        <v>209</v>
      </c>
      <c r="L40" s="30" t="s">
        <v>447</v>
      </c>
    </row>
    <row r="41" spans="2:12" x14ac:dyDescent="0.2">
      <c r="B41" s="30" t="s">
        <v>257</v>
      </c>
      <c r="C41" s="30" t="s">
        <v>167</v>
      </c>
      <c r="D41" s="30" t="s">
        <v>225</v>
      </c>
      <c r="E41" s="30" t="s">
        <v>237</v>
      </c>
      <c r="F41" s="30" t="s">
        <v>236</v>
      </c>
      <c r="G41" s="30" t="s">
        <v>228</v>
      </c>
      <c r="H41" s="30" t="s">
        <v>229</v>
      </c>
      <c r="I41" s="30" t="s">
        <v>555</v>
      </c>
      <c r="J41" s="30" t="s">
        <v>167</v>
      </c>
      <c r="K41" s="30" t="s">
        <v>209</v>
      </c>
      <c r="L41" s="30" t="s">
        <v>447</v>
      </c>
    </row>
    <row r="42" spans="2:12" x14ac:dyDescent="0.2">
      <c r="B42" s="30" t="s">
        <v>255</v>
      </c>
      <c r="C42" s="30" t="s">
        <v>302</v>
      </c>
      <c r="D42" s="30" t="s">
        <v>225</v>
      </c>
      <c r="E42" s="30" t="s">
        <v>238</v>
      </c>
      <c r="F42" s="30" t="s">
        <v>239</v>
      </c>
      <c r="G42" s="30" t="s">
        <v>228</v>
      </c>
      <c r="H42" s="30" t="s">
        <v>240</v>
      </c>
      <c r="I42" s="30" t="s">
        <v>550</v>
      </c>
      <c r="J42" s="30" t="s">
        <v>169</v>
      </c>
      <c r="K42" s="30" t="s">
        <v>209</v>
      </c>
      <c r="L42" s="30" t="s">
        <v>447</v>
      </c>
    </row>
    <row r="43" spans="2:12" x14ac:dyDescent="0.2">
      <c r="B43" s="30" t="s">
        <v>256</v>
      </c>
      <c r="C43" s="30" t="s">
        <v>169</v>
      </c>
      <c r="D43" s="30" t="s">
        <v>225</v>
      </c>
      <c r="E43" s="30" t="s">
        <v>199</v>
      </c>
      <c r="F43" s="30" t="s">
        <v>239</v>
      </c>
      <c r="G43" s="30" t="s">
        <v>228</v>
      </c>
      <c r="H43" s="30" t="s">
        <v>240</v>
      </c>
      <c r="I43" s="30" t="s">
        <v>550</v>
      </c>
      <c r="J43" s="30" t="s">
        <v>169</v>
      </c>
      <c r="K43" s="30" t="s">
        <v>209</v>
      </c>
      <c r="L43" s="30" t="s">
        <v>447</v>
      </c>
    </row>
    <row r="44" spans="2:12" x14ac:dyDescent="0.2">
      <c r="B44" s="30" t="s">
        <v>253</v>
      </c>
      <c r="C44" s="30" t="s">
        <v>303</v>
      </c>
      <c r="D44" s="30" t="s">
        <v>225</v>
      </c>
      <c r="E44" s="30" t="s">
        <v>311</v>
      </c>
      <c r="F44" s="30" t="s">
        <v>211</v>
      </c>
      <c r="G44" s="30" t="s">
        <v>228</v>
      </c>
      <c r="H44" s="30" t="s">
        <v>241</v>
      </c>
      <c r="I44" s="30" t="s">
        <v>550</v>
      </c>
      <c r="J44" s="30" t="s">
        <v>171</v>
      </c>
      <c r="K44" s="30" t="s">
        <v>209</v>
      </c>
      <c r="L44" s="30" t="s">
        <v>447</v>
      </c>
    </row>
    <row r="45" spans="2:12" x14ac:dyDescent="0.2">
      <c r="B45" s="30" t="s">
        <v>252</v>
      </c>
      <c r="C45" s="30" t="s">
        <v>171</v>
      </c>
      <c r="D45" s="30" t="s">
        <v>225</v>
      </c>
      <c r="E45" s="30" t="s">
        <v>312</v>
      </c>
      <c r="F45" s="30" t="s">
        <v>211</v>
      </c>
      <c r="G45" s="30" t="s">
        <v>228</v>
      </c>
      <c r="H45" s="30" t="s">
        <v>241</v>
      </c>
      <c r="I45" s="30" t="s">
        <v>550</v>
      </c>
      <c r="J45" s="30" t="s">
        <v>171</v>
      </c>
      <c r="K45" s="30" t="s">
        <v>209</v>
      </c>
      <c r="L45" s="30" t="s">
        <v>447</v>
      </c>
    </row>
    <row r="46" spans="2:12" x14ac:dyDescent="0.2">
      <c r="B46" s="30" t="s">
        <v>251</v>
      </c>
      <c r="C46" s="30" t="s">
        <v>172</v>
      </c>
      <c r="D46" s="30" t="s">
        <v>225</v>
      </c>
      <c r="E46" s="30" t="s">
        <v>242</v>
      </c>
      <c r="F46" s="30" t="s">
        <v>243</v>
      </c>
      <c r="G46" s="30" t="s">
        <v>996</v>
      </c>
      <c r="H46" s="30" t="s">
        <v>202</v>
      </c>
      <c r="I46" s="30" t="s">
        <v>212</v>
      </c>
      <c r="J46" s="30" t="s">
        <v>172</v>
      </c>
      <c r="K46" s="30" t="s">
        <v>209</v>
      </c>
      <c r="L46" s="30" t="s">
        <v>447</v>
      </c>
    </row>
    <row r="47" spans="2:12" x14ac:dyDescent="0.2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</row>
    <row r="48" spans="2:12" x14ac:dyDescent="0.2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</row>
    <row r="49" spans="2:12" x14ac:dyDescent="0.2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</row>
    <row r="50" spans="2:12" x14ac:dyDescent="0.2">
      <c r="B50" s="30" t="s">
        <v>356</v>
      </c>
      <c r="C50" s="30" t="s">
        <v>363</v>
      </c>
      <c r="D50" s="30" t="s">
        <v>355</v>
      </c>
      <c r="E50" s="30" t="s">
        <v>357</v>
      </c>
      <c r="F50" s="30" t="s">
        <v>326</v>
      </c>
      <c r="G50" s="30" t="s">
        <v>668</v>
      </c>
      <c r="H50" s="30" t="s">
        <v>323</v>
      </c>
      <c r="I50" s="30" t="s">
        <v>324</v>
      </c>
      <c r="J50" s="30" t="s">
        <v>364</v>
      </c>
      <c r="K50" s="30" t="s">
        <v>209</v>
      </c>
      <c r="L50" s="30" t="s">
        <v>451</v>
      </c>
    </row>
    <row r="51" spans="2:12" x14ac:dyDescent="0.2">
      <c r="B51" s="30" t="s">
        <v>48</v>
      </c>
      <c r="C51" s="30" t="s">
        <v>364</v>
      </c>
      <c r="D51" s="30" t="s">
        <v>355</v>
      </c>
      <c r="E51" s="30" t="s">
        <v>357</v>
      </c>
      <c r="F51" s="30" t="s">
        <v>326</v>
      </c>
      <c r="G51" s="30" t="s">
        <v>668</v>
      </c>
      <c r="H51" s="30" t="s">
        <v>323</v>
      </c>
      <c r="I51" s="30" t="s">
        <v>324</v>
      </c>
      <c r="J51" s="30" t="s">
        <v>364</v>
      </c>
      <c r="K51" s="30" t="s">
        <v>209</v>
      </c>
      <c r="L51" s="30" t="s">
        <v>451</v>
      </c>
    </row>
    <row r="52" spans="2:12" x14ac:dyDescent="0.2">
      <c r="B52" s="30" t="s">
        <v>57</v>
      </c>
      <c r="C52" s="30" t="s">
        <v>365</v>
      </c>
      <c r="D52" s="30" t="s">
        <v>355</v>
      </c>
      <c r="E52" s="30" t="s">
        <v>358</v>
      </c>
      <c r="F52" s="30" t="s">
        <v>327</v>
      </c>
      <c r="G52" s="30" t="s">
        <v>668</v>
      </c>
      <c r="H52" s="30" t="s">
        <v>323</v>
      </c>
      <c r="I52" s="30" t="s">
        <v>324</v>
      </c>
      <c r="J52" s="30" t="s">
        <v>365</v>
      </c>
      <c r="K52" s="30" t="s">
        <v>209</v>
      </c>
      <c r="L52" s="30" t="s">
        <v>451</v>
      </c>
    </row>
    <row r="53" spans="2:12" x14ac:dyDescent="0.2">
      <c r="B53" s="30" t="s">
        <v>60</v>
      </c>
      <c r="C53" s="30" t="s">
        <v>366</v>
      </c>
      <c r="D53" s="30" t="s">
        <v>355</v>
      </c>
      <c r="E53" s="30" t="s">
        <v>359</v>
      </c>
      <c r="F53" s="30" t="s">
        <v>328</v>
      </c>
      <c r="G53" s="30" t="s">
        <v>668</v>
      </c>
      <c r="H53" s="30" t="s">
        <v>323</v>
      </c>
      <c r="I53" s="30" t="s">
        <v>324</v>
      </c>
      <c r="J53" s="30" t="s">
        <v>366</v>
      </c>
      <c r="K53" s="30" t="s">
        <v>209</v>
      </c>
      <c r="L53" s="30" t="s">
        <v>451</v>
      </c>
    </row>
    <row r="54" spans="2:12" x14ac:dyDescent="0.2">
      <c r="B54" s="30" t="s">
        <v>61</v>
      </c>
      <c r="C54" s="30" t="s">
        <v>367</v>
      </c>
      <c r="D54" s="30" t="s">
        <v>355</v>
      </c>
      <c r="E54" s="30" t="s">
        <v>360</v>
      </c>
      <c r="F54" s="30" t="s">
        <v>329</v>
      </c>
      <c r="G54" s="30" t="s">
        <v>244</v>
      </c>
      <c r="H54" s="30" t="s">
        <v>202</v>
      </c>
      <c r="I54" s="30" t="s">
        <v>324</v>
      </c>
      <c r="J54" s="30" t="s">
        <v>367</v>
      </c>
      <c r="K54" s="30" t="s">
        <v>209</v>
      </c>
      <c r="L54" s="30" t="s">
        <v>451</v>
      </c>
    </row>
    <row r="55" spans="2:12" x14ac:dyDescent="0.2">
      <c r="B55" s="30" t="s">
        <v>66</v>
      </c>
      <c r="C55" s="30" t="s">
        <v>368</v>
      </c>
      <c r="D55" s="30" t="s">
        <v>355</v>
      </c>
      <c r="E55" s="30" t="s">
        <v>361</v>
      </c>
      <c r="F55" s="30" t="s">
        <v>211</v>
      </c>
      <c r="G55" s="30" t="s">
        <v>244</v>
      </c>
      <c r="H55" s="30" t="s">
        <v>325</v>
      </c>
      <c r="I55" s="30" t="s">
        <v>324</v>
      </c>
      <c r="J55" s="30" t="s">
        <v>368</v>
      </c>
      <c r="K55" s="30" t="s">
        <v>209</v>
      </c>
      <c r="L55" s="30" t="s">
        <v>451</v>
      </c>
    </row>
    <row r="56" spans="2:12" x14ac:dyDescent="0.2">
      <c r="B56" s="30" t="s">
        <v>69</v>
      </c>
      <c r="C56" s="30" t="s">
        <v>369</v>
      </c>
      <c r="D56" s="30" t="s">
        <v>355</v>
      </c>
      <c r="E56" s="30" t="s">
        <v>362</v>
      </c>
      <c r="F56" s="30" t="s">
        <v>330</v>
      </c>
      <c r="G56" s="30" t="s">
        <v>244</v>
      </c>
      <c r="H56" s="30" t="s">
        <v>442</v>
      </c>
      <c r="I56" s="30" t="s">
        <v>212</v>
      </c>
      <c r="J56" s="30" t="s">
        <v>369</v>
      </c>
      <c r="K56" s="30" t="s">
        <v>209</v>
      </c>
      <c r="L56" s="30" t="s">
        <v>451</v>
      </c>
    </row>
    <row r="57" spans="2:12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  <row r="58" spans="2:12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</row>
    <row r="59" spans="2:12" x14ac:dyDescent="0.2">
      <c r="B59" s="30" t="s">
        <v>370</v>
      </c>
      <c r="C59" s="30" t="s">
        <v>373</v>
      </c>
      <c r="D59" s="30" t="s">
        <v>315</v>
      </c>
      <c r="E59" s="30" t="s">
        <v>316</v>
      </c>
      <c r="F59" s="30" t="s">
        <v>371</v>
      </c>
      <c r="G59" s="30" t="s">
        <v>322</v>
      </c>
      <c r="H59" s="30" t="s">
        <v>323</v>
      </c>
      <c r="I59" s="30" t="s">
        <v>324</v>
      </c>
      <c r="J59" s="30" t="s">
        <v>372</v>
      </c>
      <c r="K59" s="30" t="s">
        <v>209</v>
      </c>
      <c r="L59" s="30" t="s">
        <v>448</v>
      </c>
    </row>
    <row r="60" spans="2:12" x14ac:dyDescent="0.2">
      <c r="B60" s="30" t="s">
        <v>72</v>
      </c>
      <c r="C60" s="30" t="s">
        <v>375</v>
      </c>
      <c r="D60" s="30" t="s">
        <v>315</v>
      </c>
      <c r="E60" s="30" t="s">
        <v>316</v>
      </c>
      <c r="F60" s="30" t="s">
        <v>326</v>
      </c>
      <c r="G60" s="30" t="s">
        <v>322</v>
      </c>
      <c r="H60" s="30" t="s">
        <v>323</v>
      </c>
      <c r="I60" s="30" t="s">
        <v>324</v>
      </c>
      <c r="J60" s="30" t="s">
        <v>374</v>
      </c>
      <c r="K60" s="30" t="s">
        <v>209</v>
      </c>
      <c r="L60" s="30" t="s">
        <v>448</v>
      </c>
    </row>
    <row r="61" spans="2:12" x14ac:dyDescent="0.2">
      <c r="B61" s="30" t="s">
        <v>79</v>
      </c>
      <c r="C61" s="30" t="s">
        <v>377</v>
      </c>
      <c r="D61" s="30" t="s">
        <v>315</v>
      </c>
      <c r="E61" s="30" t="s">
        <v>317</v>
      </c>
      <c r="F61" s="30" t="s">
        <v>327</v>
      </c>
      <c r="G61" s="30" t="s">
        <v>322</v>
      </c>
      <c r="H61" s="30" t="s">
        <v>323</v>
      </c>
      <c r="I61" s="30" t="s">
        <v>324</v>
      </c>
      <c r="J61" s="30" t="s">
        <v>376</v>
      </c>
      <c r="K61" s="30" t="s">
        <v>209</v>
      </c>
      <c r="L61" s="30" t="s">
        <v>448</v>
      </c>
    </row>
    <row r="62" spans="2:12" x14ac:dyDescent="0.2">
      <c r="B62" s="30" t="s">
        <v>80</v>
      </c>
      <c r="C62" s="30" t="s">
        <v>379</v>
      </c>
      <c r="D62" s="30" t="s">
        <v>315</v>
      </c>
      <c r="E62" s="30" t="s">
        <v>318</v>
      </c>
      <c r="F62" s="30" t="s">
        <v>328</v>
      </c>
      <c r="G62" s="30" t="s">
        <v>322</v>
      </c>
      <c r="H62" s="30" t="s">
        <v>323</v>
      </c>
      <c r="I62" s="30" t="s">
        <v>324</v>
      </c>
      <c r="J62" s="30" t="s">
        <v>378</v>
      </c>
      <c r="K62" s="30" t="s">
        <v>209</v>
      </c>
      <c r="L62" s="30" t="s">
        <v>448</v>
      </c>
    </row>
    <row r="63" spans="2:12" x14ac:dyDescent="0.2">
      <c r="B63" s="30" t="s">
        <v>82</v>
      </c>
      <c r="C63" s="30" t="s">
        <v>381</v>
      </c>
      <c r="D63" s="30" t="s">
        <v>315</v>
      </c>
      <c r="E63" s="30" t="s">
        <v>319</v>
      </c>
      <c r="F63" s="30" t="s">
        <v>329</v>
      </c>
      <c r="G63" s="30" t="s">
        <v>244</v>
      </c>
      <c r="H63" s="30" t="s">
        <v>202</v>
      </c>
      <c r="I63" s="30" t="s">
        <v>324</v>
      </c>
      <c r="J63" s="30" t="s">
        <v>380</v>
      </c>
      <c r="K63" s="30" t="s">
        <v>209</v>
      </c>
      <c r="L63" s="30" t="s">
        <v>448</v>
      </c>
    </row>
    <row r="64" spans="2:12" x14ac:dyDescent="0.2">
      <c r="B64" s="30" t="s">
        <v>85</v>
      </c>
      <c r="C64" s="30" t="s">
        <v>383</v>
      </c>
      <c r="D64" s="30" t="s">
        <v>315</v>
      </c>
      <c r="E64" s="30" t="s">
        <v>320</v>
      </c>
      <c r="F64" s="30" t="s">
        <v>211</v>
      </c>
      <c r="G64" s="30" t="s">
        <v>244</v>
      </c>
      <c r="H64" s="30" t="s">
        <v>325</v>
      </c>
      <c r="I64" s="30" t="s">
        <v>324</v>
      </c>
      <c r="J64" s="30" t="s">
        <v>382</v>
      </c>
      <c r="K64" s="30" t="s">
        <v>209</v>
      </c>
      <c r="L64" s="30" t="s">
        <v>448</v>
      </c>
    </row>
    <row r="65" spans="2:12" x14ac:dyDescent="0.2">
      <c r="B65" s="30" t="s">
        <v>86</v>
      </c>
      <c r="C65" s="30" t="s">
        <v>385</v>
      </c>
      <c r="D65" s="30" t="s">
        <v>315</v>
      </c>
      <c r="E65" s="30" t="s">
        <v>321</v>
      </c>
      <c r="F65" s="30" t="s">
        <v>330</v>
      </c>
      <c r="G65" s="30" t="s">
        <v>244</v>
      </c>
      <c r="H65" s="30" t="s">
        <v>442</v>
      </c>
      <c r="I65" s="30" t="s">
        <v>212</v>
      </c>
      <c r="J65" s="30" t="s">
        <v>384</v>
      </c>
      <c r="K65" s="30" t="s">
        <v>209</v>
      </c>
      <c r="L65" s="30" t="s">
        <v>448</v>
      </c>
    </row>
    <row r="66" spans="2:12" x14ac:dyDescent="0.2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</row>
    <row r="67" spans="2:12" x14ac:dyDescent="0.2">
      <c r="B67" s="30" t="s">
        <v>1003</v>
      </c>
      <c r="C67" s="30" t="s">
        <v>1004</v>
      </c>
      <c r="D67" s="30" t="s">
        <v>340</v>
      </c>
      <c r="E67" s="30" t="s">
        <v>316</v>
      </c>
      <c r="F67" s="30" t="s">
        <v>371</v>
      </c>
      <c r="G67" s="30" t="s">
        <v>334</v>
      </c>
      <c r="H67" s="30" t="s">
        <v>342</v>
      </c>
      <c r="I67" s="30" t="s">
        <v>343</v>
      </c>
      <c r="J67" s="30" t="s">
        <v>386</v>
      </c>
      <c r="K67" s="30" t="s">
        <v>209</v>
      </c>
      <c r="L67" s="30" t="s">
        <v>449</v>
      </c>
    </row>
    <row r="68" spans="2:12" x14ac:dyDescent="0.2">
      <c r="B68" s="30" t="s">
        <v>89</v>
      </c>
      <c r="C68" s="30" t="s">
        <v>387</v>
      </c>
      <c r="D68" s="30" t="s">
        <v>340</v>
      </c>
      <c r="E68" s="30" t="s">
        <v>316</v>
      </c>
      <c r="F68" s="30" t="s">
        <v>341</v>
      </c>
      <c r="G68" s="30" t="s">
        <v>334</v>
      </c>
      <c r="H68" s="30" t="s">
        <v>342</v>
      </c>
      <c r="I68" s="30" t="s">
        <v>343</v>
      </c>
      <c r="J68" s="30" t="s">
        <v>386</v>
      </c>
      <c r="K68" s="30" t="s">
        <v>209</v>
      </c>
      <c r="L68" s="30" t="s">
        <v>449</v>
      </c>
    </row>
    <row r="69" spans="2:12" x14ac:dyDescent="0.2">
      <c r="B69" s="30" t="s">
        <v>96</v>
      </c>
      <c r="C69" s="30" t="s">
        <v>389</v>
      </c>
      <c r="D69" s="30" t="s">
        <v>344</v>
      </c>
      <c r="E69" s="30" t="s">
        <v>319</v>
      </c>
      <c r="F69" s="30" t="s">
        <v>345</v>
      </c>
      <c r="G69" s="30" t="s">
        <v>244</v>
      </c>
      <c r="H69" s="30" t="s">
        <v>346</v>
      </c>
      <c r="I69" s="30" t="s">
        <v>343</v>
      </c>
      <c r="J69" s="30" t="s">
        <v>388</v>
      </c>
      <c r="K69" s="30" t="s">
        <v>209</v>
      </c>
      <c r="L69" s="30" t="s">
        <v>449</v>
      </c>
    </row>
    <row r="70" spans="2:12" x14ac:dyDescent="0.2">
      <c r="B70" s="30" t="s">
        <v>98</v>
      </c>
      <c r="C70" s="30" t="s">
        <v>391</v>
      </c>
      <c r="D70" s="30" t="s">
        <v>344</v>
      </c>
      <c r="E70" s="30" t="s">
        <v>320</v>
      </c>
      <c r="F70" s="30" t="s">
        <v>347</v>
      </c>
      <c r="G70" s="30" t="s">
        <v>244</v>
      </c>
      <c r="H70" s="30" t="s">
        <v>325</v>
      </c>
      <c r="I70" s="30" t="s">
        <v>343</v>
      </c>
      <c r="J70" s="30" t="s">
        <v>390</v>
      </c>
      <c r="K70" s="30" t="s">
        <v>209</v>
      </c>
      <c r="L70" s="30" t="s">
        <v>449</v>
      </c>
    </row>
    <row r="71" spans="2:12" x14ac:dyDescent="0.2">
      <c r="B71" s="30" t="s">
        <v>99</v>
      </c>
      <c r="C71" s="30" t="s">
        <v>393</v>
      </c>
      <c r="D71" s="30" t="s">
        <v>344</v>
      </c>
      <c r="E71" s="30" t="s">
        <v>321</v>
      </c>
      <c r="F71" s="30" t="s">
        <v>348</v>
      </c>
      <c r="G71" s="30" t="s">
        <v>244</v>
      </c>
      <c r="H71" s="30" t="s">
        <v>442</v>
      </c>
      <c r="I71" s="30" t="s">
        <v>349</v>
      </c>
      <c r="J71" s="30" t="s">
        <v>392</v>
      </c>
      <c r="K71" s="30" t="s">
        <v>209</v>
      </c>
      <c r="L71" s="30" t="s">
        <v>449</v>
      </c>
    </row>
    <row r="72" spans="2:12" x14ac:dyDescent="0.2">
      <c r="B72" s="30" t="s">
        <v>101</v>
      </c>
      <c r="C72" s="30" t="s">
        <v>395</v>
      </c>
      <c r="D72" s="30" t="s">
        <v>344</v>
      </c>
      <c r="E72" s="30" t="s">
        <v>350</v>
      </c>
      <c r="F72" s="30" t="s">
        <v>351</v>
      </c>
      <c r="G72" s="30" t="s">
        <v>244</v>
      </c>
      <c r="H72" s="30" t="s">
        <v>442</v>
      </c>
      <c r="I72" s="30" t="s">
        <v>349</v>
      </c>
      <c r="J72" s="30" t="s">
        <v>394</v>
      </c>
      <c r="K72" s="30" t="s">
        <v>209</v>
      </c>
      <c r="L72" s="30" t="s">
        <v>449</v>
      </c>
    </row>
    <row r="73" spans="2:12" x14ac:dyDescent="0.2">
      <c r="B73" s="30" t="s">
        <v>103</v>
      </c>
      <c r="C73" s="30" t="s">
        <v>397</v>
      </c>
      <c r="D73" s="30" t="s">
        <v>344</v>
      </c>
      <c r="E73" s="30" t="s">
        <v>352</v>
      </c>
      <c r="F73" s="30" t="s">
        <v>353</v>
      </c>
      <c r="G73" s="30" t="s">
        <v>244</v>
      </c>
      <c r="H73" s="30" t="s">
        <v>346</v>
      </c>
      <c r="I73" s="30" t="s">
        <v>354</v>
      </c>
      <c r="J73" s="30" t="s">
        <v>396</v>
      </c>
      <c r="K73" s="30" t="s">
        <v>209</v>
      </c>
      <c r="L73" s="30" t="s">
        <v>449</v>
      </c>
    </row>
    <row r="74" spans="2:12" x14ac:dyDescent="0.2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2:12" x14ac:dyDescent="0.2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</row>
    <row r="76" spans="2:12" x14ac:dyDescent="0.2">
      <c r="B76" s="30" t="s">
        <v>815</v>
      </c>
      <c r="C76" s="30" t="s">
        <v>825</v>
      </c>
      <c r="D76" s="30" t="s">
        <v>830</v>
      </c>
      <c r="E76" s="30" t="s">
        <v>827</v>
      </c>
      <c r="F76" s="30" t="s">
        <v>831</v>
      </c>
      <c r="G76" s="30" t="s">
        <v>244</v>
      </c>
      <c r="H76" s="30" t="s">
        <v>202</v>
      </c>
      <c r="I76" s="30" t="s">
        <v>324</v>
      </c>
      <c r="J76" s="30" t="s">
        <v>826</v>
      </c>
      <c r="K76" s="30" t="s">
        <v>209</v>
      </c>
      <c r="L76" s="30" t="s">
        <v>450</v>
      </c>
    </row>
    <row r="77" spans="2:12" x14ac:dyDescent="0.2">
      <c r="B77" s="30" t="s">
        <v>816</v>
      </c>
      <c r="C77" s="30" t="s">
        <v>823</v>
      </c>
      <c r="D77" s="30" t="s">
        <v>830</v>
      </c>
      <c r="E77" s="30" t="s">
        <v>836</v>
      </c>
      <c r="F77" s="30" t="s">
        <v>329</v>
      </c>
      <c r="G77" s="30" t="s">
        <v>244</v>
      </c>
      <c r="H77" s="30" t="s">
        <v>202</v>
      </c>
      <c r="I77" s="30" t="s">
        <v>324</v>
      </c>
      <c r="J77" s="30" t="s">
        <v>824</v>
      </c>
      <c r="K77" s="30" t="s">
        <v>209</v>
      </c>
      <c r="L77" s="30" t="s">
        <v>450</v>
      </c>
    </row>
    <row r="78" spans="2:12" x14ac:dyDescent="0.2">
      <c r="B78" s="30" t="s">
        <v>817</v>
      </c>
      <c r="C78" s="30" t="s">
        <v>819</v>
      </c>
      <c r="D78" s="30" t="s">
        <v>830</v>
      </c>
      <c r="E78" s="30" t="s">
        <v>828</v>
      </c>
      <c r="F78" s="30" t="s">
        <v>330</v>
      </c>
      <c r="G78" s="30" t="s">
        <v>244</v>
      </c>
      <c r="H78" s="30" t="s">
        <v>338</v>
      </c>
      <c r="I78" s="30" t="s">
        <v>212</v>
      </c>
      <c r="J78" s="30" t="s">
        <v>822</v>
      </c>
      <c r="K78" s="30" t="s">
        <v>209</v>
      </c>
      <c r="L78" s="30" t="s">
        <v>450</v>
      </c>
    </row>
    <row r="79" spans="2:12" x14ac:dyDescent="0.2">
      <c r="B79" s="30" t="s">
        <v>818</v>
      </c>
      <c r="C79" s="30" t="s">
        <v>820</v>
      </c>
      <c r="D79" s="30" t="s">
        <v>830</v>
      </c>
      <c r="E79" s="30" t="s">
        <v>829</v>
      </c>
      <c r="F79" s="30" t="s">
        <v>814</v>
      </c>
      <c r="G79" s="30" t="s">
        <v>244</v>
      </c>
      <c r="H79" s="30" t="s">
        <v>338</v>
      </c>
      <c r="I79" s="30" t="s">
        <v>212</v>
      </c>
      <c r="J79" s="30" t="s">
        <v>821</v>
      </c>
      <c r="K79" s="30" t="s">
        <v>209</v>
      </c>
      <c r="L79" s="30" t="s">
        <v>450</v>
      </c>
    </row>
    <row r="80" spans="2:12" x14ac:dyDescent="0.2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</row>
    <row r="81" spans="2:12" x14ac:dyDescent="0.2">
      <c r="B81" s="30" t="s">
        <v>331</v>
      </c>
      <c r="C81" s="30" t="s">
        <v>399</v>
      </c>
      <c r="D81" s="30" t="s">
        <v>332</v>
      </c>
      <c r="E81" s="30" t="s">
        <v>333</v>
      </c>
      <c r="F81" s="30" t="s">
        <v>441</v>
      </c>
      <c r="G81" s="30" t="s">
        <v>334</v>
      </c>
      <c r="H81" s="30" t="s">
        <v>335</v>
      </c>
      <c r="I81" s="30" t="s">
        <v>324</v>
      </c>
      <c r="J81" s="30" t="s">
        <v>399</v>
      </c>
      <c r="K81" s="30" t="s">
        <v>209</v>
      </c>
      <c r="L81" s="30" t="s">
        <v>450</v>
      </c>
    </row>
    <row r="82" spans="2:12" x14ac:dyDescent="0.2">
      <c r="B82" s="30" t="s">
        <v>611</v>
      </c>
      <c r="C82" s="30" t="s">
        <v>401</v>
      </c>
      <c r="D82" s="30" t="s">
        <v>332</v>
      </c>
      <c r="E82" s="30" t="s">
        <v>336</v>
      </c>
      <c r="F82" s="30" t="s">
        <v>329</v>
      </c>
      <c r="G82" s="30" t="s">
        <v>244</v>
      </c>
      <c r="H82" s="30" t="s">
        <v>202</v>
      </c>
      <c r="I82" s="30" t="s">
        <v>324</v>
      </c>
      <c r="J82" s="30" t="s">
        <v>401</v>
      </c>
      <c r="K82" s="30" t="s">
        <v>209</v>
      </c>
      <c r="L82" s="30" t="s">
        <v>450</v>
      </c>
    </row>
    <row r="83" spans="2:12" x14ac:dyDescent="0.2">
      <c r="B83" s="30" t="s">
        <v>115</v>
      </c>
      <c r="C83" s="30" t="s">
        <v>403</v>
      </c>
      <c r="D83" s="30" t="s">
        <v>332</v>
      </c>
      <c r="E83" s="30" t="s">
        <v>337</v>
      </c>
      <c r="F83" s="30" t="s">
        <v>330</v>
      </c>
      <c r="G83" s="30" t="s">
        <v>244</v>
      </c>
      <c r="H83" s="30" t="s">
        <v>338</v>
      </c>
      <c r="I83" s="30" t="s">
        <v>212</v>
      </c>
      <c r="J83" s="30" t="s">
        <v>403</v>
      </c>
      <c r="K83" s="30" t="s">
        <v>209</v>
      </c>
      <c r="L83" s="30" t="s">
        <v>450</v>
      </c>
    </row>
    <row r="84" spans="2:12" x14ac:dyDescent="0.2">
      <c r="B84" s="30" t="s">
        <v>117</v>
      </c>
      <c r="C84" s="30" t="s">
        <v>405</v>
      </c>
      <c r="D84" s="30" t="s">
        <v>332</v>
      </c>
      <c r="E84" s="30" t="s">
        <v>339</v>
      </c>
      <c r="F84" s="30" t="s">
        <v>351</v>
      </c>
      <c r="G84" s="30" t="s">
        <v>244</v>
      </c>
      <c r="H84" s="30" t="s">
        <v>338</v>
      </c>
      <c r="I84" s="30" t="s">
        <v>212</v>
      </c>
      <c r="J84" s="30" t="s">
        <v>405</v>
      </c>
      <c r="K84" s="30" t="s">
        <v>209</v>
      </c>
      <c r="L84" s="30" t="s">
        <v>450</v>
      </c>
    </row>
    <row r="85" spans="2:12" x14ac:dyDescent="0.2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</row>
    <row r="86" spans="2:12" x14ac:dyDescent="0.2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</row>
    <row r="87" spans="2:12" x14ac:dyDescent="0.2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</row>
    <row r="88" spans="2:12" x14ac:dyDescent="0.2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</row>
    <row r="89" spans="2:12" x14ac:dyDescent="0.2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</row>
    <row r="90" spans="2:12" x14ac:dyDescent="0.2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</row>
    <row r="91" spans="2:12" x14ac:dyDescent="0.2">
      <c r="B91" s="30" t="s">
        <v>652</v>
      </c>
      <c r="C91" s="30" t="s">
        <v>660</v>
      </c>
      <c r="D91" s="30" t="s">
        <v>661</v>
      </c>
      <c r="E91" s="30" t="s">
        <v>662</v>
      </c>
      <c r="F91" s="30" t="s">
        <v>345</v>
      </c>
      <c r="G91" s="30" t="s">
        <v>334</v>
      </c>
      <c r="H91" s="30" t="s">
        <v>269</v>
      </c>
      <c r="I91" s="30" t="s">
        <v>440</v>
      </c>
      <c r="J91" s="30" t="s">
        <v>660</v>
      </c>
      <c r="K91" s="30"/>
      <c r="L91" s="30"/>
    </row>
    <row r="92" spans="2:12" x14ac:dyDescent="0.2">
      <c r="B92" s="30" t="s">
        <v>430</v>
      </c>
      <c r="C92" s="30" t="s">
        <v>424</v>
      </c>
      <c r="D92" s="30" t="s">
        <v>431</v>
      </c>
      <c r="E92" s="30" t="s">
        <v>435</v>
      </c>
      <c r="F92" s="30" t="s">
        <v>329</v>
      </c>
      <c r="G92" s="30" t="s">
        <v>334</v>
      </c>
      <c r="H92" s="30" t="s">
        <v>269</v>
      </c>
      <c r="I92" s="30" t="s">
        <v>440</v>
      </c>
      <c r="J92" s="30" t="s">
        <v>424</v>
      </c>
      <c r="K92" s="30"/>
      <c r="L92" s="30"/>
    </row>
    <row r="93" spans="2:12" x14ac:dyDescent="0.2">
      <c r="B93" s="30" t="s">
        <v>482</v>
      </c>
      <c r="C93" s="30" t="s">
        <v>473</v>
      </c>
      <c r="D93" s="30" t="s">
        <v>476</v>
      </c>
      <c r="E93" s="30" t="s">
        <v>435</v>
      </c>
      <c r="F93" s="30" t="s">
        <v>329</v>
      </c>
      <c r="G93" s="30" t="s">
        <v>484</v>
      </c>
      <c r="H93" s="30" t="s">
        <v>438</v>
      </c>
      <c r="I93" s="30" t="s">
        <v>439</v>
      </c>
      <c r="J93" s="30" t="s">
        <v>473</v>
      </c>
      <c r="K93" s="30"/>
      <c r="L93" s="30"/>
    </row>
    <row r="94" spans="2:12" x14ac:dyDescent="0.2">
      <c r="B94" s="30" t="s">
        <v>483</v>
      </c>
      <c r="C94" s="30" t="s">
        <v>475</v>
      </c>
      <c r="D94" s="30" t="s">
        <v>476</v>
      </c>
      <c r="E94" s="30" t="s">
        <v>436</v>
      </c>
      <c r="F94" s="30" t="s">
        <v>329</v>
      </c>
      <c r="G94" s="30" t="s">
        <v>484</v>
      </c>
      <c r="H94" s="30" t="s">
        <v>438</v>
      </c>
      <c r="I94" s="30" t="s">
        <v>439</v>
      </c>
      <c r="J94" s="30" t="s">
        <v>475</v>
      </c>
      <c r="K94" s="30"/>
      <c r="L94" s="30"/>
    </row>
    <row r="95" spans="2:12" x14ac:dyDescent="0.2">
      <c r="B95" s="30" t="s">
        <v>426</v>
      </c>
      <c r="C95" s="30" t="s">
        <v>422</v>
      </c>
      <c r="D95" s="30" t="s">
        <v>432</v>
      </c>
      <c r="E95" s="30" t="s">
        <v>360</v>
      </c>
      <c r="F95" s="30" t="s">
        <v>329</v>
      </c>
      <c r="G95" s="30" t="s">
        <v>335</v>
      </c>
      <c r="H95" s="30" t="s">
        <v>438</v>
      </c>
      <c r="I95" s="30" t="s">
        <v>439</v>
      </c>
      <c r="J95" s="30" t="s">
        <v>422</v>
      </c>
      <c r="K95" s="30"/>
      <c r="L95" s="30"/>
    </row>
    <row r="96" spans="2:12" x14ac:dyDescent="0.2">
      <c r="B96" s="30" t="s">
        <v>427</v>
      </c>
      <c r="C96" s="30" t="s">
        <v>420</v>
      </c>
      <c r="D96" s="30" t="s">
        <v>433</v>
      </c>
      <c r="E96" s="30" t="s">
        <v>436</v>
      </c>
      <c r="F96" s="30" t="s">
        <v>329</v>
      </c>
      <c r="G96" s="30" t="s">
        <v>335</v>
      </c>
      <c r="H96" s="30" t="s">
        <v>438</v>
      </c>
      <c r="I96" s="30" t="s">
        <v>439</v>
      </c>
      <c r="J96" s="30" t="s">
        <v>420</v>
      </c>
      <c r="K96" s="30"/>
      <c r="L96" s="30"/>
    </row>
    <row r="97" spans="2:12" x14ac:dyDescent="0.2">
      <c r="B97" s="30" t="s">
        <v>428</v>
      </c>
      <c r="C97" s="30" t="s">
        <v>418</v>
      </c>
      <c r="D97" s="30" t="s">
        <v>434</v>
      </c>
      <c r="E97" s="30" t="s">
        <v>436</v>
      </c>
      <c r="F97" s="30" t="s">
        <v>329</v>
      </c>
      <c r="G97" s="30" t="s">
        <v>335</v>
      </c>
      <c r="H97" s="30" t="s">
        <v>438</v>
      </c>
      <c r="I97" s="30" t="s">
        <v>439</v>
      </c>
      <c r="J97" s="30" t="s">
        <v>418</v>
      </c>
      <c r="K97" s="30"/>
      <c r="L97" s="30"/>
    </row>
    <row r="98" spans="2:12" x14ac:dyDescent="0.2">
      <c r="B98" s="30" t="s">
        <v>429</v>
      </c>
      <c r="C98" s="30" t="s">
        <v>416</v>
      </c>
      <c r="D98" s="30" t="s">
        <v>434</v>
      </c>
      <c r="E98" s="30" t="s">
        <v>437</v>
      </c>
      <c r="F98" s="30" t="s">
        <v>243</v>
      </c>
      <c r="G98" s="30" t="s">
        <v>244</v>
      </c>
      <c r="H98" s="30" t="s">
        <v>438</v>
      </c>
      <c r="I98" s="30" t="s">
        <v>202</v>
      </c>
      <c r="J98" s="30" t="s">
        <v>416</v>
      </c>
      <c r="K98" s="30"/>
      <c r="L98" s="30"/>
    </row>
    <row r="99" spans="2:12" x14ac:dyDescent="0.2"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</row>
    <row r="100" spans="2:12" x14ac:dyDescent="0.2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</row>
    <row r="101" spans="2:12" x14ac:dyDescent="0.2">
      <c r="B101" s="30" t="s">
        <v>516</v>
      </c>
      <c r="C101" s="30" t="s">
        <v>516</v>
      </c>
      <c r="D101" s="30" t="s">
        <v>521</v>
      </c>
      <c r="E101" s="30" t="s">
        <v>517</v>
      </c>
      <c r="F101" s="30" t="s">
        <v>518</v>
      </c>
      <c r="G101" s="30" t="s">
        <v>334</v>
      </c>
      <c r="H101" s="30" t="s">
        <v>518</v>
      </c>
      <c r="I101" s="30"/>
      <c r="J101" s="30" t="s">
        <v>516</v>
      </c>
      <c r="K101" s="30"/>
      <c r="L101" s="30"/>
    </row>
    <row r="102" spans="2:12" x14ac:dyDescent="0.2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</row>
    <row r="103" spans="2:12" x14ac:dyDescent="0.2">
      <c r="B103" s="30" t="s">
        <v>508</v>
      </c>
      <c r="C103" s="30" t="s">
        <v>508</v>
      </c>
      <c r="D103" s="30" t="s">
        <v>520</v>
      </c>
      <c r="E103" s="30" t="s">
        <v>522</v>
      </c>
      <c r="F103" s="30" t="s">
        <v>519</v>
      </c>
      <c r="G103" s="30" t="s">
        <v>334</v>
      </c>
      <c r="H103" s="30" t="s">
        <v>499</v>
      </c>
      <c r="I103" s="30"/>
      <c r="J103" s="30" t="s">
        <v>508</v>
      </c>
      <c r="K103" s="30"/>
      <c r="L103" s="30"/>
    </row>
    <row r="104" spans="2:12" x14ac:dyDescent="0.2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</row>
    <row r="105" spans="2:12" x14ac:dyDescent="0.2">
      <c r="B105" s="30" t="s">
        <v>509</v>
      </c>
      <c r="C105" s="30" t="s">
        <v>509</v>
      </c>
      <c r="D105" s="30" t="s">
        <v>520</v>
      </c>
      <c r="E105" s="30" t="s">
        <v>523</v>
      </c>
      <c r="F105" s="30" t="s">
        <v>527</v>
      </c>
      <c r="G105" s="30" t="s">
        <v>334</v>
      </c>
      <c r="H105" s="30" t="s">
        <v>533</v>
      </c>
      <c r="I105" s="30" t="s">
        <v>733</v>
      </c>
      <c r="J105" s="30" t="s">
        <v>731</v>
      </c>
      <c r="K105" s="30"/>
      <c r="L105" s="30"/>
    </row>
    <row r="106" spans="2:12" x14ac:dyDescent="0.2">
      <c r="B106" s="30" t="s">
        <v>510</v>
      </c>
      <c r="C106" s="30" t="s">
        <v>510</v>
      </c>
      <c r="D106" s="30" t="s">
        <v>520</v>
      </c>
      <c r="E106" s="30" t="s">
        <v>526</v>
      </c>
      <c r="F106" s="30" t="s">
        <v>528</v>
      </c>
      <c r="G106" s="30" t="s">
        <v>334</v>
      </c>
      <c r="H106" s="30" t="s">
        <v>533</v>
      </c>
      <c r="I106" s="30" t="s">
        <v>733</v>
      </c>
      <c r="J106" s="30" t="s">
        <v>727</v>
      </c>
      <c r="K106" s="30"/>
      <c r="L106" s="30"/>
    </row>
    <row r="107" spans="2:12" x14ac:dyDescent="0.2">
      <c r="B107" s="30" t="s">
        <v>511</v>
      </c>
      <c r="C107" s="30" t="s">
        <v>511</v>
      </c>
      <c r="D107" s="30" t="s">
        <v>520</v>
      </c>
      <c r="E107" s="30" t="s">
        <v>525</v>
      </c>
      <c r="F107" s="30" t="s">
        <v>529</v>
      </c>
      <c r="G107" s="30" t="s">
        <v>334</v>
      </c>
      <c r="H107" s="30" t="s">
        <v>241</v>
      </c>
      <c r="I107" s="30" t="s">
        <v>733</v>
      </c>
      <c r="J107" s="30" t="s">
        <v>726</v>
      </c>
      <c r="K107" s="30"/>
      <c r="L107" s="30"/>
    </row>
    <row r="108" spans="2:12" x14ac:dyDescent="0.2">
      <c r="B108" s="30" t="s">
        <v>512</v>
      </c>
      <c r="C108" s="30" t="s">
        <v>512</v>
      </c>
      <c r="D108" s="30" t="s">
        <v>520</v>
      </c>
      <c r="E108" s="30" t="s">
        <v>435</v>
      </c>
      <c r="F108" s="30" t="s">
        <v>345</v>
      </c>
      <c r="G108" s="30" t="s">
        <v>334</v>
      </c>
      <c r="H108" s="30" t="s">
        <v>533</v>
      </c>
      <c r="I108" s="30" t="s">
        <v>733</v>
      </c>
      <c r="J108" s="30" t="s">
        <v>724</v>
      </c>
      <c r="K108" s="30"/>
      <c r="L108" s="30"/>
    </row>
    <row r="109" spans="2:12" x14ac:dyDescent="0.2">
      <c r="B109" s="30" t="s">
        <v>513</v>
      </c>
      <c r="C109" s="30" t="s">
        <v>513</v>
      </c>
      <c r="D109" s="30" t="s">
        <v>520</v>
      </c>
      <c r="E109" s="30" t="s">
        <v>524</v>
      </c>
      <c r="F109" s="30" t="s">
        <v>347</v>
      </c>
      <c r="G109" s="30" t="s">
        <v>334</v>
      </c>
      <c r="H109" s="30" t="s">
        <v>241</v>
      </c>
      <c r="I109" s="30" t="s">
        <v>733</v>
      </c>
      <c r="J109" s="30" t="s">
        <v>725</v>
      </c>
      <c r="K109" s="30"/>
      <c r="L109" s="30"/>
    </row>
    <row r="110" spans="2:12" x14ac:dyDescent="0.2"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</row>
    <row r="111" spans="2:12" x14ac:dyDescent="0.2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</row>
    <row r="112" spans="2:12" x14ac:dyDescent="0.2">
      <c r="B112" s="30" t="s">
        <v>720</v>
      </c>
      <c r="C112" s="30" t="s">
        <v>720</v>
      </c>
      <c r="D112" s="30" t="s">
        <v>530</v>
      </c>
      <c r="E112" s="30" t="s">
        <v>523</v>
      </c>
      <c r="F112" s="30" t="s">
        <v>527</v>
      </c>
      <c r="G112" s="30" t="s">
        <v>334</v>
      </c>
      <c r="H112" s="30" t="s">
        <v>533</v>
      </c>
      <c r="I112" s="30" t="s">
        <v>733</v>
      </c>
      <c r="J112" s="30" t="s">
        <v>730</v>
      </c>
      <c r="K112" s="30"/>
      <c r="L112" s="30"/>
    </row>
    <row r="113" spans="2:12" x14ac:dyDescent="0.2">
      <c r="B113" s="30" t="s">
        <v>514</v>
      </c>
      <c r="C113" s="30" t="s">
        <v>514</v>
      </c>
      <c r="D113" s="30" t="s">
        <v>530</v>
      </c>
      <c r="E113" s="30" t="s">
        <v>526</v>
      </c>
      <c r="F113" s="30" t="s">
        <v>327</v>
      </c>
      <c r="G113" s="30" t="s">
        <v>334</v>
      </c>
      <c r="H113" s="30" t="s">
        <v>241</v>
      </c>
      <c r="I113" s="30" t="s">
        <v>733</v>
      </c>
      <c r="J113" s="30" t="s">
        <v>732</v>
      </c>
      <c r="K113" s="30"/>
      <c r="L113" s="30"/>
    </row>
    <row r="114" spans="2:12" x14ac:dyDescent="0.2">
      <c r="B114" s="30" t="s">
        <v>721</v>
      </c>
      <c r="C114" s="30" t="s">
        <v>721</v>
      </c>
      <c r="D114" s="30" t="s">
        <v>530</v>
      </c>
      <c r="E114" s="30" t="s">
        <v>525</v>
      </c>
      <c r="F114" s="30" t="s">
        <v>723</v>
      </c>
      <c r="G114" s="30" t="s">
        <v>334</v>
      </c>
      <c r="H114" s="30" t="s">
        <v>533</v>
      </c>
      <c r="I114" s="30" t="s">
        <v>733</v>
      </c>
      <c r="J114" s="30" t="s">
        <v>729</v>
      </c>
      <c r="K114" s="30"/>
      <c r="L114" s="30"/>
    </row>
    <row r="115" spans="2:12" x14ac:dyDescent="0.2">
      <c r="B115" s="30" t="s">
        <v>722</v>
      </c>
      <c r="C115" s="30" t="s">
        <v>722</v>
      </c>
      <c r="D115" s="30" t="s">
        <v>530</v>
      </c>
      <c r="E115" s="30" t="s">
        <v>435</v>
      </c>
      <c r="F115" s="30" t="s">
        <v>345</v>
      </c>
      <c r="G115" s="30" t="s">
        <v>334</v>
      </c>
      <c r="H115" s="30" t="s">
        <v>241</v>
      </c>
      <c r="I115" s="30" t="s">
        <v>733</v>
      </c>
      <c r="J115" s="30" t="s">
        <v>728</v>
      </c>
      <c r="K115" s="30"/>
      <c r="L115" s="30"/>
    </row>
    <row r="116" spans="2:12" x14ac:dyDescent="0.2"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</row>
    <row r="117" spans="2:12" x14ac:dyDescent="0.2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2:12" x14ac:dyDescent="0.2">
      <c r="B118" s="30" t="s">
        <v>515</v>
      </c>
      <c r="C118" s="30" t="s">
        <v>515</v>
      </c>
      <c r="D118" s="30" t="s">
        <v>531</v>
      </c>
      <c r="E118" s="30" t="s">
        <v>532</v>
      </c>
      <c r="F118" s="30" t="s">
        <v>329</v>
      </c>
      <c r="G118" s="30" t="s">
        <v>244</v>
      </c>
      <c r="H118" s="30" t="s">
        <v>533</v>
      </c>
      <c r="I118" s="30"/>
      <c r="J118" s="30" t="s">
        <v>515</v>
      </c>
      <c r="K118" s="30"/>
      <c r="L118" s="30"/>
    </row>
    <row r="119" spans="2:12" x14ac:dyDescent="0.2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20" spans="2:12" x14ac:dyDescent="0.2"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</row>
    <row r="121" spans="2:12" x14ac:dyDescent="0.2"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</row>
    <row r="174" spans="2:4" x14ac:dyDescent="0.2">
      <c r="B174" t="s">
        <v>246</v>
      </c>
      <c r="C174" t="s">
        <v>218</v>
      </c>
      <c r="D174" t="s">
        <v>224</v>
      </c>
    </row>
    <row r="175" spans="2:4" x14ac:dyDescent="0.2">
      <c r="B175" t="s">
        <v>268</v>
      </c>
      <c r="C175" t="s">
        <v>190</v>
      </c>
      <c r="D175" t="s">
        <v>191</v>
      </c>
    </row>
    <row r="176" spans="2:4" x14ac:dyDescent="0.2">
      <c r="B176" t="s">
        <v>193</v>
      </c>
      <c r="C176" t="s">
        <v>190</v>
      </c>
      <c r="D176" t="s">
        <v>194</v>
      </c>
    </row>
    <row r="177" spans="2:4" x14ac:dyDescent="0.2">
      <c r="B177" t="s">
        <v>262</v>
      </c>
      <c r="C177" t="s">
        <v>195</v>
      </c>
      <c r="D177" t="s">
        <v>265</v>
      </c>
    </row>
    <row r="178" spans="2:4" x14ac:dyDescent="0.2">
      <c r="B178" t="s">
        <v>196</v>
      </c>
      <c r="C178" t="s">
        <v>195</v>
      </c>
      <c r="D178" t="s">
        <v>197</v>
      </c>
    </row>
    <row r="179" spans="2:4" x14ac:dyDescent="0.2">
      <c r="B179" t="s">
        <v>671</v>
      </c>
      <c r="C179" t="s">
        <v>200</v>
      </c>
      <c r="D179" t="s">
        <v>201</v>
      </c>
    </row>
    <row r="180" spans="2:4" x14ac:dyDescent="0.2">
      <c r="B180" t="s">
        <v>1002</v>
      </c>
      <c r="C180" t="s">
        <v>205</v>
      </c>
      <c r="D180" t="s">
        <v>206</v>
      </c>
    </row>
    <row r="181" spans="2:4" x14ac:dyDescent="0.2">
      <c r="B181" t="s">
        <v>207</v>
      </c>
      <c r="C181" t="s">
        <v>205</v>
      </c>
      <c r="D181" t="s">
        <v>208</v>
      </c>
    </row>
    <row r="182" spans="2:4" x14ac:dyDescent="0.2">
      <c r="B182" t="s">
        <v>210</v>
      </c>
      <c r="C182" t="s">
        <v>200</v>
      </c>
      <c r="D182" t="s">
        <v>266</v>
      </c>
    </row>
    <row r="183" spans="2:4" x14ac:dyDescent="0.2">
      <c r="B183" t="s">
        <v>832</v>
      </c>
      <c r="C183" t="s">
        <v>213</v>
      </c>
      <c r="D183" t="s">
        <v>214</v>
      </c>
    </row>
    <row r="184" spans="2:4" x14ac:dyDescent="0.2">
      <c r="B184" t="s">
        <v>534</v>
      </c>
      <c r="C184" s="11" t="s">
        <v>270</v>
      </c>
      <c r="D184" t="s">
        <v>637</v>
      </c>
    </row>
    <row r="185" spans="2:4" x14ac:dyDescent="0.2">
      <c r="B185" t="s">
        <v>833</v>
      </c>
      <c r="C185" s="11" t="s">
        <v>270</v>
      </c>
      <c r="D185" t="s">
        <v>834</v>
      </c>
    </row>
    <row r="186" spans="2:4" x14ac:dyDescent="0.2">
      <c r="B186" t="s">
        <v>215</v>
      </c>
      <c r="C186" t="s">
        <v>195</v>
      </c>
      <c r="D186" t="s">
        <v>216</v>
      </c>
    </row>
    <row r="187" spans="2:4" x14ac:dyDescent="0.2">
      <c r="B187" t="s">
        <v>217</v>
      </c>
      <c r="C187" t="s">
        <v>205</v>
      </c>
      <c r="D187" t="s">
        <v>267</v>
      </c>
    </row>
    <row r="190" spans="2:4" x14ac:dyDescent="0.2">
      <c r="B190" t="s">
        <v>670</v>
      </c>
      <c r="C190" s="11" t="s">
        <v>672</v>
      </c>
      <c r="D190" t="s">
        <v>673</v>
      </c>
    </row>
  </sheetData>
  <phoneticPr fontId="6" type="noConversion"/>
  <conditionalFormatting sqref="C112:C121 C9:C110">
    <cfRule type="duplicateValues" dxfId="76" priority="2"/>
  </conditionalFormatting>
  <conditionalFormatting sqref="J9">
    <cfRule type="duplicateValues" dxfId="75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E8161-E0E2-4515-BF67-10ECFDBEBE68}">
  <sheetPr codeName="Sheet10">
    <tabColor rgb="FF00B050"/>
  </sheetPr>
  <dimension ref="A1:Q245"/>
  <sheetViews>
    <sheetView zoomScaleNormal="100" workbookViewId="0">
      <pane xSplit="1" ySplit="10" topLeftCell="B122" activePane="bottomRight" state="frozen"/>
      <selection activeCell="G11" sqref="G11"/>
      <selection pane="topRight" activeCell="G11" sqref="G11"/>
      <selection pane="bottomLeft" activeCell="G11" sqref="G11"/>
      <selection pane="bottomRight" activeCell="C226" sqref="C226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39" bestFit="1" customWidth="1" outlineLevel="1"/>
    <col min="5" max="5" width="7.25" customWidth="1" outlineLevel="1"/>
    <col min="6" max="6" width="17.625" bestFit="1" customWidth="1"/>
    <col min="7" max="7" width="31.875" bestFit="1" customWidth="1"/>
    <col min="8" max="8" width="17.625" bestFit="1" customWidth="1"/>
    <col min="9" max="11" width="20.625" bestFit="1" customWidth="1"/>
    <col min="12" max="12" width="22.5" customWidth="1"/>
    <col min="13" max="13" width="39.37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175</v>
      </c>
      <c r="B1" s="22" t="s">
        <v>271</v>
      </c>
    </row>
    <row r="2" spans="1:17" x14ac:dyDescent="0.2">
      <c r="A2" t="s">
        <v>1</v>
      </c>
      <c r="B2" s="22" t="s">
        <v>995</v>
      </c>
    </row>
    <row r="3" spans="1:17" x14ac:dyDescent="0.2">
      <c r="A3" t="s">
        <v>2</v>
      </c>
      <c r="B3" s="22" t="s">
        <v>1071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177</v>
      </c>
    </row>
    <row r="6" spans="1:17" ht="15" thickBot="1" x14ac:dyDescent="0.25"/>
    <row r="7" spans="1:17" ht="19.5" customHeight="1" thickTop="1" x14ac:dyDescent="0.2">
      <c r="F7" s="33" t="s">
        <v>178</v>
      </c>
      <c r="G7" s="34"/>
      <c r="H7" s="35"/>
      <c r="I7" s="45" t="s">
        <v>179</v>
      </c>
      <c r="J7" s="46"/>
      <c r="K7" s="46"/>
      <c r="L7" s="47"/>
      <c r="M7" s="39" t="s">
        <v>180</v>
      </c>
      <c r="N7" s="40"/>
      <c r="O7" s="43" t="s">
        <v>181</v>
      </c>
      <c r="P7" s="43" t="s">
        <v>263</v>
      </c>
      <c r="Q7" s="43" t="s">
        <v>192</v>
      </c>
    </row>
    <row r="8" spans="1:17" ht="19.5" customHeight="1" thickBot="1" x14ac:dyDescent="0.25">
      <c r="F8" s="36"/>
      <c r="G8" s="37"/>
      <c r="H8" s="38"/>
      <c r="I8" s="45"/>
      <c r="J8" s="46"/>
      <c r="K8" s="46"/>
      <c r="L8" s="47"/>
      <c r="M8" s="41"/>
      <c r="N8" s="42"/>
      <c r="O8" s="44"/>
      <c r="P8" s="44"/>
      <c r="Q8" s="44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247</v>
      </c>
      <c r="D10" s="17" t="s">
        <v>248</v>
      </c>
      <c r="E10" s="17" t="s">
        <v>181</v>
      </c>
      <c r="F10" s="18" t="s">
        <v>18</v>
      </c>
      <c r="G10" s="19" t="s">
        <v>182</v>
      </c>
      <c r="H10" s="19" t="s">
        <v>183</v>
      </c>
      <c r="I10" s="19" t="s">
        <v>184</v>
      </c>
      <c r="J10" s="19" t="s">
        <v>185</v>
      </c>
      <c r="K10" s="19" t="s">
        <v>186</v>
      </c>
      <c r="L10" s="19" t="s">
        <v>272</v>
      </c>
      <c r="M10" s="10" t="s">
        <v>999</v>
      </c>
      <c r="N10" s="10" t="s">
        <v>1000</v>
      </c>
      <c r="O10" s="10" t="s">
        <v>189</v>
      </c>
      <c r="P10" s="10" t="s">
        <v>19</v>
      </c>
      <c r="Q10" s="10" t="s">
        <v>264</v>
      </c>
    </row>
    <row r="11" spans="1:17" ht="15" thickTop="1" x14ac:dyDescent="0.2">
      <c r="F11" t="str">
        <f>IF(表1_5310[[#This Row],[配件1]]&lt;&gt;"",_xlfn.XLOOKUP(表1_5310[[#This Row],[配件1]],显卡利益点对照表新[型号],显卡利益点对照表新[[芯片组 ]],"ERROR"),"")</f>
        <v/>
      </c>
      <c r="G1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1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1" t="str">
        <f>IF(表1_5310[[#This Row],[配件1]]&lt;&gt;"",_xlfn.XLOOKUP(表1_5310[[#This Row],[配件1]],显卡利益点对照表新[型号],显卡利益点对照表新[利益点1],"ERROR"),"")</f>
        <v/>
      </c>
      <c r="J11" t="str">
        <f>IF(表1_5310[[#This Row],[配件1]]&lt;&gt;"",_xlfn.XLOOKUP(表1_5310[[#This Row],[配件1]],显卡利益点对照表新[型号],显卡利益点对照表新[利益点2],"ERROR"),"")</f>
        <v/>
      </c>
      <c r="K11" t="str">
        <f>IF(表1_5310[[#This Row],[配件1]]&lt;&gt;"",_xlfn.XLOOKUP(表1_5310[[#This Row],[配件1]],显卡利益点对照表新[型号],显卡利益点对照表新[利益点3],"ERROR"),"")</f>
        <v/>
      </c>
      <c r="L11" t="str">
        <f>IF(表1_5310[[#This Row],[配件1]]&lt;&gt;"",_xlfn.XLOOKUP(表1_5310[[#This Row],[配件1]],显卡利益点对照表新[型号],显卡利益点对照表新[算力],"ERROR"),"")</f>
        <v/>
      </c>
      <c r="M11" t="str">
        <f>IF(表1_5310[[#This Row],[配件1]]&lt;&gt;"",_xlfn.XLOOKUP(表1_5310[[#This Row],[配件1]],显卡利益点对照表新[型号],显卡利益点对照表新[可显性],"ERROR"),"")</f>
        <v/>
      </c>
      <c r="N1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1" t="str" cm="1">
        <f t="array" ref="Q11">_xlfn.IFS(表1_5310[[#This Row],[配件1]]="","",表1_5310[[#This Row],[文本丨算力丨算力值]]=" ","",表1_5310[[#This Row],[文本丨算力丨算力值]]&lt;&gt;"","算力")</f>
        <v/>
      </c>
    </row>
    <row r="12" spans="1:17" x14ac:dyDescent="0.2">
      <c r="F12" t="str">
        <f>IF(表1_5310[[#This Row],[配件1]]&lt;&gt;"",_xlfn.XLOOKUP(表1_5310[[#This Row],[配件1]],显卡利益点对照表新[型号],显卡利益点对照表新[[芯片组 ]],"ERROR"),"")</f>
        <v/>
      </c>
      <c r="G1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2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2" t="str">
        <f>IF(表1_5310[[#This Row],[配件1]]&lt;&gt;"",_xlfn.XLOOKUP(表1_5310[[#This Row],[配件1]],显卡利益点对照表新[型号],显卡利益点对照表新[利益点1],"ERROR"),"")</f>
        <v/>
      </c>
      <c r="J12" t="str">
        <f>IF(表1_5310[[#This Row],[配件1]]&lt;&gt;"",_xlfn.XLOOKUP(表1_5310[[#This Row],[配件1]],显卡利益点对照表新[型号],显卡利益点对照表新[利益点2],"ERROR"),"")</f>
        <v/>
      </c>
      <c r="K12" t="str">
        <f>IF(表1_5310[[#This Row],[配件1]]&lt;&gt;"",_xlfn.XLOOKUP(表1_5310[[#This Row],[配件1]],显卡利益点对照表新[型号],显卡利益点对照表新[利益点3],"ERROR"),"")</f>
        <v/>
      </c>
      <c r="L12" t="str">
        <f>IF(表1_5310[[#This Row],[配件1]]&lt;&gt;"",_xlfn.XLOOKUP(表1_5310[[#This Row],[配件1]],显卡利益点对照表新[型号],显卡利益点对照表新[算力],"ERROR"),"")</f>
        <v/>
      </c>
      <c r="M12" t="str">
        <f>IF(表1_5310[[#This Row],[配件1]]&lt;&gt;"",_xlfn.XLOOKUP(表1_5310[[#This Row],[配件1]],显卡利益点对照表新[型号],显卡利益点对照表新[可显性],"ERROR"),"")</f>
        <v/>
      </c>
      <c r="N1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" t="str" cm="1">
        <f t="array" ref="Q12">_xlfn.IFS(表1_5310[[#This Row],[配件1]]="","",表1_5310[[#This Row],[文本丨算力丨算力值]]=" ","",表1_5310[[#This Row],[文本丨算力丨算力值]]&lt;&gt;"","算力")</f>
        <v/>
      </c>
    </row>
    <row r="13" spans="1:17" x14ac:dyDescent="0.2">
      <c r="F13" t="str">
        <f>IF(表1_5310[[#This Row],[配件1]]&lt;&gt;"",_xlfn.XLOOKUP(表1_5310[[#This Row],[配件1]],显卡利益点对照表新[型号],显卡利益点对照表新[[芯片组 ]],"ERROR"),"")</f>
        <v/>
      </c>
      <c r="G1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" t="str">
        <f>IF(表1_5310[[#This Row],[配件1]]&lt;&gt;"",_xlfn.XLOOKUP(表1_5310[[#This Row],[配件1]],显卡利益点对照表新[型号],显卡利益点对照表新[利益点1],"ERROR"),"")</f>
        <v/>
      </c>
      <c r="J13" t="str">
        <f>IF(表1_5310[[#This Row],[配件1]]&lt;&gt;"",_xlfn.XLOOKUP(表1_5310[[#This Row],[配件1]],显卡利益点对照表新[型号],显卡利益点对照表新[利益点2],"ERROR"),"")</f>
        <v/>
      </c>
      <c r="K13" t="str">
        <f>IF(表1_5310[[#This Row],[配件1]]&lt;&gt;"",_xlfn.XLOOKUP(表1_5310[[#This Row],[配件1]],显卡利益点对照表新[型号],显卡利益点对照表新[利益点3],"ERROR"),"")</f>
        <v/>
      </c>
      <c r="L13" t="str">
        <f>IF(表1_5310[[#This Row],[配件1]]&lt;&gt;"",_xlfn.XLOOKUP(表1_5310[[#This Row],[配件1]],显卡利益点对照表新[型号],显卡利益点对照表新[算力],"ERROR"),"")</f>
        <v/>
      </c>
      <c r="M13" t="str">
        <f>IF(表1_5310[[#This Row],[配件1]]&lt;&gt;"",_xlfn.XLOOKUP(表1_5310[[#This Row],[配件1]],显卡利益点对照表新[型号],显卡利益点对照表新[可显性],"ERROR"),"")</f>
        <v/>
      </c>
      <c r="N1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" t="str" cm="1">
        <f t="array" ref="Q13">_xlfn.IFS(表1_5310[[#This Row],[配件1]]="","",表1_5310[[#This Row],[文本丨算力丨算力值]]=" ","",表1_5310[[#This Row],[文本丨算力丨算力值]]&lt;&gt;"","算力")</f>
        <v/>
      </c>
    </row>
    <row r="14" spans="1:17" x14ac:dyDescent="0.2">
      <c r="F14" t="str">
        <f>IF(表1_5310[[#This Row],[配件1]]&lt;&gt;"",_xlfn.XLOOKUP(表1_5310[[#This Row],[配件1]],显卡利益点对照表新[型号],显卡利益点对照表新[[芯片组 ]],"ERROR"),"")</f>
        <v/>
      </c>
      <c r="G1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4" t="str">
        <f>IF(表1_5310[[#This Row],[配件1]]&lt;&gt;"",_xlfn.XLOOKUP(表1_5310[[#This Row],[配件1]],显卡利益点对照表新[型号],显卡利益点对照表新[利益点1],"ERROR"),"")</f>
        <v/>
      </c>
      <c r="J14" t="str">
        <f>IF(表1_5310[[#This Row],[配件1]]&lt;&gt;"",_xlfn.XLOOKUP(表1_5310[[#This Row],[配件1]],显卡利益点对照表新[型号],显卡利益点对照表新[利益点2],"ERROR"),"")</f>
        <v/>
      </c>
      <c r="K14" t="str">
        <f>IF(表1_5310[[#This Row],[配件1]]&lt;&gt;"",_xlfn.XLOOKUP(表1_5310[[#This Row],[配件1]],显卡利益点对照表新[型号],显卡利益点对照表新[利益点3],"ERROR"),"")</f>
        <v/>
      </c>
      <c r="L14" t="str">
        <f>IF(表1_5310[[#This Row],[配件1]]&lt;&gt;"",_xlfn.XLOOKUP(表1_5310[[#This Row],[配件1]],显卡利益点对照表新[型号],显卡利益点对照表新[算力],"ERROR"),"")</f>
        <v/>
      </c>
      <c r="M14" t="str">
        <f>IF(表1_5310[[#This Row],[配件1]]&lt;&gt;"",_xlfn.XLOOKUP(表1_5310[[#This Row],[配件1]],显卡利益点对照表新[型号],显卡利益点对照表新[可显性],"ERROR"),"")</f>
        <v/>
      </c>
      <c r="N1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" t="str" cm="1">
        <f t="array" ref="Q14">_xlfn.IFS(表1_5310[[#This Row],[配件1]]="","",表1_5310[[#This Row],[文本丨算力丨算力值]]=" ","",表1_5310[[#This Row],[文本丨算力丨算力值]]&lt;&gt;"","算力")</f>
        <v/>
      </c>
    </row>
    <row r="15" spans="1:17" x14ac:dyDescent="0.2">
      <c r="F15" t="str">
        <f>IF(表1_5310[[#This Row],[配件1]]&lt;&gt;"",_xlfn.XLOOKUP(表1_5310[[#This Row],[配件1]],显卡利益点对照表新[型号],显卡利益点对照表新[[芯片组 ]],"ERROR"),"")</f>
        <v/>
      </c>
      <c r="G1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5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5" t="str">
        <f>IF(表1_5310[[#This Row],[配件1]]&lt;&gt;"",_xlfn.XLOOKUP(表1_5310[[#This Row],[配件1]],显卡利益点对照表新[型号],显卡利益点对照表新[利益点1],"ERROR"),"")</f>
        <v/>
      </c>
      <c r="J15" t="str">
        <f>IF(表1_5310[[#This Row],[配件1]]&lt;&gt;"",_xlfn.XLOOKUP(表1_5310[[#This Row],[配件1]],显卡利益点对照表新[型号],显卡利益点对照表新[利益点2],"ERROR"),"")</f>
        <v/>
      </c>
      <c r="K15" t="str">
        <f>IF(表1_5310[[#This Row],[配件1]]&lt;&gt;"",_xlfn.XLOOKUP(表1_5310[[#This Row],[配件1]],显卡利益点对照表新[型号],显卡利益点对照表新[利益点3],"ERROR"),"")</f>
        <v/>
      </c>
      <c r="L15" t="str">
        <f>IF(表1_5310[[#This Row],[配件1]]&lt;&gt;"",_xlfn.XLOOKUP(表1_5310[[#This Row],[配件1]],显卡利益点对照表新[型号],显卡利益点对照表新[算力],"ERROR"),"")</f>
        <v/>
      </c>
      <c r="M15" t="str">
        <f>IF(表1_5310[[#This Row],[配件1]]&lt;&gt;"",_xlfn.XLOOKUP(表1_5310[[#This Row],[配件1]],显卡利益点对照表新[型号],显卡利益点对照表新[可显性],"ERROR"),"")</f>
        <v/>
      </c>
      <c r="N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5" t="str" cm="1">
        <f t="array" ref="Q15">_xlfn.IFS(表1_5310[[#This Row],[配件1]]="","",表1_5310[[#This Row],[文本丨算力丨算力值]]=" ","",表1_5310[[#This Row],[文本丨算力丨算力值]]&lt;&gt;"","算力")</f>
        <v/>
      </c>
    </row>
    <row r="16" spans="1:17" x14ac:dyDescent="0.2">
      <c r="F16" t="str">
        <f>IF(表1_5310[[#This Row],[配件1]]&lt;&gt;"",_xlfn.XLOOKUP(表1_5310[[#This Row],[配件1]],显卡利益点对照表新[型号],显卡利益点对照表新[[芯片组 ]],"ERROR"),"")</f>
        <v/>
      </c>
      <c r="G1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6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6" t="str">
        <f>IF(表1_5310[[#This Row],[配件1]]&lt;&gt;"",_xlfn.XLOOKUP(表1_5310[[#This Row],[配件1]],显卡利益点对照表新[型号],显卡利益点对照表新[利益点1],"ERROR"),"")</f>
        <v/>
      </c>
      <c r="J16" t="str">
        <f>IF(表1_5310[[#This Row],[配件1]]&lt;&gt;"",_xlfn.XLOOKUP(表1_5310[[#This Row],[配件1]],显卡利益点对照表新[型号],显卡利益点对照表新[利益点2],"ERROR"),"")</f>
        <v/>
      </c>
      <c r="K16" t="str">
        <f>IF(表1_5310[[#This Row],[配件1]]&lt;&gt;"",_xlfn.XLOOKUP(表1_5310[[#This Row],[配件1]],显卡利益点对照表新[型号],显卡利益点对照表新[利益点3],"ERROR"),"")</f>
        <v/>
      </c>
      <c r="L16" t="str">
        <f>IF(表1_5310[[#This Row],[配件1]]&lt;&gt;"",_xlfn.XLOOKUP(表1_5310[[#This Row],[配件1]],显卡利益点对照表新[型号],显卡利益点对照表新[算力],"ERROR"),"")</f>
        <v/>
      </c>
      <c r="M16" t="str">
        <f>IF(表1_5310[[#This Row],[配件1]]&lt;&gt;"",_xlfn.XLOOKUP(表1_5310[[#This Row],[配件1]],显卡利益点对照表新[型号],显卡利益点对照表新[可显性],"ERROR"),"")</f>
        <v/>
      </c>
      <c r="N1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6" t="str" cm="1">
        <f t="array" ref="Q16">_xlfn.IFS(表1_5310[[#This Row],[配件1]]="","",表1_5310[[#This Row],[文本丨算力丨算力值]]=" ","",表1_5310[[#This Row],[文本丨算力丨算力值]]&lt;&gt;"","算力")</f>
        <v/>
      </c>
    </row>
    <row r="17" spans="2:17" x14ac:dyDescent="0.2">
      <c r="F17" t="str">
        <f>IF(表1_5310[[#This Row],[配件1]]&lt;&gt;"",_xlfn.XLOOKUP(表1_5310[[#This Row],[配件1]],显卡利益点对照表新[型号],显卡利益点对照表新[[芯片组 ]],"ERROR"),"")</f>
        <v/>
      </c>
      <c r="G1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7" t="str">
        <f>IF(表1_5310[[#This Row],[配件1]]&lt;&gt;"",_xlfn.XLOOKUP(表1_5310[[#This Row],[配件1]],显卡利益点对照表新[型号],显卡利益点对照表新[利益点1],"ERROR"),"")</f>
        <v/>
      </c>
      <c r="J17" t="str">
        <f>IF(表1_5310[[#This Row],[配件1]]&lt;&gt;"",_xlfn.XLOOKUP(表1_5310[[#This Row],[配件1]],显卡利益点对照表新[型号],显卡利益点对照表新[利益点2],"ERROR"),"")</f>
        <v/>
      </c>
      <c r="K17" t="str">
        <f>IF(表1_5310[[#This Row],[配件1]]&lt;&gt;"",_xlfn.XLOOKUP(表1_5310[[#This Row],[配件1]],显卡利益点对照表新[型号],显卡利益点对照表新[利益点3],"ERROR"),"")</f>
        <v/>
      </c>
      <c r="L17" t="str">
        <f>IF(表1_5310[[#This Row],[配件1]]&lt;&gt;"",_xlfn.XLOOKUP(表1_5310[[#This Row],[配件1]],显卡利益点对照表新[型号],显卡利益点对照表新[算力],"ERROR"),"")</f>
        <v/>
      </c>
      <c r="M17" t="str">
        <f>IF(表1_5310[[#This Row],[配件1]]&lt;&gt;"",_xlfn.XLOOKUP(表1_5310[[#This Row],[配件1]],显卡利益点对照表新[型号],显卡利益点对照表新[可显性],"ERROR"),"")</f>
        <v/>
      </c>
      <c r="N1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7" t="str" cm="1">
        <f t="array" ref="Q17">_xlfn.IFS(表1_5310[[#This Row],[配件1]]="","",表1_5310[[#This Row],[文本丨算力丨算力值]]=" ","",表1_5310[[#This Row],[文本丨算力丨算力值]]&lt;&gt;"","算力")</f>
        <v/>
      </c>
    </row>
    <row r="18" spans="2:17" x14ac:dyDescent="0.2">
      <c r="F18" t="str">
        <f>IF(表1_5310[[#This Row],[配件1]]&lt;&gt;"",_xlfn.XLOOKUP(表1_5310[[#This Row],[配件1]],显卡利益点对照表新[型号],显卡利益点对照表新[[芯片组 ]],"ERROR"),"")</f>
        <v/>
      </c>
      <c r="G1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8" t="str">
        <f>IF(表1_5310[[#This Row],[配件1]]&lt;&gt;"",_xlfn.XLOOKUP(表1_5310[[#This Row],[配件1]],显卡利益点对照表新[型号],显卡利益点对照表新[利益点1],"ERROR"),"")</f>
        <v/>
      </c>
      <c r="J18" t="str">
        <f>IF(表1_5310[[#This Row],[配件1]]&lt;&gt;"",_xlfn.XLOOKUP(表1_5310[[#This Row],[配件1]],显卡利益点对照表新[型号],显卡利益点对照表新[利益点2],"ERROR"),"")</f>
        <v/>
      </c>
      <c r="K18" t="str">
        <f>IF(表1_5310[[#This Row],[配件1]]&lt;&gt;"",_xlfn.XLOOKUP(表1_5310[[#This Row],[配件1]],显卡利益点对照表新[型号],显卡利益点对照表新[利益点3],"ERROR"),"")</f>
        <v/>
      </c>
      <c r="L18" t="str">
        <f>IF(表1_5310[[#This Row],[配件1]]&lt;&gt;"",_xlfn.XLOOKUP(表1_5310[[#This Row],[配件1]],显卡利益点对照表新[型号],显卡利益点对照表新[算力],"ERROR"),"")</f>
        <v/>
      </c>
      <c r="M18" t="str">
        <f>IF(表1_5310[[#This Row],[配件1]]&lt;&gt;"",_xlfn.XLOOKUP(表1_5310[[#This Row],[配件1]],显卡利益点对照表新[型号],显卡利益点对照表新[可显性],"ERROR"),"")</f>
        <v/>
      </c>
      <c r="N1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8" t="str" cm="1">
        <f t="array" ref="Q18">_xlfn.IFS(表1_5310[[#This Row],[配件1]]="","",表1_5310[[#This Row],[文本丨算力丨算力值]]=" ","",表1_5310[[#This Row],[文本丨算力丨算力值]]&lt;&gt;"","算力")</f>
        <v/>
      </c>
    </row>
    <row r="19" spans="2:17" x14ac:dyDescent="0.2">
      <c r="F19" t="str">
        <f>IF(表1_5310[[#This Row],[配件1]]&lt;&gt;"",_xlfn.XLOOKUP(表1_5310[[#This Row],[配件1]],显卡利益点对照表新[型号],显卡利益点对照表新[[芯片组 ]],"ERROR"),"")</f>
        <v/>
      </c>
      <c r="G1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9" t="str">
        <f>IF(表1_5310[[#This Row],[配件1]]&lt;&gt;"",_xlfn.XLOOKUP(表1_5310[[#This Row],[配件1]],显卡利益点对照表新[型号],显卡利益点对照表新[利益点1],"ERROR"),"")</f>
        <v/>
      </c>
      <c r="J19" t="str">
        <f>IF(表1_5310[[#This Row],[配件1]]&lt;&gt;"",_xlfn.XLOOKUP(表1_5310[[#This Row],[配件1]],显卡利益点对照表新[型号],显卡利益点对照表新[利益点2],"ERROR"),"")</f>
        <v/>
      </c>
      <c r="K19" t="str">
        <f>IF(表1_5310[[#This Row],[配件1]]&lt;&gt;"",_xlfn.XLOOKUP(表1_5310[[#This Row],[配件1]],显卡利益点对照表新[型号],显卡利益点对照表新[利益点3],"ERROR"),"")</f>
        <v/>
      </c>
      <c r="L19" t="str">
        <f>IF(表1_5310[[#This Row],[配件1]]&lt;&gt;"",_xlfn.XLOOKUP(表1_5310[[#This Row],[配件1]],显卡利益点对照表新[型号],显卡利益点对照表新[算力],"ERROR"),"")</f>
        <v/>
      </c>
      <c r="M19" t="str">
        <f>IF(表1_5310[[#This Row],[配件1]]&lt;&gt;"",_xlfn.XLOOKUP(表1_5310[[#This Row],[配件1]],显卡利益点对照表新[型号],显卡利益点对照表新[可显性],"ERROR"),"")</f>
        <v/>
      </c>
      <c r="N1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9" t="str" cm="1">
        <f t="array" ref="Q19">_xlfn.IFS(表1_5310[[#This Row],[配件1]]="","",表1_5310[[#This Row],[文本丨算力丨算力值]]=" ","",表1_5310[[#This Row],[文本丨算力丨算力值]]&lt;&gt;"","算力")</f>
        <v/>
      </c>
    </row>
    <row r="20" spans="2:17" x14ac:dyDescent="0.2">
      <c r="F20" t="str">
        <f>IF(表1_5310[[#This Row],[配件1]]&lt;&gt;"",_xlfn.XLOOKUP(表1_5310[[#This Row],[配件1]],显卡利益点对照表新[型号],显卡利益点对照表新[[芯片组 ]],"ERROR"),"")</f>
        <v/>
      </c>
      <c r="G2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0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0" t="str">
        <f>IF(表1_5310[[#This Row],[配件1]]&lt;&gt;"",_xlfn.XLOOKUP(表1_5310[[#This Row],[配件1]],显卡利益点对照表新[型号],显卡利益点对照表新[利益点1],"ERROR"),"")</f>
        <v/>
      </c>
      <c r="J20" t="str">
        <f>IF(表1_5310[[#This Row],[配件1]]&lt;&gt;"",_xlfn.XLOOKUP(表1_5310[[#This Row],[配件1]],显卡利益点对照表新[型号],显卡利益点对照表新[利益点2],"ERROR"),"")</f>
        <v/>
      </c>
      <c r="K20" t="str">
        <f>IF(表1_5310[[#This Row],[配件1]]&lt;&gt;"",_xlfn.XLOOKUP(表1_5310[[#This Row],[配件1]],显卡利益点对照表新[型号],显卡利益点对照表新[利益点3],"ERROR"),"")</f>
        <v/>
      </c>
      <c r="L20" t="str">
        <f>IF(表1_5310[[#This Row],[配件1]]&lt;&gt;"",_xlfn.XLOOKUP(表1_5310[[#This Row],[配件1]],显卡利益点对照表新[型号],显卡利益点对照表新[算力],"ERROR"),"")</f>
        <v/>
      </c>
      <c r="M20" t="str">
        <f>IF(表1_5310[[#This Row],[配件1]]&lt;&gt;"",_xlfn.XLOOKUP(表1_5310[[#This Row],[配件1]],显卡利益点对照表新[型号],显卡利益点对照表新[可显性],"ERROR"),"")</f>
        <v/>
      </c>
      <c r="N2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0" t="str" cm="1">
        <f t="array" ref="Q20">_xlfn.IFS(表1_5310[[#This Row],[配件1]]="","",表1_5310[[#This Row],[文本丨算力丨算力值]]=" ","",表1_5310[[#This Row],[文本丨算力丨算力值]]&lt;&gt;"","算力")</f>
        <v/>
      </c>
    </row>
    <row r="21" spans="2:17" x14ac:dyDescent="0.2">
      <c r="F21" t="str">
        <f>IF(表1_5310[[#This Row],[配件1]]&lt;&gt;"",_xlfn.XLOOKUP(表1_5310[[#This Row],[配件1]],显卡利益点对照表新[型号],显卡利益点对照表新[[芯片组 ]],"ERROR"),"")</f>
        <v/>
      </c>
      <c r="G2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1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1" t="str">
        <f>IF(表1_5310[[#This Row],[配件1]]&lt;&gt;"",_xlfn.XLOOKUP(表1_5310[[#This Row],[配件1]],显卡利益点对照表新[型号],显卡利益点对照表新[利益点1],"ERROR"),"")</f>
        <v/>
      </c>
      <c r="J21" t="str">
        <f>IF(表1_5310[[#This Row],[配件1]]&lt;&gt;"",_xlfn.XLOOKUP(表1_5310[[#This Row],[配件1]],显卡利益点对照表新[型号],显卡利益点对照表新[利益点2],"ERROR"),"")</f>
        <v/>
      </c>
      <c r="K21" t="str">
        <f>IF(表1_5310[[#This Row],[配件1]]&lt;&gt;"",_xlfn.XLOOKUP(表1_5310[[#This Row],[配件1]],显卡利益点对照表新[型号],显卡利益点对照表新[利益点3],"ERROR"),"")</f>
        <v/>
      </c>
      <c r="L21" t="str">
        <f>IF(表1_5310[[#This Row],[配件1]]&lt;&gt;"",_xlfn.XLOOKUP(表1_5310[[#This Row],[配件1]],显卡利益点对照表新[型号],显卡利益点对照表新[算力],"ERROR"),"")</f>
        <v/>
      </c>
      <c r="M21" t="str">
        <f>IF(表1_5310[[#This Row],[配件1]]&lt;&gt;"",_xlfn.XLOOKUP(表1_5310[[#This Row],[配件1]],显卡利益点对照表新[型号],显卡利益点对照表新[可显性],"ERROR"),"")</f>
        <v/>
      </c>
      <c r="N2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1" t="str" cm="1">
        <f t="array" ref="Q21">_xlfn.IFS(表1_5310[[#This Row],[配件1]]="","",表1_5310[[#This Row],[文本丨算力丨算力值]]=" ","",表1_5310[[#This Row],[文本丨算力丨算力值]]&lt;&gt;"","算力")</f>
        <v/>
      </c>
    </row>
    <row r="22" spans="2:17" x14ac:dyDescent="0.2">
      <c r="B22" s="22">
        <v>10097228918001</v>
      </c>
      <c r="C22" t="s">
        <v>1088</v>
      </c>
      <c r="D22" t="s">
        <v>468</v>
      </c>
      <c r="F22" t="str">
        <f>IF(表1_5310[[#This Row],[配件1]]&lt;&gt;"",_xlfn.XLOOKUP(表1_5310[[#This Row],[配件1]],显卡利益点对照表新[型号],显卡利益点对照表新[[芯片组 ]],"ERROR"),"")</f>
        <v>ERROR</v>
      </c>
      <c r="G2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 ERROR</v>
      </c>
      <c r="H22" t="str">
        <f>IF(表1_5310[[#This Row],[配件1]]&lt;&gt;"",IF(表1_5310[[#This Row],[配件2]]&lt;&gt;"无"," ",_xlfn.XLOOKUP(表1_5310[[#This Row],[配件1]],显卡利益点对照表新[型号],显卡利益点对照表新[英文名称],"ERROR")),"")</f>
        <v>ERROR</v>
      </c>
      <c r="I22" t="str">
        <f>IF(表1_5310[[#This Row],[配件1]]&lt;&gt;"",_xlfn.XLOOKUP(表1_5310[[#This Row],[配件1]],显卡利益点对照表新[型号],显卡利益点对照表新[利益点1],"ERROR"),"")</f>
        <v>ERROR</v>
      </c>
      <c r="J22" t="str">
        <f>IF(表1_5310[[#This Row],[配件1]]&lt;&gt;"",_xlfn.XLOOKUP(表1_5310[[#This Row],[配件1]],显卡利益点对照表新[型号],显卡利益点对照表新[利益点2],"ERROR"),"")</f>
        <v>ERROR</v>
      </c>
      <c r="K22" t="str">
        <f>IF(表1_5310[[#This Row],[配件1]]&lt;&gt;"",_xlfn.XLOOKUP(表1_5310[[#This Row],[配件1]],显卡利益点对照表新[型号],显卡利益点对照表新[利益点3],"ERROR"),"")</f>
        <v>ERROR</v>
      </c>
      <c r="L22" t="str">
        <f>IF(表1_5310[[#This Row],[配件1]]&lt;&gt;"",_xlfn.XLOOKUP(表1_5310[[#This Row],[配件1]],显卡利益点对照表新[型号],显卡利益点对照表新[算力],"ERROR"),"")</f>
        <v>ERROR</v>
      </c>
      <c r="M22" t="str">
        <f>IF(表1_5310[[#This Row],[配件1]]&lt;&gt;"",_xlfn.XLOOKUP(表1_5310[[#This Row],[配件1]],显卡利益点对照表新[型号],显卡利益点对照表新[可显性],"ERROR"),"")</f>
        <v>ERROR</v>
      </c>
      <c r="N2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2" t="str" cm="1">
        <f t="array" ref="Q22">_xlfn.IFS(表1_5310[[#This Row],[配件1]]="","",表1_5310[[#This Row],[文本丨算力丨算力值]]=" ","",表1_5310[[#This Row],[文本丨算力丨算力值]]&lt;&gt;"","算力")</f>
        <v>算力</v>
      </c>
    </row>
    <row r="23" spans="2:17" x14ac:dyDescent="0.2">
      <c r="B23" s="22">
        <v>10097228918002</v>
      </c>
      <c r="C23" t="s">
        <v>1088</v>
      </c>
      <c r="D23" t="s">
        <v>469</v>
      </c>
      <c r="F23" t="str">
        <f>IF(表1_5310[[#This Row],[配件1]]&lt;&gt;"",_xlfn.XLOOKUP(表1_5310[[#This Row],[配件1]],显卡利益点对照表新[型号],显卡利益点对照表新[[芯片组 ]],"ERROR"),"")</f>
        <v>ERROR</v>
      </c>
      <c r="G2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ERROR+550W电源</v>
      </c>
      <c r="H2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23" t="str">
        <f>IF(表1_5310[[#This Row],[配件1]]&lt;&gt;"",_xlfn.XLOOKUP(表1_5310[[#This Row],[配件1]],显卡利益点对照表新[型号],显卡利益点对照表新[利益点1],"ERROR"),"")</f>
        <v>ERROR</v>
      </c>
      <c r="J23" t="str">
        <f>IF(表1_5310[[#This Row],[配件1]]&lt;&gt;"",_xlfn.XLOOKUP(表1_5310[[#This Row],[配件1]],显卡利益点对照表新[型号],显卡利益点对照表新[利益点2],"ERROR"),"")</f>
        <v>ERROR</v>
      </c>
      <c r="K23" t="str">
        <f>IF(表1_5310[[#This Row],[配件1]]&lt;&gt;"",_xlfn.XLOOKUP(表1_5310[[#This Row],[配件1]],显卡利益点对照表新[型号],显卡利益点对照表新[利益点3],"ERROR"),"")</f>
        <v>ERROR</v>
      </c>
      <c r="L23" t="str">
        <f>IF(表1_5310[[#This Row],[配件1]]&lt;&gt;"",_xlfn.XLOOKUP(表1_5310[[#This Row],[配件1]],显卡利益点对照表新[型号],显卡利益点对照表新[算力],"ERROR"),"")</f>
        <v>ERROR</v>
      </c>
      <c r="M23" t="str">
        <f>IF(表1_5310[[#This Row],[配件1]]&lt;&gt;"",_xlfn.XLOOKUP(表1_5310[[#This Row],[配件1]],显卡利益点对照表新[型号],显卡利益点对照表新[可显性],"ERROR"),"")</f>
        <v>ERROR</v>
      </c>
      <c r="N2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2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3" t="str" cm="1">
        <f t="array" ref="Q23">_xlfn.IFS(表1_5310[[#This Row],[配件1]]="","",表1_5310[[#This Row],[文本丨算力丨算力值]]=" ","",表1_5310[[#This Row],[文本丨算力丨算力值]]&lt;&gt;"","算力")</f>
        <v>算力</v>
      </c>
    </row>
    <row r="24" spans="2:17" x14ac:dyDescent="0.2">
      <c r="B24" s="22">
        <v>10092930881867</v>
      </c>
      <c r="C24" t="s">
        <v>1089</v>
      </c>
      <c r="D24" t="s">
        <v>468</v>
      </c>
      <c r="F24" t="str">
        <f>IF(表1_5310[[#This Row],[配件1]]&lt;&gt;"",_xlfn.XLOOKUP(表1_5310[[#This Row],[配件1]],显卡利益点对照表新[型号],显卡利益点对照表新[[芯片组 ]],"ERROR"),"")</f>
        <v>ERROR</v>
      </c>
      <c r="G2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 ERROR</v>
      </c>
      <c r="H24" t="str">
        <f>IF(表1_5310[[#This Row],[配件1]]&lt;&gt;"",IF(表1_5310[[#This Row],[配件2]]&lt;&gt;"无"," ",_xlfn.XLOOKUP(表1_5310[[#This Row],[配件1]],显卡利益点对照表新[型号],显卡利益点对照表新[英文名称],"ERROR")),"")</f>
        <v>ERROR</v>
      </c>
      <c r="I24" t="str">
        <f>IF(表1_5310[[#This Row],[配件1]]&lt;&gt;"",_xlfn.XLOOKUP(表1_5310[[#This Row],[配件1]],显卡利益点对照表新[型号],显卡利益点对照表新[利益点1],"ERROR"),"")</f>
        <v>ERROR</v>
      </c>
      <c r="J24" t="str">
        <f>IF(表1_5310[[#This Row],[配件1]]&lt;&gt;"",_xlfn.XLOOKUP(表1_5310[[#This Row],[配件1]],显卡利益点对照表新[型号],显卡利益点对照表新[利益点2],"ERROR"),"")</f>
        <v>ERROR</v>
      </c>
      <c r="K24" t="str">
        <f>IF(表1_5310[[#This Row],[配件1]]&lt;&gt;"",_xlfn.XLOOKUP(表1_5310[[#This Row],[配件1]],显卡利益点对照表新[型号],显卡利益点对照表新[利益点3],"ERROR"),"")</f>
        <v>ERROR</v>
      </c>
      <c r="L24" t="str">
        <f>IF(表1_5310[[#This Row],[配件1]]&lt;&gt;"",_xlfn.XLOOKUP(表1_5310[[#This Row],[配件1]],显卡利益点对照表新[型号],显卡利益点对照表新[算力],"ERROR"),"")</f>
        <v>ERROR</v>
      </c>
      <c r="M24" t="str">
        <f>IF(表1_5310[[#This Row],[配件1]]&lt;&gt;"",_xlfn.XLOOKUP(表1_5310[[#This Row],[配件1]],显卡利益点对照表新[型号],显卡利益点对照表新[可显性],"ERROR"),"")</f>
        <v>ERROR</v>
      </c>
      <c r="N2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4" t="str" cm="1">
        <f t="array" ref="Q24">_xlfn.IFS(表1_5310[[#This Row],[配件1]]="","",表1_5310[[#This Row],[文本丨算力丨算力值]]=" ","",表1_5310[[#This Row],[文本丨算力丨算力值]]&lt;&gt;"","算力")</f>
        <v>算力</v>
      </c>
    </row>
    <row r="25" spans="2:17" x14ac:dyDescent="0.2">
      <c r="B25" s="22">
        <v>10092930881868</v>
      </c>
      <c r="C25" t="s">
        <v>1089</v>
      </c>
      <c r="D25" t="s">
        <v>469</v>
      </c>
      <c r="F25" t="str">
        <f>IF(表1_5310[[#This Row],[配件1]]&lt;&gt;"",_xlfn.XLOOKUP(表1_5310[[#This Row],[配件1]],显卡利益点对照表新[型号],显卡利益点对照表新[[芯片组 ]],"ERROR"),"")</f>
        <v>ERROR</v>
      </c>
      <c r="G2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ERROR+550W电源</v>
      </c>
      <c r="H2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25" t="str">
        <f>IF(表1_5310[[#This Row],[配件1]]&lt;&gt;"",_xlfn.XLOOKUP(表1_5310[[#This Row],[配件1]],显卡利益点对照表新[型号],显卡利益点对照表新[利益点1],"ERROR"),"")</f>
        <v>ERROR</v>
      </c>
      <c r="J25" t="str">
        <f>IF(表1_5310[[#This Row],[配件1]]&lt;&gt;"",_xlfn.XLOOKUP(表1_5310[[#This Row],[配件1]],显卡利益点对照表新[型号],显卡利益点对照表新[利益点2],"ERROR"),"")</f>
        <v>ERROR</v>
      </c>
      <c r="K25" t="str">
        <f>IF(表1_5310[[#This Row],[配件1]]&lt;&gt;"",_xlfn.XLOOKUP(表1_5310[[#This Row],[配件1]],显卡利益点对照表新[型号],显卡利益点对照表新[利益点3],"ERROR"),"")</f>
        <v>ERROR</v>
      </c>
      <c r="L25" t="str">
        <f>IF(表1_5310[[#This Row],[配件1]]&lt;&gt;"",_xlfn.XLOOKUP(表1_5310[[#This Row],[配件1]],显卡利益点对照表新[型号],显卡利益点对照表新[算力],"ERROR"),"")</f>
        <v>ERROR</v>
      </c>
      <c r="M25" t="str">
        <f>IF(表1_5310[[#This Row],[配件1]]&lt;&gt;"",_xlfn.XLOOKUP(表1_5310[[#This Row],[配件1]],显卡利益点对照表新[型号],显卡利益点对照表新[可显性],"ERROR"),"")</f>
        <v>ERROR</v>
      </c>
      <c r="N2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2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5" t="str" cm="1">
        <f t="array" ref="Q25">_xlfn.IFS(表1_5310[[#This Row],[配件1]]="","",表1_5310[[#This Row],[文本丨算力丨算力值]]=" ","",表1_5310[[#This Row],[文本丨算力丨算力值]]&lt;&gt;"","算力")</f>
        <v>算力</v>
      </c>
    </row>
    <row r="26" spans="2:17" x14ac:dyDescent="0.2">
      <c r="B26" s="22">
        <v>10088827846887</v>
      </c>
      <c r="C26" t="s">
        <v>1090</v>
      </c>
      <c r="D26" t="s">
        <v>468</v>
      </c>
      <c r="F26" t="str">
        <f>IF(表1_5310[[#This Row],[配件1]]&lt;&gt;"",_xlfn.XLOOKUP(表1_5310[[#This Row],[配件1]],显卡利益点对照表新[型号],显卡利益点对照表新[[芯片组 ]],"ERROR"),"")</f>
        <v>ERROR</v>
      </c>
      <c r="G2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 ERROR</v>
      </c>
      <c r="H26" t="str">
        <f>IF(表1_5310[[#This Row],[配件1]]&lt;&gt;"",IF(表1_5310[[#This Row],[配件2]]&lt;&gt;"无"," ",_xlfn.XLOOKUP(表1_5310[[#This Row],[配件1]],显卡利益点对照表新[型号],显卡利益点对照表新[英文名称],"ERROR")),"")</f>
        <v>ERROR</v>
      </c>
      <c r="I26" t="str">
        <f>IF(表1_5310[[#This Row],[配件1]]&lt;&gt;"",_xlfn.XLOOKUP(表1_5310[[#This Row],[配件1]],显卡利益点对照表新[型号],显卡利益点对照表新[利益点1],"ERROR"),"")</f>
        <v>ERROR</v>
      </c>
      <c r="J26" t="str">
        <f>IF(表1_5310[[#This Row],[配件1]]&lt;&gt;"",_xlfn.XLOOKUP(表1_5310[[#This Row],[配件1]],显卡利益点对照表新[型号],显卡利益点对照表新[利益点2],"ERROR"),"")</f>
        <v>ERROR</v>
      </c>
      <c r="K26" t="str">
        <f>IF(表1_5310[[#This Row],[配件1]]&lt;&gt;"",_xlfn.XLOOKUP(表1_5310[[#This Row],[配件1]],显卡利益点对照表新[型号],显卡利益点对照表新[利益点3],"ERROR"),"")</f>
        <v>ERROR</v>
      </c>
      <c r="L26" t="str">
        <f>IF(表1_5310[[#This Row],[配件1]]&lt;&gt;"",_xlfn.XLOOKUP(表1_5310[[#This Row],[配件1]],显卡利益点对照表新[型号],显卡利益点对照表新[算力],"ERROR"),"")</f>
        <v>ERROR</v>
      </c>
      <c r="M26" t="str">
        <f>IF(表1_5310[[#This Row],[配件1]]&lt;&gt;"",_xlfn.XLOOKUP(表1_5310[[#This Row],[配件1]],显卡利益点对照表新[型号],显卡利益点对照表新[可显性],"ERROR"),"")</f>
        <v>ERROR</v>
      </c>
      <c r="N2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6" t="str" cm="1">
        <f t="array" ref="Q26">_xlfn.IFS(表1_5310[[#This Row],[配件1]]="","",表1_5310[[#This Row],[文本丨算力丨算力值]]=" ","",表1_5310[[#This Row],[文本丨算力丨算力值]]&lt;&gt;"","算力")</f>
        <v>算力</v>
      </c>
    </row>
    <row r="27" spans="2:17" x14ac:dyDescent="0.2">
      <c r="B27" s="22">
        <v>10088827846889</v>
      </c>
      <c r="C27" t="s">
        <v>1090</v>
      </c>
      <c r="D27" t="s">
        <v>469</v>
      </c>
      <c r="F27" t="str">
        <f>IF(表1_5310[[#This Row],[配件1]]&lt;&gt;"",_xlfn.XLOOKUP(表1_5310[[#This Row],[配件1]],显卡利益点对照表新[型号],显卡利益点对照表新[[芯片组 ]],"ERROR"),"")</f>
        <v>ERROR</v>
      </c>
      <c r="G2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ERROR+550W电源</v>
      </c>
      <c r="H27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27" t="str">
        <f>IF(表1_5310[[#This Row],[配件1]]&lt;&gt;"",_xlfn.XLOOKUP(表1_5310[[#This Row],[配件1]],显卡利益点对照表新[型号],显卡利益点对照表新[利益点1],"ERROR"),"")</f>
        <v>ERROR</v>
      </c>
      <c r="J27" t="str">
        <f>IF(表1_5310[[#This Row],[配件1]]&lt;&gt;"",_xlfn.XLOOKUP(表1_5310[[#This Row],[配件1]],显卡利益点对照表新[型号],显卡利益点对照表新[利益点2],"ERROR"),"")</f>
        <v>ERROR</v>
      </c>
      <c r="K27" t="str">
        <f>IF(表1_5310[[#This Row],[配件1]]&lt;&gt;"",_xlfn.XLOOKUP(表1_5310[[#This Row],[配件1]],显卡利益点对照表新[型号],显卡利益点对照表新[利益点3],"ERROR"),"")</f>
        <v>ERROR</v>
      </c>
      <c r="L27" t="str">
        <f>IF(表1_5310[[#This Row],[配件1]]&lt;&gt;"",_xlfn.XLOOKUP(表1_5310[[#This Row],[配件1]],显卡利益点对照表新[型号],显卡利益点对照表新[算力],"ERROR"),"")</f>
        <v>ERROR</v>
      </c>
      <c r="M27" t="str">
        <f>IF(表1_5310[[#This Row],[配件1]]&lt;&gt;"",_xlfn.XLOOKUP(表1_5310[[#This Row],[配件1]],显卡利益点对照表新[型号],显卡利益点对照表新[可显性],"ERROR"),"")</f>
        <v>ERROR</v>
      </c>
      <c r="N2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2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7" t="str" cm="1">
        <f t="array" ref="Q27">_xlfn.IFS(表1_5310[[#This Row],[配件1]]="","",表1_5310[[#This Row],[文本丨算力丨算力值]]=" ","",表1_5310[[#This Row],[文本丨算力丨算力值]]&lt;&gt;"","算力")</f>
        <v>算力</v>
      </c>
    </row>
    <row r="28" spans="2:17" x14ac:dyDescent="0.2">
      <c r="F28" t="str">
        <f>IF(表1_5310[[#This Row],[配件1]]&lt;&gt;"",_xlfn.XLOOKUP(表1_5310[[#This Row],[配件1]],显卡利益点对照表新[型号],显卡利益点对照表新[[芯片组 ]],"ERROR"),"")</f>
        <v/>
      </c>
      <c r="G2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8" t="str">
        <f>IF(表1_5310[[#This Row],[配件1]]&lt;&gt;"",_xlfn.XLOOKUP(表1_5310[[#This Row],[配件1]],显卡利益点对照表新[型号],显卡利益点对照表新[利益点1],"ERROR"),"")</f>
        <v/>
      </c>
      <c r="J28" t="str">
        <f>IF(表1_5310[[#This Row],[配件1]]&lt;&gt;"",_xlfn.XLOOKUP(表1_5310[[#This Row],[配件1]],显卡利益点对照表新[型号],显卡利益点对照表新[利益点2],"ERROR"),"")</f>
        <v/>
      </c>
      <c r="K28" t="str">
        <f>IF(表1_5310[[#This Row],[配件1]]&lt;&gt;"",_xlfn.XLOOKUP(表1_5310[[#This Row],[配件1]],显卡利益点对照表新[型号],显卡利益点对照表新[利益点3],"ERROR"),"")</f>
        <v/>
      </c>
      <c r="L28" t="str">
        <f>IF(表1_5310[[#This Row],[配件1]]&lt;&gt;"",_xlfn.XLOOKUP(表1_5310[[#This Row],[配件1]],显卡利益点对照表新[型号],显卡利益点对照表新[算力],"ERROR"),"")</f>
        <v/>
      </c>
      <c r="M28" t="str">
        <f>IF(表1_5310[[#This Row],[配件1]]&lt;&gt;"",_xlfn.XLOOKUP(表1_5310[[#This Row],[配件1]],显卡利益点对照表新[型号],显卡利益点对照表新[可显性],"ERROR"),"")</f>
        <v/>
      </c>
      <c r="N2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8" t="str" cm="1">
        <f t="array" ref="Q28">_xlfn.IFS(表1_5310[[#This Row],[配件1]]="","",表1_5310[[#This Row],[文本丨算力丨算力值]]=" ","",表1_5310[[#This Row],[文本丨算力丨算力值]]&lt;&gt;"","算力")</f>
        <v/>
      </c>
    </row>
    <row r="29" spans="2:17" x14ac:dyDescent="0.2">
      <c r="B29" s="22">
        <v>10164113452057</v>
      </c>
      <c r="C29" t="s">
        <v>501</v>
      </c>
      <c r="D29" t="s">
        <v>468</v>
      </c>
      <c r="F29" t="str">
        <f>IF(表1_5310[[#This Row],[配件1]]&lt;&gt;"",_xlfn.XLOOKUP(表1_5310[[#This Row],[配件1]],显卡利益点对照表新[型号],显卡利益点对照表新[[芯片组 ]],"ERROR"),"")</f>
        <v>RTX5050 8G</v>
      </c>
      <c r="G2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半高卡 Low Profile</v>
      </c>
      <c r="H29" t="str">
        <f>IF(表1_5310[[#This Row],[配件1]]&lt;&gt;"",IF(表1_5310[[#This Row],[配件2]]&lt;&gt;"无"," ",_xlfn.XLOOKUP(表1_5310[[#This Row],[配件1]],显卡利益点对照表新[型号],显卡利益点对照表新[英文名称],"ERROR")),"")</f>
        <v>Low Profile</v>
      </c>
      <c r="I29" t="str">
        <f>IF(表1_5310[[#This Row],[配件1]]&lt;&gt;"",_xlfn.XLOOKUP(表1_5310[[#This Row],[配件1]],显卡利益点对照表新[型号],显卡利益点对照表新[利益点1],"ERROR"),"")</f>
        <v>石墨烯润滑油</v>
      </c>
      <c r="J29" t="str">
        <f>IF(表1_5310[[#This Row],[配件1]]&lt;&gt;"",_xlfn.XLOOKUP(表1_5310[[#This Row],[配件1]],显卡利益点对照表新[型号],显卡利益点对照表新[利益点2],"ERROR"),"")</f>
        <v>精巧半高卡设计</v>
      </c>
      <c r="K29" t="str">
        <f>IF(表1_5310[[#This Row],[配件1]]&lt;&gt;"",_xlfn.XLOOKUP(表1_5310[[#This Row],[配件1]],显卡利益点对照表新[型号],显卡利益点对照表新[利益点3],"ERROR"),"")</f>
        <v>仿生降噪风扇</v>
      </c>
      <c r="L29" t="str">
        <f>IF(表1_5310[[#This Row],[配件1]]&lt;&gt;"",_xlfn.XLOOKUP(表1_5310[[#This Row],[配件1]],显卡利益点对照表新[型号],显卡利益点对照表新[算力],"ERROR"),"")</f>
        <v>AI算力421 TOPS</v>
      </c>
      <c r="M29" t="str">
        <f>IF(表1_5310[[#This Row],[配件1]]&lt;&gt;"",_xlfn.XLOOKUP(表1_5310[[#This Row],[配件1]],显卡利益点对照表新[型号],显卡利益点对照表新[可显性],"ERROR"),"")</f>
        <v>GV-N5050OC-8GL</v>
      </c>
      <c r="N2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29" t="str" cm="1">
        <f t="array" ref="Q29">_xlfn.IFS(表1_5310[[#This Row],[配件1]]="","",表1_5310[[#This Row],[文本丨算力丨算力值]]=" ","",表1_5310[[#This Row],[文本丨算力丨算力值]]&lt;&gt;"","算力")</f>
        <v>算力</v>
      </c>
    </row>
    <row r="30" spans="2:17" x14ac:dyDescent="0.2">
      <c r="B30" s="22">
        <v>10164113452058</v>
      </c>
      <c r="C30" t="s">
        <v>501</v>
      </c>
      <c r="D30" t="s">
        <v>469</v>
      </c>
      <c r="F30" t="str">
        <f>IF(表1_5310[[#This Row],[配件1]]&lt;&gt;"",_xlfn.XLOOKUP(表1_5310[[#This Row],[配件1]],显卡利益点对照表新[型号],显卡利益点对照表新[[芯片组 ]],"ERROR"),"")</f>
        <v>RTX5050 8G</v>
      </c>
      <c r="G3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半高卡+550W电源</v>
      </c>
      <c r="H30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0" t="str">
        <f>IF(表1_5310[[#This Row],[配件1]]&lt;&gt;"",_xlfn.XLOOKUP(表1_5310[[#This Row],[配件1]],显卡利益点对照表新[型号],显卡利益点对照表新[利益点1],"ERROR"),"")</f>
        <v>石墨烯润滑油</v>
      </c>
      <c r="J30" t="str">
        <f>IF(表1_5310[[#This Row],[配件1]]&lt;&gt;"",_xlfn.XLOOKUP(表1_5310[[#This Row],[配件1]],显卡利益点对照表新[型号],显卡利益点对照表新[利益点2],"ERROR"),"")</f>
        <v>精巧半高卡设计</v>
      </c>
      <c r="K30" t="str">
        <f>IF(表1_5310[[#This Row],[配件1]]&lt;&gt;"",_xlfn.XLOOKUP(表1_5310[[#This Row],[配件1]],显卡利益点对照表新[型号],显卡利益点对照表新[利益点3],"ERROR"),"")</f>
        <v>仿生降噪风扇</v>
      </c>
      <c r="L30" t="str">
        <f>IF(表1_5310[[#This Row],[配件1]]&lt;&gt;"",_xlfn.XLOOKUP(表1_5310[[#This Row],[配件1]],显卡利益点对照表新[型号],显卡利益点对照表新[算力],"ERROR"),"")</f>
        <v>AI算力421 TOPS</v>
      </c>
      <c r="M30" t="str">
        <f>IF(表1_5310[[#This Row],[配件1]]&lt;&gt;"",_xlfn.XLOOKUP(表1_5310[[#This Row],[配件1]],显卡利益点对照表新[型号],显卡利益点对照表新[可显性],"ERROR"),"")</f>
        <v>GV-N5050OC-8GL</v>
      </c>
      <c r="N3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0" t="str" cm="1">
        <f t="array" ref="Q30">_xlfn.IFS(表1_5310[[#This Row],[配件1]]="","",表1_5310[[#This Row],[文本丨算力丨算力值]]=" ","",表1_5310[[#This Row],[文本丨算力丨算力值]]&lt;&gt;"","算力")</f>
        <v>算力</v>
      </c>
    </row>
    <row r="31" spans="2:17" x14ac:dyDescent="0.2">
      <c r="B31" s="22">
        <v>10183730858366</v>
      </c>
      <c r="C31" t="s">
        <v>1058</v>
      </c>
      <c r="D31" t="s">
        <v>468</v>
      </c>
      <c r="F31" t="str">
        <f>IF(表1_5310[[#This Row],[配件1]]&lt;&gt;"",_xlfn.XLOOKUP(表1_5310[[#This Row],[配件1]],显卡利益点对照表新[型号],显卡利益点对照表新[[芯片组 ]],"ERROR"),"")</f>
        <v>RTX5050</v>
      </c>
      <c r="G3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短卡 8G mini-ITX</v>
      </c>
      <c r="H31" t="str">
        <f>IF(表1_5310[[#This Row],[配件1]]&lt;&gt;"",IF(表1_5310[[#This Row],[配件2]]&lt;&gt;"无"," ",_xlfn.XLOOKUP(表1_5310[[#This Row],[配件1]],显卡利益点对照表新[型号],显卡利益点对照表新[英文名称],"ERROR")),"")</f>
        <v>mini-ITX</v>
      </c>
      <c r="I31" t="str">
        <f>IF(表1_5310[[#This Row],[配件1]]&lt;&gt;"",_xlfn.XLOOKUP(表1_5310[[#This Row],[配件1]],显卡利益点对照表新[型号],显卡利益点对照表新[利益点1],"ERROR"),"")</f>
        <v>14.5cm小巧尺寸</v>
      </c>
      <c r="J31" t="str">
        <f>IF(表1_5310[[#This Row],[配件1]]&lt;&gt;"",_xlfn.XLOOKUP(表1_5310[[#This Row],[配件1]],显卡利益点对照表新[型号],显卡利益点对照表新[利益点2],"ERROR"),"")</f>
        <v>HAWK单风扇设计</v>
      </c>
      <c r="K31" t="str">
        <f>IF(表1_5310[[#This Row],[配件1]]&lt;&gt;"",_xlfn.XLOOKUP(表1_5310[[#This Row],[配件1]],显卡利益点对照表新[型号],显卡利益点对照表新[利益点3],"ERROR"),"")</f>
        <v>石墨烯润滑油</v>
      </c>
      <c r="L31" t="str">
        <f>IF(表1_5310[[#This Row],[配件1]]&lt;&gt;"",_xlfn.XLOOKUP(表1_5310[[#This Row],[配件1]],显卡利益点对照表新[型号],显卡利益点对照表新[算力],"ERROR"),"")</f>
        <v>AI算力421 TOPS</v>
      </c>
      <c r="M31" t="str">
        <f>IF(表1_5310[[#This Row],[配件1]]&lt;&gt;"",_xlfn.XLOOKUP(表1_5310[[#This Row],[配件1]],显卡利益点对照表新[型号],显卡利益点对照表新[可显性],"ERROR"),"")</f>
        <v>GV-N5050D6-8GD</v>
      </c>
      <c r="N3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1" t="str" cm="1">
        <f t="array" ref="Q31">_xlfn.IFS(表1_5310[[#This Row],[配件1]]="","",表1_5310[[#This Row],[文本丨算力丨算力值]]=" ","",表1_5310[[#This Row],[文本丨算力丨算力值]]&lt;&gt;"","算力")</f>
        <v>算力</v>
      </c>
    </row>
    <row r="32" spans="2:17" x14ac:dyDescent="0.2">
      <c r="B32" s="22">
        <v>10183730858367</v>
      </c>
      <c r="C32" t="s">
        <v>1058</v>
      </c>
      <c r="D32" t="s">
        <v>469</v>
      </c>
      <c r="F32" t="str">
        <f>IF(表1_5310[[#This Row],[配件1]]&lt;&gt;"",_xlfn.XLOOKUP(表1_5310[[#This Row],[配件1]],显卡利益点对照表新[型号],显卡利益点对照表新[[芯片组 ]],"ERROR"),"")</f>
        <v>RTX5050</v>
      </c>
      <c r="G3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短卡 8G+550W电源</v>
      </c>
      <c r="H32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2" t="str">
        <f>IF(表1_5310[[#This Row],[配件1]]&lt;&gt;"",_xlfn.XLOOKUP(表1_5310[[#This Row],[配件1]],显卡利益点对照表新[型号],显卡利益点对照表新[利益点1],"ERROR"),"")</f>
        <v>14.5cm小巧尺寸</v>
      </c>
      <c r="J32" t="str">
        <f>IF(表1_5310[[#This Row],[配件1]]&lt;&gt;"",_xlfn.XLOOKUP(表1_5310[[#This Row],[配件1]],显卡利益点对照表新[型号],显卡利益点对照表新[利益点2],"ERROR"),"")</f>
        <v>HAWK单风扇设计</v>
      </c>
      <c r="K32" t="str">
        <f>IF(表1_5310[[#This Row],[配件1]]&lt;&gt;"",_xlfn.XLOOKUP(表1_5310[[#This Row],[配件1]],显卡利益点对照表新[型号],显卡利益点对照表新[利益点3],"ERROR"),"")</f>
        <v>石墨烯润滑油</v>
      </c>
      <c r="L32" t="str">
        <f>IF(表1_5310[[#This Row],[配件1]]&lt;&gt;"",_xlfn.XLOOKUP(表1_5310[[#This Row],[配件1]],显卡利益点对照表新[型号],显卡利益点对照表新[算力],"ERROR"),"")</f>
        <v>AI算力421 TOPS</v>
      </c>
      <c r="M32" t="str">
        <f>IF(表1_5310[[#This Row],[配件1]]&lt;&gt;"",_xlfn.XLOOKUP(表1_5310[[#This Row],[配件1]],显卡利益点对照表新[型号],显卡利益点对照表新[可显性],"ERROR"),"")</f>
        <v>GV-N5050D6-8GD</v>
      </c>
      <c r="N3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2" t="str" cm="1">
        <f t="array" ref="Q32">_xlfn.IFS(表1_5310[[#This Row],[配件1]]="","",表1_5310[[#This Row],[文本丨算力丨算力值]]=" ","",表1_5310[[#This Row],[文本丨算力丨算力值]]&lt;&gt;"","算力")</f>
        <v>算力</v>
      </c>
    </row>
    <row r="33" spans="2:17" x14ac:dyDescent="0.2">
      <c r="B33" s="22">
        <v>10164113452059</v>
      </c>
      <c r="C33" t="s">
        <v>502</v>
      </c>
      <c r="D33" t="s">
        <v>468</v>
      </c>
      <c r="F33" t="str">
        <f>IF(表1_5310[[#This Row],[配件1]]&lt;&gt;"",_xlfn.XLOOKUP(表1_5310[[#This Row],[配件1]],显卡利益点对照表新[型号],显卡利益点对照表新[[芯片组 ]],"ERROR"),"")</f>
        <v>RTX5050 8G</v>
      </c>
      <c r="G3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 OC</v>
      </c>
      <c r="H33" t="str">
        <f>IF(表1_5310[[#This Row],[配件1]]&lt;&gt;"",IF(表1_5310[[#This Row],[配件2]]&lt;&gt;"无"," ",_xlfn.XLOOKUP(表1_5310[[#This Row],[配件1]],显卡利益点对照表新[型号],显卡利益点对照表新[英文名称],"ERROR")),"")</f>
        <v>WF OC</v>
      </c>
      <c r="I33" t="str">
        <f>IF(表1_5310[[#This Row],[配件1]]&lt;&gt;"",_xlfn.XLOOKUP(表1_5310[[#This Row],[配件1]],显卡利益点对照表新[型号],显卡利益点对照表新[利益点1],"ERROR"),"")</f>
        <v>石墨烯润滑油</v>
      </c>
      <c r="J33" t="str">
        <f>IF(表1_5310[[#This Row],[配件1]]&lt;&gt;"",_xlfn.XLOOKUP(表1_5310[[#This Row],[配件1]],显卡利益点对照表新[型号],显卡利益点对照表新[利益点2],"ERROR"),"")</f>
        <v>精巧双风扇</v>
      </c>
      <c r="K33" t="str">
        <f>IF(表1_5310[[#This Row],[配件1]]&lt;&gt;"",_xlfn.XLOOKUP(表1_5310[[#This Row],[配件1]],显卡利益点对照表新[型号],显卡利益点对照表新[利益点3],"ERROR"),"")</f>
        <v>仿生降噪风扇</v>
      </c>
      <c r="L33" t="str">
        <f>IF(表1_5310[[#This Row],[配件1]]&lt;&gt;"",_xlfn.XLOOKUP(表1_5310[[#This Row],[配件1]],显卡利益点对照表新[型号],显卡利益点对照表新[算力],"ERROR"),"")</f>
        <v>AI算力421 TOPS</v>
      </c>
      <c r="M33" t="str">
        <f>IF(表1_5310[[#This Row],[配件1]]&lt;&gt;"",_xlfn.XLOOKUP(表1_5310[[#This Row],[配件1]],显卡利益点对照表新[型号],显卡利益点对照表新[可显性],"ERROR"),"")</f>
        <v>GV-N5050WF2OC-8GD</v>
      </c>
      <c r="N3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3" t="str" cm="1">
        <f t="array" ref="Q33">_xlfn.IFS(表1_5310[[#This Row],[配件1]]="","",表1_5310[[#This Row],[文本丨算力丨算力值]]=" ","",表1_5310[[#This Row],[文本丨算力丨算力值]]&lt;&gt;"","算力")</f>
        <v>算力</v>
      </c>
    </row>
    <row r="34" spans="2:17" x14ac:dyDescent="0.2">
      <c r="B34" s="22">
        <v>10164113452060</v>
      </c>
      <c r="C34" t="s">
        <v>502</v>
      </c>
      <c r="D34" t="s">
        <v>469</v>
      </c>
      <c r="F34" t="str">
        <f>IF(表1_5310[[#This Row],[配件1]]&lt;&gt;"",_xlfn.XLOOKUP(表1_5310[[#This Row],[配件1]],显卡利益点对照表新[型号],显卡利益点对照表新[[芯片组 ]],"ERROR"),"")</f>
        <v>RTX5050 8G</v>
      </c>
      <c r="G3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风魔+550W电源</v>
      </c>
      <c r="H34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4" t="str">
        <f>IF(表1_5310[[#This Row],[配件1]]&lt;&gt;"",_xlfn.XLOOKUP(表1_5310[[#This Row],[配件1]],显卡利益点对照表新[型号],显卡利益点对照表新[利益点1],"ERROR"),"")</f>
        <v>石墨烯润滑油</v>
      </c>
      <c r="J34" t="str">
        <f>IF(表1_5310[[#This Row],[配件1]]&lt;&gt;"",_xlfn.XLOOKUP(表1_5310[[#This Row],[配件1]],显卡利益点对照表新[型号],显卡利益点对照表新[利益点2],"ERROR"),"")</f>
        <v>精巧双风扇</v>
      </c>
      <c r="K34" t="str">
        <f>IF(表1_5310[[#This Row],[配件1]]&lt;&gt;"",_xlfn.XLOOKUP(表1_5310[[#This Row],[配件1]],显卡利益点对照表新[型号],显卡利益点对照表新[利益点3],"ERROR"),"")</f>
        <v>仿生降噪风扇</v>
      </c>
      <c r="L34" t="str">
        <f>IF(表1_5310[[#This Row],[配件1]]&lt;&gt;"",_xlfn.XLOOKUP(表1_5310[[#This Row],[配件1]],显卡利益点对照表新[型号],显卡利益点对照表新[算力],"ERROR"),"")</f>
        <v>AI算力421 TOPS</v>
      </c>
      <c r="M34" t="str">
        <f>IF(表1_5310[[#This Row],[配件1]]&lt;&gt;"",_xlfn.XLOOKUP(表1_5310[[#This Row],[配件1]],显卡利益点对照表新[型号],显卡利益点对照表新[可显性],"ERROR"),"")</f>
        <v>GV-N5050WF2OC-8GD</v>
      </c>
      <c r="N3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4" t="str" cm="1">
        <f t="array" ref="Q34">_xlfn.IFS(表1_5310[[#This Row],[配件1]]="","",表1_5310[[#This Row],[文本丨算力丨算力值]]=" ","",表1_5310[[#This Row],[文本丨算力丨算力值]]&lt;&gt;"","算力")</f>
        <v>算力</v>
      </c>
    </row>
    <row r="35" spans="2:17" x14ac:dyDescent="0.2">
      <c r="B35" s="22">
        <v>10164113452061</v>
      </c>
      <c r="C35" t="s">
        <v>503</v>
      </c>
      <c r="D35" t="s">
        <v>468</v>
      </c>
      <c r="F35" t="str">
        <f>IF(表1_5310[[#This Row],[配件1]]&lt;&gt;"",_xlfn.XLOOKUP(表1_5310[[#This Row],[配件1]],显卡利益点对照表新[型号],显卡利益点对照表新[[芯片组 ]],"ERROR"),"")</f>
        <v>RTX5050 8G</v>
      </c>
      <c r="G3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35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35" t="str">
        <f>IF(表1_5310[[#This Row],[配件1]]&lt;&gt;"",_xlfn.XLOOKUP(表1_5310[[#This Row],[配件1]],显卡利益点对照表新[型号],显卡利益点对照表新[利益点1],"ERROR"),"")</f>
        <v>石墨烯润滑油</v>
      </c>
      <c r="J35" t="str">
        <f>IF(表1_5310[[#This Row],[配件1]]&lt;&gt;"",_xlfn.XLOOKUP(表1_5310[[#This Row],[配件1]],显卡利益点对照表新[型号],显卡利益点对照表新[利益点2],"ERROR"),"")</f>
        <v>3D智能启停</v>
      </c>
      <c r="K35" t="str">
        <f>IF(表1_5310[[#This Row],[配件1]]&lt;&gt;"",_xlfn.XLOOKUP(表1_5310[[#This Row],[配件1]],显卡利益点对照表新[型号],显卡利益点对照表新[利益点3],"ERROR"),"")</f>
        <v>仿生降噪风扇</v>
      </c>
      <c r="L35" t="str">
        <f>IF(表1_5310[[#This Row],[配件1]]&lt;&gt;"",_xlfn.XLOOKUP(表1_5310[[#This Row],[配件1]],显卡利益点对照表新[型号],显卡利益点对照表新[算力],"ERROR"),"")</f>
        <v>AI算力421 TOPS</v>
      </c>
      <c r="M35" t="str">
        <f>IF(表1_5310[[#This Row],[配件1]]&lt;&gt;"",_xlfn.XLOOKUP(表1_5310[[#This Row],[配件1]],显卡利益点对照表新[型号],显卡利益点对照表新[可显性],"ERROR"),"")</f>
        <v>GV-N5050GAMING OC-8GD</v>
      </c>
      <c r="N3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5" t="str" cm="1">
        <f t="array" ref="Q35">_xlfn.IFS(表1_5310[[#This Row],[配件1]]="","",表1_5310[[#This Row],[文本丨算力丨算力值]]=" ","",表1_5310[[#This Row],[文本丨算力丨算力值]]&lt;&gt;"","算力")</f>
        <v>算力</v>
      </c>
    </row>
    <row r="36" spans="2:17" x14ac:dyDescent="0.2">
      <c r="B36" s="22">
        <v>10164113452062</v>
      </c>
      <c r="C36" t="s">
        <v>503</v>
      </c>
      <c r="D36" t="s">
        <v>469</v>
      </c>
      <c r="F36" t="str">
        <f>IF(表1_5310[[#This Row],[配件1]]&lt;&gt;"",_xlfn.XLOOKUP(表1_5310[[#This Row],[配件1]],显卡利益点对照表新[型号],显卡利益点对照表新[[芯片组 ]],"ERROR"),"")</f>
        <v>RTX5050 8G</v>
      </c>
      <c r="G3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魔鹰+550W电源</v>
      </c>
      <c r="H3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6" t="str">
        <f>IF(表1_5310[[#This Row],[配件1]]&lt;&gt;"",_xlfn.XLOOKUP(表1_5310[[#This Row],[配件1]],显卡利益点对照表新[型号],显卡利益点对照表新[利益点1],"ERROR"),"")</f>
        <v>石墨烯润滑油</v>
      </c>
      <c r="J36" t="str">
        <f>IF(表1_5310[[#This Row],[配件1]]&lt;&gt;"",_xlfn.XLOOKUP(表1_5310[[#This Row],[配件1]],显卡利益点对照表新[型号],显卡利益点对照表新[利益点2],"ERROR"),"")</f>
        <v>3D智能启停</v>
      </c>
      <c r="K36" t="str">
        <f>IF(表1_5310[[#This Row],[配件1]]&lt;&gt;"",_xlfn.XLOOKUP(表1_5310[[#This Row],[配件1]],显卡利益点对照表新[型号],显卡利益点对照表新[利益点3],"ERROR"),"")</f>
        <v>仿生降噪风扇</v>
      </c>
      <c r="L36" t="str">
        <f>IF(表1_5310[[#This Row],[配件1]]&lt;&gt;"",_xlfn.XLOOKUP(表1_5310[[#This Row],[配件1]],显卡利益点对照表新[型号],显卡利益点对照表新[算力],"ERROR"),"")</f>
        <v>AI算力421 TOPS</v>
      </c>
      <c r="M36" t="str">
        <f>IF(表1_5310[[#This Row],[配件1]]&lt;&gt;"",_xlfn.XLOOKUP(表1_5310[[#This Row],[配件1]],显卡利益点对照表新[型号],显卡利益点对照表新[可显性],"ERROR"),"")</f>
        <v>GV-N5050GAMING OC-8GD</v>
      </c>
      <c r="N3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6" t="str" cm="1">
        <f t="array" ref="Q36">_xlfn.IFS(表1_5310[[#This Row],[配件1]]="","",表1_5310[[#This Row],[文本丨算力丨算力值]]=" ","",表1_5310[[#This Row],[文本丨算力丨算力值]]&lt;&gt;"","算力")</f>
        <v>算力</v>
      </c>
    </row>
    <row r="37" spans="2:17" x14ac:dyDescent="0.2">
      <c r="F37" t="str">
        <f>IF(表1_5310[[#This Row],[配件1]]&lt;&gt;"",_xlfn.XLOOKUP(表1_5310[[#This Row],[配件1]],显卡利益点对照表新[型号],显卡利益点对照表新[[芯片组 ]],"ERROR"),"")</f>
        <v/>
      </c>
      <c r="G3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3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37" t="str">
        <f>IF(表1_5310[[#This Row],[配件1]]&lt;&gt;"",_xlfn.XLOOKUP(表1_5310[[#This Row],[配件1]],显卡利益点对照表新[型号],显卡利益点对照表新[利益点1],"ERROR"),"")</f>
        <v/>
      </c>
      <c r="J37" t="str">
        <f>IF(表1_5310[[#This Row],[配件1]]&lt;&gt;"",_xlfn.XLOOKUP(表1_5310[[#This Row],[配件1]],显卡利益点对照表新[型号],显卡利益点对照表新[利益点2],"ERROR"),"")</f>
        <v/>
      </c>
      <c r="K37" t="str">
        <f>IF(表1_5310[[#This Row],[配件1]]&lt;&gt;"",_xlfn.XLOOKUP(表1_5310[[#This Row],[配件1]],显卡利益点对照表新[型号],显卡利益点对照表新[利益点3],"ERROR"),"")</f>
        <v/>
      </c>
      <c r="L37" t="str">
        <f>IF(表1_5310[[#This Row],[配件1]]&lt;&gt;"",_xlfn.XLOOKUP(表1_5310[[#This Row],[配件1]],显卡利益点对照表新[型号],显卡利益点对照表新[算力],"ERROR"),"")</f>
        <v/>
      </c>
      <c r="M37" t="str">
        <f>IF(表1_5310[[#This Row],[配件1]]&lt;&gt;"",_xlfn.XLOOKUP(表1_5310[[#This Row],[配件1]],显卡利益点对照表新[型号],显卡利益点对照表新[可显性],"ERROR"),"")</f>
        <v/>
      </c>
      <c r="N3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37" t="str" cm="1">
        <f t="array" ref="Q37">_xlfn.IFS(表1_5310[[#This Row],[配件1]]="","",表1_5310[[#This Row],[文本丨算力丨算力值]]=" ","",表1_5310[[#This Row],[文本丨算力丨算力值]]&lt;&gt;"","算力")</f>
        <v/>
      </c>
    </row>
    <row r="38" spans="2:17" x14ac:dyDescent="0.2">
      <c r="F38" t="str">
        <f>IF(表1_5310[[#This Row],[配件1]]&lt;&gt;"",_xlfn.XLOOKUP(表1_5310[[#This Row],[配件1]],显卡利益点对照表新[型号],显卡利益点对照表新[[芯片组 ]],"ERROR"),"")</f>
        <v/>
      </c>
      <c r="G3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3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38" t="str">
        <f>IF(表1_5310[[#This Row],[配件1]]&lt;&gt;"",_xlfn.XLOOKUP(表1_5310[[#This Row],[配件1]],显卡利益点对照表新[型号],显卡利益点对照表新[利益点1],"ERROR"),"")</f>
        <v/>
      </c>
      <c r="J38" t="str">
        <f>IF(表1_5310[[#This Row],[配件1]]&lt;&gt;"",_xlfn.XLOOKUP(表1_5310[[#This Row],[配件1]],显卡利益点对照表新[型号],显卡利益点对照表新[利益点2],"ERROR"),"")</f>
        <v/>
      </c>
      <c r="K38" t="str">
        <f>IF(表1_5310[[#This Row],[配件1]]&lt;&gt;"",_xlfn.XLOOKUP(表1_5310[[#This Row],[配件1]],显卡利益点对照表新[型号],显卡利益点对照表新[利益点3],"ERROR"),"")</f>
        <v/>
      </c>
      <c r="L38" t="str">
        <f>IF(表1_5310[[#This Row],[配件1]]&lt;&gt;"",_xlfn.XLOOKUP(表1_5310[[#This Row],[配件1]],显卡利益点对照表新[型号],显卡利益点对照表新[算力],"ERROR"),"")</f>
        <v/>
      </c>
      <c r="M38" t="str">
        <f>IF(表1_5310[[#This Row],[配件1]]&lt;&gt;"",_xlfn.XLOOKUP(表1_5310[[#This Row],[配件1]],显卡利益点对照表新[型号],显卡利益点对照表新[可显性],"ERROR"),"")</f>
        <v/>
      </c>
      <c r="N3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38" t="str" cm="1">
        <f t="array" ref="Q38">_xlfn.IFS(表1_5310[[#This Row],[配件1]]="","",表1_5310[[#This Row],[文本丨算力丨算力值]]=" ","",表1_5310[[#This Row],[文本丨算力丨算力值]]&lt;&gt;"","算力")</f>
        <v/>
      </c>
    </row>
    <row r="39" spans="2:17" x14ac:dyDescent="0.2">
      <c r="F39" t="str">
        <f>IF(表1_5310[[#This Row],[配件1]]&lt;&gt;"",_xlfn.XLOOKUP(表1_5310[[#This Row],[配件1]],显卡利益点对照表新[型号],显卡利益点对照表新[[芯片组 ]],"ERROR"),"")</f>
        <v/>
      </c>
      <c r="G3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3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39" t="str">
        <f>IF(表1_5310[[#This Row],[配件1]]&lt;&gt;"",_xlfn.XLOOKUP(表1_5310[[#This Row],[配件1]],显卡利益点对照表新[型号],显卡利益点对照表新[利益点1],"ERROR"),"")</f>
        <v/>
      </c>
      <c r="J39" t="str">
        <f>IF(表1_5310[[#This Row],[配件1]]&lt;&gt;"",_xlfn.XLOOKUP(表1_5310[[#This Row],[配件1]],显卡利益点对照表新[型号],显卡利益点对照表新[利益点2],"ERROR"),"")</f>
        <v/>
      </c>
      <c r="K39" t="str">
        <f>IF(表1_5310[[#This Row],[配件1]]&lt;&gt;"",_xlfn.XLOOKUP(表1_5310[[#This Row],[配件1]],显卡利益点对照表新[型号],显卡利益点对照表新[利益点3],"ERROR"),"")</f>
        <v/>
      </c>
      <c r="L39" t="str">
        <f>IF(表1_5310[[#This Row],[配件1]]&lt;&gt;"",_xlfn.XLOOKUP(表1_5310[[#This Row],[配件1]],显卡利益点对照表新[型号],显卡利益点对照表新[算力],"ERROR"),"")</f>
        <v/>
      </c>
      <c r="M39" t="str">
        <f>IF(表1_5310[[#This Row],[配件1]]&lt;&gt;"",_xlfn.XLOOKUP(表1_5310[[#This Row],[配件1]],显卡利益点对照表新[型号],显卡利益点对照表新[可显性],"ERROR"),"")</f>
        <v/>
      </c>
      <c r="N3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39" t="str" cm="1">
        <f t="array" ref="Q39">_xlfn.IFS(表1_5310[[#This Row],[配件1]]="","",表1_5310[[#This Row],[文本丨算力丨算力值]]=" ","",表1_5310[[#This Row],[文本丨算力丨算力值]]&lt;&gt;"","算力")</f>
        <v/>
      </c>
    </row>
    <row r="40" spans="2:17" x14ac:dyDescent="0.2">
      <c r="B40" s="22">
        <v>10117192789198</v>
      </c>
      <c r="C40" t="s">
        <v>460</v>
      </c>
      <c r="D40" t="s">
        <v>468</v>
      </c>
      <c r="F40" t="str">
        <f>IF(表1_5310[[#This Row],[配件1]]&lt;&gt;"",_xlfn.XLOOKUP(表1_5310[[#This Row],[配件1]],显卡利益点对照表新[型号],显卡利益点对照表新[[芯片组 ]],"ERROR"),"")</f>
        <v>RTX5060 8G</v>
      </c>
      <c r="G4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半高卡 Low Profile</v>
      </c>
      <c r="H40" t="str">
        <f>IF(表1_5310[[#This Row],[配件1]]&lt;&gt;"",IF(表1_5310[[#This Row],[配件2]]&lt;&gt;"无"," ",_xlfn.XLOOKUP(表1_5310[[#This Row],[配件1]],显卡利益点对照表新[型号],显卡利益点对照表新[英文名称],"ERROR")),"")</f>
        <v>Low Profile</v>
      </c>
      <c r="I40" t="str">
        <f>IF(表1_5310[[#This Row],[配件1]]&lt;&gt;"",_xlfn.XLOOKUP(表1_5310[[#This Row],[配件1]],显卡利益点对照表新[型号],显卡利益点对照表新[利益点1],"ERROR"),"")</f>
        <v>铜板+复合式热管</v>
      </c>
      <c r="J40" t="str">
        <f>IF(表1_5310[[#This Row],[配件1]]&lt;&gt;"",_xlfn.XLOOKUP(表1_5310[[#This Row],[配件1]],显卡利益点对照表新[型号],显卡利益点对照表新[利益点2],"ERROR"),"")</f>
        <v>182mm半高卡设计</v>
      </c>
      <c r="K40" t="str">
        <f>IF(表1_5310[[#This Row],[配件1]]&lt;&gt;"",_xlfn.XLOOKUP(表1_5310[[#This Row],[配件1]],显卡利益点对照表新[型号],显卡利益点对照表新[利益点3],"ERROR"),"")</f>
        <v>仿生降噪风扇</v>
      </c>
      <c r="L40" t="str">
        <f>IF(表1_5310[[#This Row],[配件1]]&lt;&gt;"",_xlfn.XLOOKUP(表1_5310[[#This Row],[配件1]],显卡利益点对照表新[型号],显卡利益点对照表新[算力],"ERROR"),"")</f>
        <v>AI算力614 TOPS</v>
      </c>
      <c r="M40" t="str">
        <f>IF(表1_5310[[#This Row],[配件1]]&lt;&gt;"",_xlfn.XLOOKUP(表1_5310[[#This Row],[配件1]],显卡利益点对照表新[型号],显卡利益点对照表新[可显性],"ERROR"),"")</f>
        <v>GV-N5060OC-8GL</v>
      </c>
      <c r="N4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0" t="str" cm="1">
        <f t="array" ref="Q40">_xlfn.IFS(表1_5310[[#This Row],[配件1]]="","",表1_5310[[#This Row],[文本丨算力丨算力值]]=" ","",表1_5310[[#This Row],[文本丨算力丨算力值]]&lt;&gt;"","算力")</f>
        <v>算力</v>
      </c>
    </row>
    <row r="41" spans="2:17" x14ac:dyDescent="0.2">
      <c r="B41" s="22">
        <v>10088205246365</v>
      </c>
      <c r="C41" t="s">
        <v>544</v>
      </c>
      <c r="D41" t="s">
        <v>468</v>
      </c>
      <c r="F41" t="str">
        <f>IF(表1_5310[[#This Row],[配件1]]&lt;&gt;"",_xlfn.XLOOKUP(表1_5310[[#This Row],[配件1]],显卡利益点对照表新[型号],显卡利益点对照表新[[芯片组 ]],"ERROR"),"")</f>
        <v>RTX5060 8G</v>
      </c>
      <c r="G4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41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41" t="str">
        <f>IF(表1_5310[[#This Row],[配件1]]&lt;&gt;"",_xlfn.XLOOKUP(表1_5310[[#This Row],[配件1]],显卡利益点对照表新[型号],显卡利益点对照表新[利益点1],"ERROR"),"")</f>
        <v>铜板+复合式热管</v>
      </c>
      <c r="J41" t="str">
        <f>IF(表1_5310[[#This Row],[配件1]]&lt;&gt;"",_xlfn.XLOOKUP(表1_5310[[#This Row],[配件1]],显卡利益点对照表新[型号],显卡利益点对照表新[利益点2],"ERROR"),"")</f>
        <v>精巧双风扇</v>
      </c>
      <c r="K41" t="str">
        <f>IF(表1_5310[[#This Row],[配件1]]&lt;&gt;"",_xlfn.XLOOKUP(表1_5310[[#This Row],[配件1]],显卡利益点对照表新[型号],显卡利益点对照表新[利益点3],"ERROR"),"")</f>
        <v>仿生降噪风扇</v>
      </c>
      <c r="L41" t="str">
        <f>IF(表1_5310[[#This Row],[配件1]]&lt;&gt;"",_xlfn.XLOOKUP(表1_5310[[#This Row],[配件1]],显卡利益点对照表新[型号],显卡利益点对照表新[算力],"ERROR"),"")</f>
        <v>AI算力614 TOPS</v>
      </c>
      <c r="M41" t="str">
        <f>IF(表1_5310[[#This Row],[配件1]]&lt;&gt;"",_xlfn.XLOOKUP(表1_5310[[#This Row],[配件1]],显卡利益点对照表新[型号],显卡利益点对照表新[可显性],"ERROR"),"")</f>
        <v>GV-N5060WF2MAX OC-8GD</v>
      </c>
      <c r="N41" s="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1" t="str" cm="1">
        <f t="array" ref="Q41">_xlfn.IFS(表1_5310[[#This Row],[配件1]]="","",表1_5310[[#This Row],[文本丨算力丨算力值]]=" ","",表1_5310[[#This Row],[文本丨算力丨算力值]]&lt;&gt;"","算力")</f>
        <v>算力</v>
      </c>
    </row>
    <row r="42" spans="2:17" x14ac:dyDescent="0.2">
      <c r="B42" s="22">
        <v>10088205246366</v>
      </c>
      <c r="C42" t="s">
        <v>462</v>
      </c>
      <c r="D42" t="s">
        <v>468</v>
      </c>
      <c r="F42" t="str">
        <f>IF(表1_5310[[#This Row],[配件1]]&lt;&gt;"",_xlfn.XLOOKUP(表1_5310[[#This Row],[配件1]],显卡利益点对照表新[型号],显卡利益点对照表新[[芯片组 ]],"ERROR"),"")</f>
        <v>RTX5060 8G</v>
      </c>
      <c r="G4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4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42" t="str">
        <f>IF(表1_5310[[#This Row],[配件1]]&lt;&gt;"",_xlfn.XLOOKUP(表1_5310[[#This Row],[配件1]],显卡利益点对照表新[型号],显卡利益点对照表新[利益点1],"ERROR"),"")</f>
        <v>铜板+复合式热管</v>
      </c>
      <c r="J42" t="str">
        <f>IF(表1_5310[[#This Row],[配件1]]&lt;&gt;"",_xlfn.XLOOKUP(表1_5310[[#This Row],[配件1]],显卡利益点对照表新[型号],显卡利益点对照表新[利益点2],"ERROR"),"")</f>
        <v>精巧双风扇</v>
      </c>
      <c r="K42" t="str">
        <f>IF(表1_5310[[#This Row],[配件1]]&lt;&gt;"",_xlfn.XLOOKUP(表1_5310[[#This Row],[配件1]],显卡利益点对照表新[型号],显卡利益点对照表新[利益点3],"ERROR"),"")</f>
        <v>仿生降噪风扇</v>
      </c>
      <c r="L42" t="str">
        <f>IF(表1_5310[[#This Row],[配件1]]&lt;&gt;"",_xlfn.XLOOKUP(表1_5310[[#This Row],[配件1]],显卡利益点对照表新[型号],显卡利益点对照表新[算力],"ERROR"),"")</f>
        <v>AI算力614 TOPS</v>
      </c>
      <c r="M42" t="str">
        <f>IF(表1_5310[[#This Row],[配件1]]&lt;&gt;"",_xlfn.XLOOKUP(表1_5310[[#This Row],[配件1]],显卡利益点对照表新[型号],显卡利益点对照表新[可显性],"ERROR"),"")</f>
        <v>GV-N5060EAGLE OC-8GD</v>
      </c>
      <c r="N4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2" t="str" cm="1">
        <f t="array" ref="Q42">_xlfn.IFS(表1_5310[[#This Row],[配件1]]="","",表1_5310[[#This Row],[文本丨算力丨算力值]]=" ","",表1_5310[[#This Row],[文本丨算力丨算力值]]&lt;&gt;"","算力")</f>
        <v>算力</v>
      </c>
    </row>
    <row r="43" spans="2:17" x14ac:dyDescent="0.2">
      <c r="B43" s="22">
        <v>10164264386142</v>
      </c>
      <c r="C43" t="s">
        <v>545</v>
      </c>
      <c r="D43" t="s">
        <v>468</v>
      </c>
      <c r="F43" t="str">
        <f>IF(表1_5310[[#This Row],[配件1]]&lt;&gt;"",_xlfn.XLOOKUP(表1_5310[[#This Row],[配件1]],显卡利益点对照表新[型号],显卡利益点对照表新[[芯片组 ]],"ERROR"),"")</f>
        <v>RTX5060 8G</v>
      </c>
      <c r="G4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MAX</v>
      </c>
      <c r="H43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MAX</v>
      </c>
      <c r="I43" t="str">
        <f>IF(表1_5310[[#This Row],[配件1]]&lt;&gt;"",_xlfn.XLOOKUP(表1_5310[[#This Row],[配件1]],显卡利益点对照表新[型号],显卡利益点对照表新[利益点1],"ERROR"),"")</f>
        <v>铜板+复合式热管</v>
      </c>
      <c r="J43" t="str">
        <f>IF(表1_5310[[#This Row],[配件1]]&lt;&gt;"",_xlfn.XLOOKUP(表1_5310[[#This Row],[配件1]],显卡利益点对照表新[型号],显卡利益点对照表新[利益点2],"ERROR"),"")</f>
        <v>正逆转三风扇</v>
      </c>
      <c r="K43" t="str">
        <f>IF(表1_5310[[#This Row],[配件1]]&lt;&gt;"",_xlfn.XLOOKUP(表1_5310[[#This Row],[配件1]],显卡利益点对照表新[型号],显卡利益点对照表新[利益点3],"ERROR"),"")</f>
        <v>仿生降噪风扇</v>
      </c>
      <c r="L43" t="str">
        <f>IF(表1_5310[[#This Row],[配件1]]&lt;&gt;"",_xlfn.XLOOKUP(表1_5310[[#This Row],[配件1]],显卡利益点对照表新[型号],显卡利益点对照表新[算力],"ERROR"),"")</f>
        <v>AI算力614 TOPS</v>
      </c>
      <c r="M43" t="str">
        <f>IF(表1_5310[[#This Row],[配件1]]&lt;&gt;"",_xlfn.XLOOKUP(表1_5310[[#This Row],[配件1]],显卡利益点对照表新[型号],显卡利益点对照表新[可显性],"ERROR"),"")</f>
        <v>GV-N5060EAGLEMAX OC-8GD</v>
      </c>
      <c r="N4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3" t="str" cm="1">
        <f t="array" ref="Q43">_xlfn.IFS(表1_5310[[#This Row],[配件1]]="","",表1_5310[[#This Row],[文本丨算力丨算力值]]=" ","",表1_5310[[#This Row],[文本丨算力丨算力值]]&lt;&gt;"","算力")</f>
        <v>算力</v>
      </c>
    </row>
    <row r="44" spans="2:17" x14ac:dyDescent="0.2">
      <c r="B44" s="22">
        <v>10096442288392</v>
      </c>
      <c r="C44" t="s">
        <v>463</v>
      </c>
      <c r="D44" t="s">
        <v>468</v>
      </c>
      <c r="F44" t="str">
        <f>IF(表1_5310[[#This Row],[配件1]]&lt;&gt;"",_xlfn.XLOOKUP(表1_5310[[#This Row],[配件1]],显卡利益点对照表新[型号],显卡利益点对照表新[[芯片组 ]],"ERROR"),"")</f>
        <v>RTX5060 8G</v>
      </c>
      <c r="G4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44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44" t="str">
        <f>IF(表1_5310[[#This Row],[配件1]]&lt;&gt;"",_xlfn.XLOOKUP(表1_5310[[#This Row],[配件1]],显卡利益点对照表新[型号],显卡利益点对照表新[利益点1],"ERROR"),"")</f>
        <v>铜板+复合式热管</v>
      </c>
      <c r="J44" t="str">
        <f>IF(表1_5310[[#This Row],[配件1]]&lt;&gt;"",_xlfn.XLOOKUP(表1_5310[[#This Row],[配件1]],显卡利益点对照表新[型号],显卡利益点对照表新[利益点2],"ERROR"),"")</f>
        <v>精巧双风扇</v>
      </c>
      <c r="K44" t="str">
        <f>IF(表1_5310[[#This Row],[配件1]]&lt;&gt;"",_xlfn.XLOOKUP(表1_5310[[#This Row],[配件1]],显卡利益点对照表新[型号],显卡利益点对照表新[利益点3],"ERROR"),"")</f>
        <v>仿生降噪风扇</v>
      </c>
      <c r="L44" t="str">
        <f>IF(表1_5310[[#This Row],[配件1]]&lt;&gt;"",_xlfn.XLOOKUP(表1_5310[[#This Row],[配件1]],显卡利益点对照表新[型号],显卡利益点对照表新[算力],"ERROR"),"")</f>
        <v>AI算力614 TOPS</v>
      </c>
      <c r="M44" t="str">
        <f>IF(表1_5310[[#This Row],[配件1]]&lt;&gt;"",_xlfn.XLOOKUP(表1_5310[[#This Row],[配件1]],显卡利益点对照表新[型号],显卡利益点对照表新[可显性],"ERROR"),"")</f>
        <v>GV-N5060EAGLEOC ICE-8GD</v>
      </c>
      <c r="N4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4" t="str" cm="1">
        <f t="array" ref="Q44">_xlfn.IFS(表1_5310[[#This Row],[配件1]]="","",表1_5310[[#This Row],[文本丨算力丨算力值]]=" ","",表1_5310[[#This Row],[文本丨算力丨算力值]]&lt;&gt;"","算力")</f>
        <v>算力</v>
      </c>
    </row>
    <row r="45" spans="2:17" x14ac:dyDescent="0.2">
      <c r="B45" s="22">
        <v>10099361159606</v>
      </c>
      <c r="C45" t="s">
        <v>464</v>
      </c>
      <c r="D45" t="s">
        <v>468</v>
      </c>
      <c r="F45" t="str">
        <f>IF(表1_5310[[#This Row],[配件1]]&lt;&gt;"",_xlfn.XLOOKUP(表1_5310[[#This Row],[配件1]],显卡利益点对照表新[型号],显卡利益点对照表新[[芯片组 ]],"ERROR"),"")</f>
        <v>RTX5060 8G</v>
      </c>
      <c r="G4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45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45" t="str">
        <f>IF(表1_5310[[#This Row],[配件1]]&lt;&gt;"",_xlfn.XLOOKUP(表1_5310[[#This Row],[配件1]],显卡利益点对照表新[型号],显卡利益点对照表新[利益点1],"ERROR"),"")</f>
        <v>铜板+复合式热管</v>
      </c>
      <c r="J45" t="str">
        <f>IF(表1_5310[[#This Row],[配件1]]&lt;&gt;"",_xlfn.XLOOKUP(表1_5310[[#This Row],[配件1]],显卡利益点对照表新[型号],显卡利益点对照表新[利益点2],"ERROR"),"")</f>
        <v>RGB滑动侧板</v>
      </c>
      <c r="K45" t="str">
        <f>IF(表1_5310[[#This Row],[配件1]]&lt;&gt;"",_xlfn.XLOOKUP(表1_5310[[#This Row],[配件1]],显卡利益点对照表新[型号],显卡利益点对照表新[利益点3],"ERROR"),"")</f>
        <v>强化金属背板</v>
      </c>
      <c r="L45" t="str">
        <f>IF(表1_5310[[#This Row],[配件1]]&lt;&gt;"",_xlfn.XLOOKUP(表1_5310[[#This Row],[配件1]],显卡利益点对照表新[型号],显卡利益点对照表新[算力],"ERROR"),"")</f>
        <v>AI算力614 TOPS</v>
      </c>
      <c r="M45" t="str">
        <f>IF(表1_5310[[#This Row],[配件1]]&lt;&gt;"",_xlfn.XLOOKUP(表1_5310[[#This Row],[配件1]],显卡利益点对照表新[型号],显卡利益点对照表新[可显性],"ERROR"),"")</f>
        <v>GV-N5060GAMING OC-8GD</v>
      </c>
      <c r="N4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5" t="str" cm="1">
        <f t="array" ref="Q45">_xlfn.IFS(表1_5310[[#This Row],[配件1]]="","",表1_5310[[#This Row],[文本丨算力丨算力值]]=" ","",表1_5310[[#This Row],[文本丨算力丨算力值]]&lt;&gt;"","算力")</f>
        <v>算力</v>
      </c>
    </row>
    <row r="46" spans="2:17" x14ac:dyDescent="0.2">
      <c r="B46" s="22">
        <v>10099361159607</v>
      </c>
      <c r="C46" t="s">
        <v>465</v>
      </c>
      <c r="D46" t="s">
        <v>468</v>
      </c>
      <c r="F46" t="str">
        <f>IF(表1_5310[[#This Row],[配件1]]&lt;&gt;"",_xlfn.XLOOKUP(表1_5310[[#This Row],[配件1]],显卡利益点对照表新[型号],显卡利益点对照表新[[芯片组 ]],"ERROR"),"")</f>
        <v>RTX5060 8G</v>
      </c>
      <c r="G4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46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46" t="str">
        <f>IF(表1_5310[[#This Row],[配件1]]&lt;&gt;"",_xlfn.XLOOKUP(表1_5310[[#This Row],[配件1]],显卡利益点对照表新[型号],显卡利益点对照表新[利益点1],"ERROR"),"")</f>
        <v>铜板+复合式热管</v>
      </c>
      <c r="J46" t="str">
        <f>IF(表1_5310[[#This Row],[配件1]]&lt;&gt;"",_xlfn.XLOOKUP(表1_5310[[#This Row],[配件1]],显卡利益点对照表新[型号],显卡利益点对照表新[利益点2],"ERROR"),"")</f>
        <v>银白雪装外观</v>
      </c>
      <c r="K46" t="str">
        <f>IF(表1_5310[[#This Row],[配件1]]&lt;&gt;"",_xlfn.XLOOKUP(表1_5310[[#This Row],[配件1]],显卡利益点对照表新[型号],显卡利益点对照表新[利益点3],"ERROR"),"")</f>
        <v>强化金属背板</v>
      </c>
      <c r="L46" t="str">
        <f>IF(表1_5310[[#This Row],[配件1]]&lt;&gt;"",_xlfn.XLOOKUP(表1_5310[[#This Row],[配件1]],显卡利益点对照表新[型号],显卡利益点对照表新[算力],"ERROR"),"")</f>
        <v>AI算力614 TOPS</v>
      </c>
      <c r="M46" t="str">
        <f>IF(表1_5310[[#This Row],[配件1]]&lt;&gt;"",_xlfn.XLOOKUP(表1_5310[[#This Row],[配件1]],显卡利益点对照表新[型号],显卡利益点对照表新[可显性],"ERROR"),"")</f>
        <v>GV-N5060AERO OC-8GD</v>
      </c>
      <c r="N4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6" t="str" cm="1">
        <f t="array" ref="Q46">_xlfn.IFS(表1_5310[[#This Row],[配件1]]="","",表1_5310[[#This Row],[文本丨算力丨算力值]]=" ","",表1_5310[[#This Row],[文本丨算力丨算力值]]&lt;&gt;"","算力")</f>
        <v>算力</v>
      </c>
    </row>
    <row r="47" spans="2:17" x14ac:dyDescent="0.2">
      <c r="B47" s="22">
        <v>10099361159608</v>
      </c>
      <c r="C47" t="s">
        <v>466</v>
      </c>
      <c r="D47" t="s">
        <v>468</v>
      </c>
      <c r="F47" t="str">
        <f>IF(表1_5310[[#This Row],[配件1]]&lt;&gt;"",_xlfn.XLOOKUP(表1_5310[[#This Row],[配件1]],显卡利益点对照表新[型号],显卡利益点对照表新[[芯片组 ]],"ERROR"),"")</f>
        <v>RTX5060 8G</v>
      </c>
      <c r="G4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47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47" t="str">
        <f>IF(表1_5310[[#This Row],[配件1]]&lt;&gt;"",_xlfn.XLOOKUP(表1_5310[[#This Row],[配件1]],显卡利益点对照表新[型号],显卡利益点对照表新[利益点1],"ERROR"),"")</f>
        <v>注册4年保/个人送保</v>
      </c>
      <c r="J47" t="str">
        <f>IF(表1_5310[[#This Row],[配件1]]&lt;&gt;"",_xlfn.XLOOKUP(表1_5310[[#This Row],[配件1]],显卡利益点对照表新[型号],显卡利益点对照表新[利益点2],"ERROR"),"")</f>
        <v>RGB幻彩光轮</v>
      </c>
      <c r="K47" t="str">
        <f>IF(表1_5310[[#This Row],[配件1]]&lt;&gt;"",_xlfn.XLOOKUP(表1_5310[[#This Row],[配件1]],显卡利益点对照表新[型号],显卡利益点对照表新[利益点3],"ERROR"),"")</f>
        <v>五重高效散热</v>
      </c>
      <c r="L47" t="str">
        <f>IF(表1_5310[[#This Row],[配件1]]&lt;&gt;"",_xlfn.XLOOKUP(表1_5310[[#This Row],[配件1]],显卡利益点对照表新[型号],显卡利益点对照表新[算力],"ERROR"),"")</f>
        <v>AI算力614 TOPS</v>
      </c>
      <c r="M47" t="str">
        <f>IF(表1_5310[[#This Row],[配件1]]&lt;&gt;"",_xlfn.XLOOKUP(表1_5310[[#This Row],[配件1]],显卡利益点对照表新[型号],显卡利益点对照表新[可显性],"ERROR"),"")</f>
        <v>GV-N5060AORUS E-8GD</v>
      </c>
      <c r="N4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7" t="str" cm="1">
        <f t="array" ref="Q47">_xlfn.IFS(表1_5310[[#This Row],[配件1]]="","",表1_5310[[#This Row],[文本丨算力丨算力值]]=" ","",表1_5310[[#This Row],[文本丨算力丨算力值]]&lt;&gt;"","算力")</f>
        <v>算力</v>
      </c>
    </row>
    <row r="48" spans="2:17" x14ac:dyDescent="0.2">
      <c r="F48" t="str">
        <f>IF(表1_5310[[#This Row],[配件1]]&lt;&gt;"",_xlfn.XLOOKUP(表1_5310[[#This Row],[配件1]],显卡利益点对照表新[型号],显卡利益点对照表新[[芯片组 ]],"ERROR"),"")</f>
        <v/>
      </c>
      <c r="G4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4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48" t="str">
        <f>IF(表1_5310[[#This Row],[配件1]]&lt;&gt;"",_xlfn.XLOOKUP(表1_5310[[#This Row],[配件1]],显卡利益点对照表新[型号],显卡利益点对照表新[利益点1],"ERROR"),"")</f>
        <v/>
      </c>
      <c r="J48" t="str">
        <f>IF(表1_5310[[#This Row],[配件1]]&lt;&gt;"",_xlfn.XLOOKUP(表1_5310[[#This Row],[配件1]],显卡利益点对照表新[型号],显卡利益点对照表新[利益点2],"ERROR"),"")</f>
        <v/>
      </c>
      <c r="K48" t="str">
        <f>IF(表1_5310[[#This Row],[配件1]]&lt;&gt;"",_xlfn.XLOOKUP(表1_5310[[#This Row],[配件1]],显卡利益点对照表新[型号],显卡利益点对照表新[利益点3],"ERROR"),"")</f>
        <v/>
      </c>
      <c r="L48" t="str">
        <f>IF(表1_5310[[#This Row],[配件1]]&lt;&gt;"",_xlfn.XLOOKUP(表1_5310[[#This Row],[配件1]],显卡利益点对照表新[型号],显卡利益点对照表新[算力],"ERROR"),"")</f>
        <v/>
      </c>
      <c r="M48" t="str">
        <f>IF(表1_5310[[#This Row],[配件1]]&lt;&gt;"",_xlfn.XLOOKUP(表1_5310[[#This Row],[配件1]],显卡利益点对照表新[型号],显卡利益点对照表新[可显性],"ERROR"),"")</f>
        <v/>
      </c>
      <c r="N4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48" t="str" cm="1">
        <f t="array" ref="Q48">_xlfn.IFS(表1_5310[[#This Row],[配件1]]="","",表1_5310[[#This Row],[文本丨算力丨算力值]]=" ","",表1_5310[[#This Row],[文本丨算力丨算力值]]&lt;&gt;"","算力")</f>
        <v/>
      </c>
    </row>
    <row r="49" spans="2:17" x14ac:dyDescent="0.2">
      <c r="B49" s="22">
        <v>10148996551148</v>
      </c>
      <c r="C49" t="s">
        <v>250</v>
      </c>
      <c r="D49" t="s">
        <v>468</v>
      </c>
      <c r="F49" t="str">
        <f>IF(表1_5310[[#This Row],[配件1]]&lt;&gt;"",_xlfn.XLOOKUP(表1_5310[[#This Row],[配件1]],显卡利益点对照表新[型号],显卡利益点对照表新[[芯片组 ]],"ERROR"),"")</f>
        <v>RTX5060 Ti 8G</v>
      </c>
      <c r="G4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49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49" t="str">
        <f>IF(表1_5310[[#This Row],[配件1]]&lt;&gt;"",_xlfn.XLOOKUP(表1_5310[[#This Row],[配件1]],显卡利益点对照表新[型号],显卡利益点对照表新[利益点1],"ERROR"),"")</f>
        <v>铜板+复合式热管</v>
      </c>
      <c r="J49" t="str">
        <f>IF(表1_5310[[#This Row],[配件1]]&lt;&gt;"",_xlfn.XLOOKUP(表1_5310[[#This Row],[配件1]],显卡利益点对照表新[型号],显卡利益点对照表新[利益点2],"ERROR"),"")</f>
        <v>精巧双风扇</v>
      </c>
      <c r="K49" t="str">
        <f>IF(表1_5310[[#This Row],[配件1]]&lt;&gt;"",_xlfn.XLOOKUP(表1_5310[[#This Row],[配件1]],显卡利益点对照表新[型号],显卡利益点对照表新[利益点3],"ERROR"),"")</f>
        <v>仿生降噪风扇</v>
      </c>
      <c r="L49" t="str">
        <f>IF(表1_5310[[#This Row],[配件1]]&lt;&gt;"",_xlfn.XLOOKUP(表1_5310[[#This Row],[配件1]],显卡利益点对照表新[型号],显卡利益点对照表新[算力],"ERROR"),"")</f>
        <v>AI算力759 TOPS</v>
      </c>
      <c r="M49" t="str">
        <f>IF(表1_5310[[#This Row],[配件1]]&lt;&gt;"",_xlfn.XLOOKUP(表1_5310[[#This Row],[配件1]],显卡利益点对照表新[型号],显卡利益点对照表新[可显性],"ERROR"),"")</f>
        <v>GV-N506TWF2-16GD</v>
      </c>
      <c r="N4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9" t="str" cm="1">
        <f t="array" ref="Q49">_xlfn.IFS(表1_5310[[#This Row],[配件1]]="","",表1_5310[[#This Row],[文本丨算力丨算力值]]=" ","",表1_5310[[#This Row],[文本丨算力丨算力值]]&lt;&gt;"","算力")</f>
        <v>算力</v>
      </c>
    </row>
    <row r="50" spans="2:17" x14ac:dyDescent="0.2">
      <c r="B50" s="22">
        <v>10188155800644</v>
      </c>
      <c r="C50" t="s">
        <v>570</v>
      </c>
      <c r="D50" t="s">
        <v>468</v>
      </c>
      <c r="F50" t="str">
        <f>IF(表1_5310[[#This Row],[配件1]]&lt;&gt;"",_xlfn.XLOOKUP(表1_5310[[#This Row],[配件1]],显卡利益点对照表新[型号],显卡利益点对照表新[[芯片组 ]],"ERROR"),"")</f>
        <v>RTX5060 Ti 8G</v>
      </c>
      <c r="G5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50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50" t="str">
        <f>IF(表1_5310[[#This Row],[配件1]]&lt;&gt;"",_xlfn.XLOOKUP(表1_5310[[#This Row],[配件1]],显卡利益点对照表新[型号],显卡利益点对照表新[利益点1],"ERROR"),"")</f>
        <v>铜板+复合式热管</v>
      </c>
      <c r="J50" t="str">
        <f>IF(表1_5310[[#This Row],[配件1]]&lt;&gt;"",_xlfn.XLOOKUP(表1_5310[[#This Row],[配件1]],显卡利益点对照表新[型号],显卡利益点对照表新[利益点2],"ERROR"),"")</f>
        <v>精巧双风扇</v>
      </c>
      <c r="K50" t="str">
        <f>IF(表1_5310[[#This Row],[配件1]]&lt;&gt;"",_xlfn.XLOOKUP(表1_5310[[#This Row],[配件1]],显卡利益点对照表新[型号],显卡利益点对照表新[利益点3],"ERROR"),"")</f>
        <v>仿生降噪风扇</v>
      </c>
      <c r="L50" t="str">
        <f>IF(表1_5310[[#This Row],[配件1]]&lt;&gt;"",_xlfn.XLOOKUP(表1_5310[[#This Row],[配件1]],显卡利益点对照表新[型号],显卡利益点对照表新[算力],"ERROR"),"")</f>
        <v>AI算力759 TOPS</v>
      </c>
      <c r="M50" t="str">
        <f>IF(表1_5310[[#This Row],[配件1]]&lt;&gt;"",_xlfn.XLOOKUP(表1_5310[[#This Row],[配件1]],显卡利益点对照表新[型号],显卡利益点对照表新[可显性],"ERROR"),"")</f>
        <v>GV-N506TWF2MAX OC-8GD</v>
      </c>
      <c r="N5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0" t="str" cm="1">
        <f t="array" ref="Q50">_xlfn.IFS(表1_5310[[#This Row],[配件1]]="","",表1_5310[[#This Row],[文本丨算力丨算力值]]=" ","",表1_5310[[#This Row],[文本丨算力丨算力值]]&lt;&gt;"","算力")</f>
        <v>算力</v>
      </c>
    </row>
    <row r="51" spans="2:17" x14ac:dyDescent="0.2">
      <c r="B51" s="22">
        <v>10148996551150</v>
      </c>
      <c r="C51" t="s">
        <v>259</v>
      </c>
      <c r="D51" t="s">
        <v>468</v>
      </c>
      <c r="F51" t="str">
        <f>IF(表1_5310[[#This Row],[配件1]]&lt;&gt;"",_xlfn.XLOOKUP(表1_5310[[#This Row],[配件1]],显卡利益点对照表新[型号],显卡利益点对照表新[[芯片组 ]],"ERROR"),"")</f>
        <v>RTX5060 Ti 8G</v>
      </c>
      <c r="G5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5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51" t="str">
        <f>IF(表1_5310[[#This Row],[配件1]]&lt;&gt;"",_xlfn.XLOOKUP(表1_5310[[#This Row],[配件1]],显卡利益点对照表新[型号],显卡利益点对照表新[利益点1],"ERROR"),"")</f>
        <v>铜板+复合式热管</v>
      </c>
      <c r="J51" t="str">
        <f>IF(表1_5310[[#This Row],[配件1]]&lt;&gt;"",_xlfn.XLOOKUP(表1_5310[[#This Row],[配件1]],显卡利益点对照表新[型号],显卡利益点对照表新[利益点2],"ERROR"),"")</f>
        <v>精巧双风扇</v>
      </c>
      <c r="K51" t="str">
        <f>IF(表1_5310[[#This Row],[配件1]]&lt;&gt;"",_xlfn.XLOOKUP(表1_5310[[#This Row],[配件1]],显卡利益点对照表新[型号],显卡利益点对照表新[利益点3],"ERROR"),"")</f>
        <v>仿生降噪风扇</v>
      </c>
      <c r="L51" t="str">
        <f>IF(表1_5310[[#This Row],[配件1]]&lt;&gt;"",_xlfn.XLOOKUP(表1_5310[[#This Row],[配件1]],显卡利益点对照表新[型号],显卡利益点对照表新[算力],"ERROR"),"")</f>
        <v>AI算力759 TOPS</v>
      </c>
      <c r="M51" t="str">
        <f>IF(表1_5310[[#This Row],[配件1]]&lt;&gt;"",_xlfn.XLOOKUP(表1_5310[[#This Row],[配件1]],显卡利益点对照表新[型号],显卡利益点对照表新[可显性],"ERROR"),"")</f>
        <v>GV-N506TEAGLE OC-16GD</v>
      </c>
      <c r="N5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1" t="str" cm="1">
        <f t="array" ref="Q51">_xlfn.IFS(表1_5310[[#This Row],[配件1]]="","",表1_5310[[#This Row],[文本丨算力丨算力值]]=" ","",表1_5310[[#This Row],[文本丨算力丨算力值]]&lt;&gt;"","算力")</f>
        <v>算力</v>
      </c>
    </row>
    <row r="52" spans="2:17" x14ac:dyDescent="0.2">
      <c r="B52" s="22">
        <v>10164262139761</v>
      </c>
      <c r="C52" t="s">
        <v>546</v>
      </c>
      <c r="D52" t="s">
        <v>468</v>
      </c>
      <c r="F52" t="str">
        <f>IF(表1_5310[[#This Row],[配件1]]&lt;&gt;"",_xlfn.XLOOKUP(表1_5310[[#This Row],[配件1]],显卡利益点对照表新[型号],显卡利益点对照表新[[芯片组 ]],"ERROR"),"")</f>
        <v>RTX5060 Ti 16G</v>
      </c>
      <c r="G5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MAX</v>
      </c>
      <c r="H5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MAX</v>
      </c>
      <c r="I52" t="str">
        <f>IF(表1_5310[[#This Row],[配件1]]&lt;&gt;"",_xlfn.XLOOKUP(表1_5310[[#This Row],[配件1]],显卡利益点对照表新[型号],显卡利益点对照表新[利益点1],"ERROR"),"")</f>
        <v>铜板+复合式热管</v>
      </c>
      <c r="J52" t="str">
        <f>IF(表1_5310[[#This Row],[配件1]]&lt;&gt;"",_xlfn.XLOOKUP(表1_5310[[#This Row],[配件1]],显卡利益点对照表新[型号],显卡利益点对照表新[利益点2],"ERROR"),"")</f>
        <v>正逆转三风扇</v>
      </c>
      <c r="K52" t="str">
        <f>IF(表1_5310[[#This Row],[配件1]]&lt;&gt;"",_xlfn.XLOOKUP(表1_5310[[#This Row],[配件1]],显卡利益点对照表新[型号],显卡利益点对照表新[利益点3],"ERROR"),"")</f>
        <v>仿生降噪风扇</v>
      </c>
      <c r="L52" t="str">
        <f>IF(表1_5310[[#This Row],[配件1]]&lt;&gt;"",_xlfn.XLOOKUP(表1_5310[[#This Row],[配件1]],显卡利益点对照表新[型号],显卡利益点对照表新[算力],"ERROR"),"")</f>
        <v>AI算力759 TOPS</v>
      </c>
      <c r="M52" t="str">
        <f>IF(表1_5310[[#This Row],[配件1]]&lt;&gt;"",_xlfn.XLOOKUP(表1_5310[[#This Row],[配件1]],显卡利益点对照表新[型号],显卡利益点对照表新[可显性],"ERROR"),"")</f>
        <v>GV-N506TEAGLEMAX OC-8GD</v>
      </c>
      <c r="N5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2" t="str" cm="1">
        <f t="array" ref="Q52">_xlfn.IFS(表1_5310[[#This Row],[配件1]]="","",表1_5310[[#This Row],[文本丨算力丨算力值]]=" ","",表1_5310[[#This Row],[文本丨算力丨算力值]]&lt;&gt;"","算力")</f>
        <v>算力</v>
      </c>
    </row>
    <row r="53" spans="2:17" x14ac:dyDescent="0.2">
      <c r="B53" s="22">
        <v>10148996551152</v>
      </c>
      <c r="C53" t="s">
        <v>258</v>
      </c>
      <c r="D53" t="s">
        <v>468</v>
      </c>
      <c r="F53" t="str">
        <f>IF(表1_5310[[#This Row],[配件1]]&lt;&gt;"",_xlfn.XLOOKUP(表1_5310[[#This Row],[配件1]],显卡利益点对照表新[型号],显卡利益点对照表新[[芯片组 ]],"ERROR"),"")</f>
        <v>RTX5060 Ti 8G</v>
      </c>
      <c r="G5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53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53" t="str">
        <f>IF(表1_5310[[#This Row],[配件1]]&lt;&gt;"",_xlfn.XLOOKUP(表1_5310[[#This Row],[配件1]],显卡利益点对照表新[型号],显卡利益点对照表新[利益点1],"ERROR"),"")</f>
        <v>铜板+复合式热管</v>
      </c>
      <c r="J53" t="str">
        <f>IF(表1_5310[[#This Row],[配件1]]&lt;&gt;"",_xlfn.XLOOKUP(表1_5310[[#This Row],[配件1]],显卡利益点对照表新[型号],显卡利益点对照表新[利益点2],"ERROR"),"")</f>
        <v>精巧双风扇</v>
      </c>
      <c r="K53" t="str">
        <f>IF(表1_5310[[#This Row],[配件1]]&lt;&gt;"",_xlfn.XLOOKUP(表1_5310[[#This Row],[配件1]],显卡利益点对照表新[型号],显卡利益点对照表新[利益点3],"ERROR"),"")</f>
        <v>仿生降噪风扇</v>
      </c>
      <c r="L53" t="str">
        <f>IF(表1_5310[[#This Row],[配件1]]&lt;&gt;"",_xlfn.XLOOKUP(表1_5310[[#This Row],[配件1]],显卡利益点对照表新[型号],显卡利益点对照表新[算力],"ERROR"),"")</f>
        <v>AI算力759 TOPS</v>
      </c>
      <c r="M53" t="str">
        <f>IF(表1_5310[[#This Row],[配件1]]&lt;&gt;"",_xlfn.XLOOKUP(表1_5310[[#This Row],[配件1]],显卡利益点对照表新[型号],显卡利益点对照表新[可显性],"ERROR"),"")</f>
        <v>GV-N506TEAGLE OC ICE-16GD</v>
      </c>
      <c r="N5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3" t="str" cm="1">
        <f t="array" ref="Q53">_xlfn.IFS(表1_5310[[#This Row],[配件1]]="","",表1_5310[[#This Row],[文本丨算力丨算力值]]=" ","",表1_5310[[#This Row],[文本丨算力丨算力值]]&lt;&gt;"","算力")</f>
        <v>算力</v>
      </c>
    </row>
    <row r="54" spans="2:17" x14ac:dyDescent="0.2">
      <c r="B54" s="22">
        <v>10088232013094</v>
      </c>
      <c r="C54" t="s">
        <v>255</v>
      </c>
      <c r="D54" t="s">
        <v>468</v>
      </c>
      <c r="F54" t="str">
        <f>IF(表1_5310[[#This Row],[配件1]]&lt;&gt;"",_xlfn.XLOOKUP(表1_5310[[#This Row],[配件1]],显卡利益点对照表新[型号],显卡利益点对照表新[[芯片组 ]],"ERROR"),"")</f>
        <v>RTX5060 Ti 8G</v>
      </c>
      <c r="G5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5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54" t="str">
        <f>IF(表1_5310[[#This Row],[配件1]]&lt;&gt;"",_xlfn.XLOOKUP(表1_5310[[#This Row],[配件1]],显卡利益点对照表新[型号],显卡利益点对照表新[利益点1],"ERROR"),"")</f>
        <v>铜板+复合式热管</v>
      </c>
      <c r="J54" t="str">
        <f>IF(表1_5310[[#This Row],[配件1]]&lt;&gt;"",_xlfn.XLOOKUP(表1_5310[[#This Row],[配件1]],显卡利益点对照表新[型号],显卡利益点对照表新[利益点2],"ERROR"),"")</f>
        <v>RGB滑动侧板</v>
      </c>
      <c r="K54" t="str">
        <f>IF(表1_5310[[#This Row],[配件1]]&lt;&gt;"",_xlfn.XLOOKUP(表1_5310[[#This Row],[配件1]],显卡利益点对照表新[型号],显卡利益点对照表新[利益点3],"ERROR"),"")</f>
        <v>正逆转三风扇</v>
      </c>
      <c r="L54" t="str">
        <f>IF(表1_5310[[#This Row],[配件1]]&lt;&gt;"",_xlfn.XLOOKUP(表1_5310[[#This Row],[配件1]],显卡利益点对照表新[型号],显卡利益点对照表新[算力],"ERROR"),"")</f>
        <v>AI算力759 TOPS</v>
      </c>
      <c r="M54" t="str">
        <f>IF(表1_5310[[#This Row],[配件1]]&lt;&gt;"",_xlfn.XLOOKUP(表1_5310[[#This Row],[配件1]],显卡利益点对照表新[型号],显卡利益点对照表新[可显性],"ERROR"),"")</f>
        <v>GV-N506TGAMING OC-16GD</v>
      </c>
      <c r="N5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4" t="str" cm="1">
        <f t="array" ref="Q54">_xlfn.IFS(表1_5310[[#This Row],[配件1]]="","",表1_5310[[#This Row],[文本丨算力丨算力值]]=" ","",表1_5310[[#This Row],[文本丨算力丨算力值]]&lt;&gt;"","算力")</f>
        <v>算力</v>
      </c>
    </row>
    <row r="55" spans="2:17" x14ac:dyDescent="0.2">
      <c r="B55" s="22">
        <v>10148996551154</v>
      </c>
      <c r="C55" t="s">
        <v>253</v>
      </c>
      <c r="D55" t="s">
        <v>468</v>
      </c>
      <c r="F55" t="str">
        <f>IF(表1_5310[[#This Row],[配件1]]&lt;&gt;"",_xlfn.XLOOKUP(表1_5310[[#This Row],[配件1]],显卡利益点对照表新[型号],显卡利益点对照表新[[芯片组 ]],"ERROR"),"")</f>
        <v>RTX5060 Ti 8G</v>
      </c>
      <c r="G5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5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55" t="str">
        <f>IF(表1_5310[[#This Row],[配件1]]&lt;&gt;"",_xlfn.XLOOKUP(表1_5310[[#This Row],[配件1]],显卡利益点对照表新[型号],显卡利益点对照表新[利益点1],"ERROR"),"")</f>
        <v>铜板+复合式热管</v>
      </c>
      <c r="J55" t="str">
        <f>IF(表1_5310[[#This Row],[配件1]]&lt;&gt;"",_xlfn.XLOOKUP(表1_5310[[#This Row],[配件1]],显卡利益点对照表新[型号],显卡利益点对照表新[利益点2],"ERROR"),"")</f>
        <v>银白雪装外观</v>
      </c>
      <c r="K55" t="str">
        <f>IF(表1_5310[[#This Row],[配件1]]&lt;&gt;"",_xlfn.XLOOKUP(表1_5310[[#This Row],[配件1]],显卡利益点对照表新[型号],显卡利益点对照表新[利益点3],"ERROR"),"")</f>
        <v>正逆转三风扇</v>
      </c>
      <c r="L55" t="str">
        <f>IF(表1_5310[[#This Row],[配件1]]&lt;&gt;"",_xlfn.XLOOKUP(表1_5310[[#This Row],[配件1]],显卡利益点对照表新[型号],显卡利益点对照表新[算力],"ERROR"),"")</f>
        <v>AI算力759 TOPS</v>
      </c>
      <c r="M55" t="str">
        <f>IF(表1_5310[[#This Row],[配件1]]&lt;&gt;"",_xlfn.XLOOKUP(表1_5310[[#This Row],[配件1]],显卡利益点对照表新[型号],显卡利益点对照表新[可显性],"ERROR"),"")</f>
        <v>GV-N506TAERO OC-16GD</v>
      </c>
      <c r="N5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5" t="str" cm="1">
        <f t="array" ref="Q55">_xlfn.IFS(表1_5310[[#This Row],[配件1]]="","",表1_5310[[#This Row],[文本丨算力丨算力值]]=" ","",表1_5310[[#This Row],[文本丨算力丨算力值]]&lt;&gt;"","算力")</f>
        <v>算力</v>
      </c>
    </row>
    <row r="56" spans="2:17" x14ac:dyDescent="0.2">
      <c r="B56" s="22">
        <v>10088232013093</v>
      </c>
      <c r="C56" t="s">
        <v>254</v>
      </c>
      <c r="D56" t="s">
        <v>468</v>
      </c>
      <c r="F56" t="str">
        <f>IF(表1_5310[[#This Row],[配件1]]&lt;&gt;"",_xlfn.XLOOKUP(表1_5310[[#This Row],[配件1]],显卡利益点对照表新[型号],显卡利益点对照表新[[芯片组 ]],"ERROR"),"")</f>
        <v>RTX5060 Ti 16G</v>
      </c>
      <c r="G5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56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56" t="str">
        <f>IF(表1_5310[[#This Row],[配件1]]&lt;&gt;"",_xlfn.XLOOKUP(表1_5310[[#This Row],[配件1]],显卡利益点对照表新[型号],显卡利益点对照表新[利益点1],"ERROR"),"")</f>
        <v>铜板+复合式热管</v>
      </c>
      <c r="J56" t="str">
        <f>IF(表1_5310[[#This Row],[配件1]]&lt;&gt;"",_xlfn.XLOOKUP(表1_5310[[#This Row],[配件1]],显卡利益点对照表新[型号],显卡利益点对照表新[利益点2],"ERROR"),"")</f>
        <v>精巧双风扇</v>
      </c>
      <c r="K56" t="str">
        <f>IF(表1_5310[[#This Row],[配件1]]&lt;&gt;"",_xlfn.XLOOKUP(表1_5310[[#This Row],[配件1]],显卡利益点对照表新[型号],显卡利益点对照表新[利益点3],"ERROR"),"")</f>
        <v>16G大显存</v>
      </c>
      <c r="L56" t="str">
        <f>IF(表1_5310[[#This Row],[配件1]]&lt;&gt;"",_xlfn.XLOOKUP(表1_5310[[#This Row],[配件1]],显卡利益点对照表新[型号],显卡利益点对照表新[算力],"ERROR"),"")</f>
        <v>AI算力759 TOPS</v>
      </c>
      <c r="M56" t="str">
        <f>IF(表1_5310[[#This Row],[配件1]]&lt;&gt;"",_xlfn.XLOOKUP(表1_5310[[#This Row],[配件1]],显卡利益点对照表新[型号],显卡利益点对照表新[可显性],"ERROR"),"")</f>
        <v>GV-N506TWF2-16GD</v>
      </c>
      <c r="N5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6" t="str" cm="1">
        <f t="array" ref="Q56">_xlfn.IFS(表1_5310[[#This Row],[配件1]]="","",表1_5310[[#This Row],[文本丨算力丨算力值]]=" ","",表1_5310[[#This Row],[文本丨算力丨算力值]]&lt;&gt;"","算力")</f>
        <v>算力</v>
      </c>
    </row>
    <row r="57" spans="2:17" x14ac:dyDescent="0.2">
      <c r="B57" s="22">
        <v>10188155800646</v>
      </c>
      <c r="C57" t="s">
        <v>571</v>
      </c>
      <c r="D57" t="s">
        <v>468</v>
      </c>
      <c r="F57" t="str">
        <f>IF(表1_5310[[#This Row],[配件1]]&lt;&gt;"",_xlfn.XLOOKUP(表1_5310[[#This Row],[配件1]],显卡利益点对照表新[型号],显卡利益点对照表新[[芯片组 ]],"ERROR"),"")</f>
        <v>RTX5060 Ti 16G</v>
      </c>
      <c r="G5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57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57" t="str">
        <f>IF(表1_5310[[#This Row],[配件1]]&lt;&gt;"",_xlfn.XLOOKUP(表1_5310[[#This Row],[配件1]],显卡利益点对照表新[型号],显卡利益点对照表新[利益点1],"ERROR"),"")</f>
        <v>铜板+复合式热管</v>
      </c>
      <c r="J57" t="str">
        <f>IF(表1_5310[[#This Row],[配件1]]&lt;&gt;"",_xlfn.XLOOKUP(表1_5310[[#This Row],[配件1]],显卡利益点对照表新[型号],显卡利益点对照表新[利益点2],"ERROR"),"")</f>
        <v>精巧双风扇</v>
      </c>
      <c r="K57" t="str">
        <f>IF(表1_5310[[#This Row],[配件1]]&lt;&gt;"",_xlfn.XLOOKUP(表1_5310[[#This Row],[配件1]],显卡利益点对照表新[型号],显卡利益点对照表新[利益点3],"ERROR"),"")</f>
        <v>16G大显存</v>
      </c>
      <c r="L57" t="str">
        <f>IF(表1_5310[[#This Row],[配件1]]&lt;&gt;"",_xlfn.XLOOKUP(表1_5310[[#This Row],[配件1]],显卡利益点对照表新[型号],显卡利益点对照表新[算力],"ERROR"),"")</f>
        <v>AI算力759 TOPS</v>
      </c>
      <c r="M57" t="str">
        <f>IF(表1_5310[[#This Row],[配件1]]&lt;&gt;"",_xlfn.XLOOKUP(表1_5310[[#This Row],[配件1]],显卡利益点对照表新[型号],显卡利益点对照表新[可显性],"ERROR"),"")</f>
        <v>GV-N506TWF2MAX OC-16GD</v>
      </c>
      <c r="N5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7" t="str" cm="1">
        <f t="array" ref="Q57">_xlfn.IFS(表1_5310[[#This Row],[配件1]]="","",表1_5310[[#This Row],[文本丨算力丨算力值]]=" ","",表1_5310[[#This Row],[文本丨算力丨算力值]]&lt;&gt;"","算力")</f>
        <v>算力</v>
      </c>
    </row>
    <row r="58" spans="2:17" x14ac:dyDescent="0.2">
      <c r="B58" s="22">
        <v>10148996551156</v>
      </c>
      <c r="C58" t="s">
        <v>261</v>
      </c>
      <c r="D58" t="s">
        <v>468</v>
      </c>
      <c r="F58" t="str">
        <f>IF(表1_5310[[#This Row],[配件1]]&lt;&gt;"",_xlfn.XLOOKUP(表1_5310[[#This Row],[配件1]],显卡利益点对照表新[型号],显卡利益点对照表新[[芯片组 ]],"ERROR"),"")</f>
        <v>RTX5060 Ti 8G</v>
      </c>
      <c r="G5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58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58" t="str">
        <f>IF(表1_5310[[#This Row],[配件1]]&lt;&gt;"",_xlfn.XLOOKUP(表1_5310[[#This Row],[配件1]],显卡利益点对照表新[型号],显卡利益点对照表新[利益点1],"ERROR"),"")</f>
        <v>铜板+复合式热管</v>
      </c>
      <c r="J58" t="str">
        <f>IF(表1_5310[[#This Row],[配件1]]&lt;&gt;"",_xlfn.XLOOKUP(表1_5310[[#This Row],[配件1]],显卡利益点对照表新[型号],显卡利益点对照表新[利益点2],"ERROR"),"")</f>
        <v>精巧双风扇</v>
      </c>
      <c r="K58" t="str">
        <f>IF(表1_5310[[#This Row],[配件1]]&lt;&gt;"",_xlfn.XLOOKUP(表1_5310[[#This Row],[配件1]],显卡利益点对照表新[型号],显卡利益点对照表新[利益点3],"ERROR"),"")</f>
        <v>16G大显存</v>
      </c>
      <c r="L58" t="str">
        <f>IF(表1_5310[[#This Row],[配件1]]&lt;&gt;"",_xlfn.XLOOKUP(表1_5310[[#This Row],[配件1]],显卡利益点对照表新[型号],显卡利益点对照表新[算力],"ERROR"),"")</f>
        <v>AI算力759 TOPS</v>
      </c>
      <c r="M58" t="str">
        <f>IF(表1_5310[[#This Row],[配件1]]&lt;&gt;"",_xlfn.XLOOKUP(表1_5310[[#This Row],[配件1]],显卡利益点对照表新[型号],显卡利益点对照表新[可显性],"ERROR"),"")</f>
        <v>GV-N506TEAGLE OC-16GD</v>
      </c>
      <c r="N5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8" t="str" cm="1">
        <f t="array" ref="Q58">_xlfn.IFS(表1_5310[[#This Row],[配件1]]="","",表1_5310[[#This Row],[文本丨算力丨算力值]]=" ","",表1_5310[[#This Row],[文本丨算力丨算力值]]&lt;&gt;"","算力")</f>
        <v>算力</v>
      </c>
    </row>
    <row r="59" spans="2:17" x14ac:dyDescent="0.2">
      <c r="B59" s="22">
        <v>10164262139763</v>
      </c>
      <c r="C59" t="s">
        <v>547</v>
      </c>
      <c r="D59" t="s">
        <v>468</v>
      </c>
      <c r="F59" t="str">
        <f>IF(表1_5310[[#This Row],[配件1]]&lt;&gt;"",_xlfn.XLOOKUP(表1_5310[[#This Row],[配件1]],显卡利益点对照表新[型号],显卡利益点对照表新[[芯片组 ]],"ERROR"),"")</f>
        <v>RTX5060 Ti 16G</v>
      </c>
      <c r="G5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MAX</v>
      </c>
      <c r="H59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MAX</v>
      </c>
      <c r="I59" t="str">
        <f>IF(表1_5310[[#This Row],[配件1]]&lt;&gt;"",_xlfn.XLOOKUP(表1_5310[[#This Row],[配件1]],显卡利益点对照表新[型号],显卡利益点对照表新[利益点1],"ERROR"),"")</f>
        <v>铜板+复合式热管</v>
      </c>
      <c r="J59" t="str">
        <f>IF(表1_5310[[#This Row],[配件1]]&lt;&gt;"",_xlfn.XLOOKUP(表1_5310[[#This Row],[配件1]],显卡利益点对照表新[型号],显卡利益点对照表新[利益点2],"ERROR"),"")</f>
        <v>正逆转三风扇</v>
      </c>
      <c r="K59" t="str">
        <f>IF(表1_5310[[#This Row],[配件1]]&lt;&gt;"",_xlfn.XLOOKUP(表1_5310[[#This Row],[配件1]],显卡利益点对照表新[型号],显卡利益点对照表新[利益点3],"ERROR"),"")</f>
        <v>16G大显存</v>
      </c>
      <c r="L59" t="str">
        <f>IF(表1_5310[[#This Row],[配件1]]&lt;&gt;"",_xlfn.XLOOKUP(表1_5310[[#This Row],[配件1]],显卡利益点对照表新[型号],显卡利益点对照表新[算力],"ERROR"),"")</f>
        <v>AI算力759 TOPS</v>
      </c>
      <c r="M59" t="str">
        <f>IF(表1_5310[[#This Row],[配件1]]&lt;&gt;"",_xlfn.XLOOKUP(表1_5310[[#This Row],[配件1]],显卡利益点对照表新[型号],显卡利益点对照表新[可显性],"ERROR"),"")</f>
        <v>GV-N506TEAGLEMAX OC-16GD</v>
      </c>
      <c r="N5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9" t="str" cm="1">
        <f t="array" ref="Q59">_xlfn.IFS(表1_5310[[#This Row],[配件1]]="","",表1_5310[[#This Row],[文本丨算力丨算力值]]=" ","",表1_5310[[#This Row],[文本丨算力丨算力值]]&lt;&gt;"","算力")</f>
        <v>算力</v>
      </c>
    </row>
    <row r="60" spans="2:17" x14ac:dyDescent="0.2">
      <c r="B60" s="22">
        <v>10148996551158</v>
      </c>
      <c r="C60" t="s">
        <v>257</v>
      </c>
      <c r="D60" t="s">
        <v>468</v>
      </c>
      <c r="F60" t="str">
        <f>IF(表1_5310[[#This Row],[配件1]]&lt;&gt;"",_xlfn.XLOOKUP(表1_5310[[#This Row],[配件1]],显卡利益点对照表新[型号],显卡利益点对照表新[[芯片组 ]],"ERROR"),"")</f>
        <v>RTX5060 Ti 16G</v>
      </c>
      <c r="G6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60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60" t="str">
        <f>IF(表1_5310[[#This Row],[配件1]]&lt;&gt;"",_xlfn.XLOOKUP(表1_5310[[#This Row],[配件1]],显卡利益点对照表新[型号],显卡利益点对照表新[利益点1],"ERROR"),"")</f>
        <v>铜板+复合式热管</v>
      </c>
      <c r="J60" t="str">
        <f>IF(表1_5310[[#This Row],[配件1]]&lt;&gt;"",_xlfn.XLOOKUP(表1_5310[[#This Row],[配件1]],显卡利益点对照表新[型号],显卡利益点对照表新[利益点2],"ERROR"),"")</f>
        <v>精巧双风扇</v>
      </c>
      <c r="K60" t="str">
        <f>IF(表1_5310[[#This Row],[配件1]]&lt;&gt;"",_xlfn.XLOOKUP(表1_5310[[#This Row],[配件1]],显卡利益点对照表新[型号],显卡利益点对照表新[利益点3],"ERROR"),"")</f>
        <v>16G大显存</v>
      </c>
      <c r="L60" t="str">
        <f>IF(表1_5310[[#This Row],[配件1]]&lt;&gt;"",_xlfn.XLOOKUP(表1_5310[[#This Row],[配件1]],显卡利益点对照表新[型号],显卡利益点对照表新[算力],"ERROR"),"")</f>
        <v>AI算力759 TOPS</v>
      </c>
      <c r="M60" t="str">
        <f>IF(表1_5310[[#This Row],[配件1]]&lt;&gt;"",_xlfn.XLOOKUP(表1_5310[[#This Row],[配件1]],显卡利益点对照表新[型号],显卡利益点对照表新[可显性],"ERROR"),"")</f>
        <v>GV-N506TEAGLE OC ICE-16GD</v>
      </c>
      <c r="N6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0" t="str" cm="1">
        <f t="array" ref="Q60">_xlfn.IFS(表1_5310[[#This Row],[配件1]]="","",表1_5310[[#This Row],[文本丨算力丨算力值]]=" ","",表1_5310[[#This Row],[文本丨算力丨算力值]]&lt;&gt;"","算力")</f>
        <v>算力</v>
      </c>
    </row>
    <row r="61" spans="2:17" x14ac:dyDescent="0.2">
      <c r="B61" s="22">
        <v>10097031109520</v>
      </c>
      <c r="C61" t="s">
        <v>256</v>
      </c>
      <c r="D61" t="s">
        <v>468</v>
      </c>
      <c r="F61" t="str">
        <f>IF(表1_5310[[#This Row],[配件1]]&lt;&gt;"",_xlfn.XLOOKUP(表1_5310[[#This Row],[配件1]],显卡利益点对照表新[型号],显卡利益点对照表新[[芯片组 ]],"ERROR"),"")</f>
        <v>RTX5060 Ti 16G</v>
      </c>
      <c r="G6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61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61" t="str">
        <f>IF(表1_5310[[#This Row],[配件1]]&lt;&gt;"",_xlfn.XLOOKUP(表1_5310[[#This Row],[配件1]],显卡利益点对照表新[型号],显卡利益点对照表新[利益点1],"ERROR"),"")</f>
        <v>铜板+复合式热管</v>
      </c>
      <c r="J61" t="str">
        <f>IF(表1_5310[[#This Row],[配件1]]&lt;&gt;"",_xlfn.XLOOKUP(表1_5310[[#This Row],[配件1]],显卡利益点对照表新[型号],显卡利益点对照表新[利益点2],"ERROR"),"")</f>
        <v>RGB滑动侧板</v>
      </c>
      <c r="K61" t="str">
        <f>IF(表1_5310[[#This Row],[配件1]]&lt;&gt;"",_xlfn.XLOOKUP(表1_5310[[#This Row],[配件1]],显卡利益点对照表新[型号],显卡利益点对照表新[利益点3],"ERROR"),"")</f>
        <v>正逆转三风扇</v>
      </c>
      <c r="L61" t="str">
        <f>IF(表1_5310[[#This Row],[配件1]]&lt;&gt;"",_xlfn.XLOOKUP(表1_5310[[#This Row],[配件1]],显卡利益点对照表新[型号],显卡利益点对照表新[算力],"ERROR"),"")</f>
        <v>AI算力759 TOPS</v>
      </c>
      <c r="M61" t="str">
        <f>IF(表1_5310[[#This Row],[配件1]]&lt;&gt;"",_xlfn.XLOOKUP(表1_5310[[#This Row],[配件1]],显卡利益点对照表新[型号],显卡利益点对照表新[可显性],"ERROR"),"")</f>
        <v>GV-N506TGAMING OC-16GD</v>
      </c>
      <c r="N6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1" t="str" cm="1">
        <f t="array" ref="Q61">_xlfn.IFS(表1_5310[[#This Row],[配件1]]="","",表1_5310[[#This Row],[文本丨算力丨算力值]]=" ","",表1_5310[[#This Row],[文本丨算力丨算力值]]&lt;&gt;"","算力")</f>
        <v>算力</v>
      </c>
    </row>
    <row r="62" spans="2:17" x14ac:dyDescent="0.2">
      <c r="B62" s="22">
        <v>10088232013095</v>
      </c>
      <c r="C62" t="s">
        <v>252</v>
      </c>
      <c r="D62" t="s">
        <v>468</v>
      </c>
      <c r="F62" t="str">
        <f>IF(表1_5310[[#This Row],[配件1]]&lt;&gt;"",_xlfn.XLOOKUP(表1_5310[[#This Row],[配件1]],显卡利益点对照表新[型号],显卡利益点对照表新[[芯片组 ]],"ERROR"),"")</f>
        <v>RTX5060 Ti 16G</v>
      </c>
      <c r="G6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62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62" t="str">
        <f>IF(表1_5310[[#This Row],[配件1]]&lt;&gt;"",_xlfn.XLOOKUP(表1_5310[[#This Row],[配件1]],显卡利益点对照表新[型号],显卡利益点对照表新[利益点1],"ERROR"),"")</f>
        <v>铜板+复合式热管</v>
      </c>
      <c r="J62" t="str">
        <f>IF(表1_5310[[#This Row],[配件1]]&lt;&gt;"",_xlfn.XLOOKUP(表1_5310[[#This Row],[配件1]],显卡利益点对照表新[型号],显卡利益点对照表新[利益点2],"ERROR"),"")</f>
        <v>银白雪装外观</v>
      </c>
      <c r="K62" t="str">
        <f>IF(表1_5310[[#This Row],[配件1]]&lt;&gt;"",_xlfn.XLOOKUP(表1_5310[[#This Row],[配件1]],显卡利益点对照表新[型号],显卡利益点对照表新[利益点3],"ERROR"),"")</f>
        <v>正逆转三风扇</v>
      </c>
      <c r="L62" t="str">
        <f>IF(表1_5310[[#This Row],[配件1]]&lt;&gt;"",_xlfn.XLOOKUP(表1_5310[[#This Row],[配件1]],显卡利益点对照表新[型号],显卡利益点对照表新[算力],"ERROR"),"")</f>
        <v>AI算力759 TOPS</v>
      </c>
      <c r="M62" t="str">
        <f>IF(表1_5310[[#This Row],[配件1]]&lt;&gt;"",_xlfn.XLOOKUP(表1_5310[[#This Row],[配件1]],显卡利益点对照表新[型号],显卡利益点对照表新[可显性],"ERROR"),"")</f>
        <v>GV-N506TAERO OC-16GD</v>
      </c>
      <c r="N6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2" t="str" cm="1">
        <f t="array" ref="Q62">_xlfn.IFS(表1_5310[[#This Row],[配件1]]="","",表1_5310[[#This Row],[文本丨算力丨算力值]]=" ","",表1_5310[[#This Row],[文本丨算力丨算力值]]&lt;&gt;"","算力")</f>
        <v>算力</v>
      </c>
    </row>
    <row r="63" spans="2:17" x14ac:dyDescent="0.2">
      <c r="B63" s="22">
        <v>10148996551160</v>
      </c>
      <c r="C63" t="s">
        <v>251</v>
      </c>
      <c r="D63" t="s">
        <v>468</v>
      </c>
      <c r="F63" t="str">
        <f>IF(表1_5310[[#This Row],[配件1]]&lt;&gt;"",_xlfn.XLOOKUP(表1_5310[[#This Row],[配件1]],显卡利益点对照表新[型号],显卡利益点对照表新[[芯片组 ]],"ERROR"),"")</f>
        <v>RTX5060 Ti 16G</v>
      </c>
      <c r="G6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63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63" t="str">
        <f>IF(表1_5310[[#This Row],[配件1]]&lt;&gt;"",_xlfn.XLOOKUP(表1_5310[[#This Row],[配件1]],显卡利益点对照表新[型号],显卡利益点对照表新[利益点1],"ERROR"),"")</f>
        <v>注册4年保/个人送保</v>
      </c>
      <c r="J63" t="str">
        <f>IF(表1_5310[[#This Row],[配件1]]&lt;&gt;"",_xlfn.XLOOKUP(表1_5310[[#This Row],[配件1]],显卡利益点对照表新[型号],显卡利益点对照表新[利益点2],"ERROR"),"")</f>
        <v>RGB幻彩光轮</v>
      </c>
      <c r="K63" t="str">
        <f>IF(表1_5310[[#This Row],[配件1]]&lt;&gt;"",_xlfn.XLOOKUP(表1_5310[[#This Row],[配件1]],显卡利益点对照表新[型号],显卡利益点对照表新[利益点3],"ERROR"),"")</f>
        <v>五重高效散热</v>
      </c>
      <c r="L63" t="str">
        <f>IF(表1_5310[[#This Row],[配件1]]&lt;&gt;"",_xlfn.XLOOKUP(表1_5310[[#This Row],[配件1]],显卡利益点对照表新[型号],显卡利益点对照表新[算力],"ERROR"),"")</f>
        <v>AI算力759 TOPS</v>
      </c>
      <c r="M63" t="str">
        <f>IF(表1_5310[[#This Row],[配件1]]&lt;&gt;"",_xlfn.XLOOKUP(表1_5310[[#This Row],[配件1]],显卡利益点对照表新[型号],显卡利益点对照表新[可显性],"ERROR"),"")</f>
        <v>GV-N506TAORUS E-16GD</v>
      </c>
      <c r="N6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3" t="str" cm="1">
        <f t="array" ref="Q63">_xlfn.IFS(表1_5310[[#This Row],[配件1]]="","",表1_5310[[#This Row],[文本丨算力丨算力值]]=" ","",表1_5310[[#This Row],[文本丨算力丨算力值]]&lt;&gt;"","算力")</f>
        <v>算力</v>
      </c>
    </row>
    <row r="64" spans="2:17" x14ac:dyDescent="0.2">
      <c r="F64" t="str">
        <f>IF(表1_5310[[#This Row],[配件1]]&lt;&gt;"",_xlfn.XLOOKUP(表1_5310[[#This Row],[配件1]],显卡利益点对照表新[型号],显卡利益点对照表新[[芯片组 ]],"ERROR"),"")</f>
        <v/>
      </c>
      <c r="G6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6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64" t="str">
        <f>IF(表1_5310[[#This Row],[配件1]]&lt;&gt;"",_xlfn.XLOOKUP(表1_5310[[#This Row],[配件1]],显卡利益点对照表新[型号],显卡利益点对照表新[利益点1],"ERROR"),"")</f>
        <v/>
      </c>
      <c r="J64" t="str">
        <f>IF(表1_5310[[#This Row],[配件1]]&lt;&gt;"",_xlfn.XLOOKUP(表1_5310[[#This Row],[配件1]],显卡利益点对照表新[型号],显卡利益点对照表新[利益点2],"ERROR"),"")</f>
        <v/>
      </c>
      <c r="K64" t="str">
        <f>IF(表1_5310[[#This Row],[配件1]]&lt;&gt;"",_xlfn.XLOOKUP(表1_5310[[#This Row],[配件1]],显卡利益点对照表新[型号],显卡利益点对照表新[利益点3],"ERROR"),"")</f>
        <v/>
      </c>
      <c r="L64" t="str">
        <f>IF(表1_5310[[#This Row],[配件1]]&lt;&gt;"",_xlfn.XLOOKUP(表1_5310[[#This Row],[配件1]],显卡利益点对照表新[型号],显卡利益点对照表新[算力],"ERROR"),"")</f>
        <v/>
      </c>
      <c r="M64" t="str">
        <f>IF(表1_5310[[#This Row],[配件1]]&lt;&gt;"",_xlfn.XLOOKUP(表1_5310[[#This Row],[配件1]],显卡利益点对照表新[型号],显卡利益点对照表新[可显性],"ERROR"),"")</f>
        <v/>
      </c>
      <c r="N6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64" t="str" cm="1">
        <f t="array" ref="Q64">_xlfn.IFS(表1_5310[[#This Row],[配件1]]="","",表1_5310[[#This Row],[文本丨算力丨算力值]]=" ","",表1_5310[[#This Row],[文本丨算力丨算力值]]&lt;&gt;"","算力")</f>
        <v/>
      </c>
    </row>
    <row r="65" spans="2:17" ht="15" customHeight="1" x14ac:dyDescent="0.2">
      <c r="B65" s="22">
        <v>10140501582863</v>
      </c>
      <c r="C65" t="s">
        <v>356</v>
      </c>
      <c r="D65" t="s">
        <v>468</v>
      </c>
      <c r="F65" t="str">
        <f>IF(表1_5310[[#This Row],[配件1]]&lt;&gt;"",_xlfn.XLOOKUP(表1_5310[[#This Row],[配件1]],显卡利益点对照表新[型号],显卡利益点对照表新[[芯片组 ]],"ERROR"),"")</f>
        <v>RTX5070 12G</v>
      </c>
      <c r="G6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65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65" t="str">
        <f>IF(表1_5310[[#This Row],[配件1]]&lt;&gt;"",_xlfn.XLOOKUP(表1_5310[[#This Row],[配件1]],显卡利益点对照表新[型号],显卡利益点对照表新[利益点1],"ERROR"),"")</f>
        <v>3D智能启停风扇</v>
      </c>
      <c r="J65" t="str">
        <f>IF(表1_5310[[#This Row],[配件1]]&lt;&gt;"",_xlfn.XLOOKUP(表1_5310[[#This Row],[配件1]],显卡利益点对照表新[型号],显卡利益点对照表新[利益点2],"ERROR"),"")</f>
        <v>SFF小尺寸</v>
      </c>
      <c r="K65" t="str">
        <f>IF(表1_5310[[#This Row],[配件1]]&lt;&gt;"",_xlfn.XLOOKUP(表1_5310[[#This Row],[配件1]],显卡利益点对照表新[型号],显卡利益点对照表新[利益点3],"ERROR"),"")</f>
        <v>四重高效散热</v>
      </c>
      <c r="L65" t="str">
        <f>IF(表1_5310[[#This Row],[配件1]]&lt;&gt;"",_xlfn.XLOOKUP(表1_5310[[#This Row],[配件1]],显卡利益点对照表新[型号],显卡利益点对照表新[算力],"ERROR"),"")</f>
        <v>AI算力988 TOPS</v>
      </c>
      <c r="M65" t="str">
        <f>IF(表1_5310[[#This Row],[配件1]]&lt;&gt;"",_xlfn.XLOOKUP(表1_5310[[#This Row],[配件1]],显卡利益点对照表新[型号],显卡利益点对照表新[可显性],"ERROR"),"")</f>
        <v>GV-N5070WF3-12GD</v>
      </c>
      <c r="N6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5" t="str" cm="1">
        <f t="array" ref="Q65">_xlfn.IFS(表1_5310[[#This Row],[配件1]]="","",表1_5310[[#This Row],[文本丨算力丨算力值]]=" ","",表1_5310[[#This Row],[文本丨算力丨算力值]]&lt;&gt;"","算力")</f>
        <v>算力</v>
      </c>
    </row>
    <row r="66" spans="2:17" ht="15" customHeight="1" x14ac:dyDescent="0.2">
      <c r="B66" s="22">
        <v>10097624663566</v>
      </c>
      <c r="C66" t="s">
        <v>356</v>
      </c>
      <c r="D66" t="s">
        <v>669</v>
      </c>
      <c r="F66" t="str">
        <f>IF(表1_5310[[#This Row],[配件1]]&lt;&gt;"",_xlfn.XLOOKUP(表1_5310[[#This Row],[配件1]],显卡利益点对照表新[型号],显卡利益点对照表新[[芯片组 ]],"ERROR"),"")</f>
        <v>RTX5070 12G</v>
      </c>
      <c r="G6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6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66" t="str">
        <f>IF(表1_5310[[#This Row],[配件1]]&lt;&gt;"",_xlfn.XLOOKUP(表1_5310[[#This Row],[配件1]],显卡利益点对照表新[型号],显卡利益点对照表新[利益点1],"ERROR"),"")</f>
        <v>3D智能启停风扇</v>
      </c>
      <c r="J66" t="str">
        <f>IF(表1_5310[[#This Row],[配件1]]&lt;&gt;"",_xlfn.XLOOKUP(表1_5310[[#This Row],[配件1]],显卡利益点对照表新[型号],显卡利益点对照表新[利益点2],"ERROR"),"")</f>
        <v>SFF小尺寸</v>
      </c>
      <c r="K66" t="str">
        <f>IF(表1_5310[[#This Row],[配件1]]&lt;&gt;"",_xlfn.XLOOKUP(表1_5310[[#This Row],[配件1]],显卡利益点对照表新[型号],显卡利益点对照表新[利益点3],"ERROR"),"")</f>
        <v>四重高效散热</v>
      </c>
      <c r="L66" t="str">
        <f>IF(表1_5310[[#This Row],[配件1]]&lt;&gt;"",_xlfn.XLOOKUP(表1_5310[[#This Row],[配件1]],显卡利益点对照表新[型号],显卡利益点对照表新[算力],"ERROR"),"")</f>
        <v>AI算力988 TOPS</v>
      </c>
      <c r="M66" t="str">
        <f>IF(表1_5310[[#This Row],[配件1]]&lt;&gt;"",_xlfn.XLOOKUP(表1_5310[[#This Row],[配件1]],显卡利益点对照表新[型号],显卡利益点对照表新[可显性],"ERROR"),"")</f>
        <v>GV-N5070WF3-12GD</v>
      </c>
      <c r="N6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6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6" t="str" cm="1">
        <f t="array" ref="Q66">_xlfn.IFS(表1_5310[[#This Row],[配件1]]="","",表1_5310[[#This Row],[文本丨算力丨算力值]]=" ","",表1_5310[[#This Row],[文本丨算力丨算力值]]&lt;&gt;"","算力")</f>
        <v>算力</v>
      </c>
    </row>
    <row r="67" spans="2:17" ht="15" customHeight="1" x14ac:dyDescent="0.2">
      <c r="B67" s="22">
        <v>10188175166336</v>
      </c>
      <c r="C67" t="s">
        <v>48</v>
      </c>
      <c r="D67" t="s">
        <v>468</v>
      </c>
      <c r="F67" t="str">
        <f>IF(表1_5310[[#This Row],[配件1]]&lt;&gt;"",_xlfn.XLOOKUP(表1_5310[[#This Row],[配件1]],显卡利益点对照表新[型号],显卡利益点对照表新[[芯片组 ]],"ERROR"),"")</f>
        <v>RTX5070 12G</v>
      </c>
      <c r="G6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WFOC</v>
      </c>
      <c r="H67" t="str">
        <f>IF(表1_5310[[#This Row],[配件1]]&lt;&gt;"",IF(表1_5310[[#This Row],[配件2]]&lt;&gt;"无"," ",_xlfn.XLOOKUP(表1_5310[[#This Row],[配件1]],显卡利益点对照表新[型号],显卡利益点对照表新[英文名称],"ERROR")),"")</f>
        <v>WFOC</v>
      </c>
      <c r="I67" t="str">
        <f>IF(表1_5310[[#This Row],[配件1]]&lt;&gt;"",_xlfn.XLOOKUP(表1_5310[[#This Row],[配件1]],显卡利益点对照表新[型号],显卡利益点对照表新[利益点1],"ERROR"),"")</f>
        <v>3D智能启停风扇</v>
      </c>
      <c r="J67" t="str">
        <f>IF(表1_5310[[#This Row],[配件1]]&lt;&gt;"",_xlfn.XLOOKUP(表1_5310[[#This Row],[配件1]],显卡利益点对照表新[型号],显卡利益点对照表新[利益点2],"ERROR"),"")</f>
        <v>SFF小尺寸</v>
      </c>
      <c r="K67" t="str">
        <f>IF(表1_5310[[#This Row],[配件1]]&lt;&gt;"",_xlfn.XLOOKUP(表1_5310[[#This Row],[配件1]],显卡利益点对照表新[型号],显卡利益点对照表新[利益点3],"ERROR"),"")</f>
        <v>四重高效散热</v>
      </c>
      <c r="L67" t="str">
        <f>IF(表1_5310[[#This Row],[配件1]]&lt;&gt;"",_xlfn.XLOOKUP(表1_5310[[#This Row],[配件1]],显卡利益点对照表新[型号],显卡利益点对照表新[算力],"ERROR"),"")</f>
        <v>AI算力988 TOPS</v>
      </c>
      <c r="M67" t="str">
        <f>IF(表1_5310[[#This Row],[配件1]]&lt;&gt;"",_xlfn.XLOOKUP(表1_5310[[#This Row],[配件1]],显卡利益点对照表新[型号],显卡利益点对照表新[可显性],"ERROR"),"")</f>
        <v>GV-N5070WF3OC-12GD</v>
      </c>
      <c r="N6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7" t="str" cm="1">
        <f t="array" ref="Q67">_xlfn.IFS(表1_5310[[#This Row],[配件1]]="","",表1_5310[[#This Row],[文本丨算力丨算力值]]=" ","",表1_5310[[#This Row],[文本丨算力丨算力值]]&lt;&gt;"","算力")</f>
        <v>算力</v>
      </c>
    </row>
    <row r="68" spans="2:17" ht="15" customHeight="1" x14ac:dyDescent="0.2">
      <c r="B68" s="22">
        <v>10188175166337</v>
      </c>
      <c r="C68" t="s">
        <v>48</v>
      </c>
      <c r="D68" t="s">
        <v>669</v>
      </c>
      <c r="F68" t="str">
        <f>IF(表1_5310[[#This Row],[配件1]]&lt;&gt;"",_xlfn.XLOOKUP(表1_5310[[#This Row],[配件1]],显卡利益点对照表新[型号],显卡利益点对照表新[[芯片组 ]],"ERROR"),"")</f>
        <v>RTX5070 12G</v>
      </c>
      <c r="G6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6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68" t="str">
        <f>IF(表1_5310[[#This Row],[配件1]]&lt;&gt;"",_xlfn.XLOOKUP(表1_5310[[#This Row],[配件1]],显卡利益点对照表新[型号],显卡利益点对照表新[利益点1],"ERROR"),"")</f>
        <v>3D智能启停风扇</v>
      </c>
      <c r="J68" t="str">
        <f>IF(表1_5310[[#This Row],[配件1]]&lt;&gt;"",_xlfn.XLOOKUP(表1_5310[[#This Row],[配件1]],显卡利益点对照表新[型号],显卡利益点对照表新[利益点2],"ERROR"),"")</f>
        <v>SFF小尺寸</v>
      </c>
      <c r="K68" t="str">
        <f>IF(表1_5310[[#This Row],[配件1]]&lt;&gt;"",_xlfn.XLOOKUP(表1_5310[[#This Row],[配件1]],显卡利益点对照表新[型号],显卡利益点对照表新[利益点3],"ERROR"),"")</f>
        <v>四重高效散热</v>
      </c>
      <c r="L68" t="str">
        <f>IF(表1_5310[[#This Row],[配件1]]&lt;&gt;"",_xlfn.XLOOKUP(表1_5310[[#This Row],[配件1]],显卡利益点对照表新[型号],显卡利益点对照表新[算力],"ERROR"),"")</f>
        <v>AI算力988 TOPS</v>
      </c>
      <c r="M68" t="str">
        <f>IF(表1_5310[[#This Row],[配件1]]&lt;&gt;"",_xlfn.XLOOKUP(表1_5310[[#This Row],[配件1]],显卡利益点对照表新[型号],显卡利益点对照表新[可显性],"ERROR"),"")</f>
        <v>GV-N5070WF3OC-12GD</v>
      </c>
      <c r="N6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6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8" t="str" cm="1">
        <f t="array" ref="Q68">_xlfn.IFS(表1_5310[[#This Row],[配件1]]="","",表1_5310[[#This Row],[文本丨算力丨算力值]]=" ","",表1_5310[[#This Row],[文本丨算力丨算力值]]&lt;&gt;"","算力")</f>
        <v>算力</v>
      </c>
    </row>
    <row r="69" spans="2:17" ht="15" customHeight="1" x14ac:dyDescent="0.2">
      <c r="B69" s="22">
        <v>10097624663567</v>
      </c>
      <c r="C69" t="s">
        <v>57</v>
      </c>
      <c r="D69" t="s">
        <v>468</v>
      </c>
      <c r="F69" t="str">
        <f>IF(表1_5310[[#This Row],[配件1]]&lt;&gt;"",_xlfn.XLOOKUP(表1_5310[[#This Row],[配件1]],显卡利益点对照表新[型号],显卡利益点对照表新[[芯片组 ]],"ERROR"),"")</f>
        <v>RTX5070 12G</v>
      </c>
      <c r="G6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69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69" t="str">
        <f>IF(表1_5310[[#This Row],[配件1]]&lt;&gt;"",_xlfn.XLOOKUP(表1_5310[[#This Row],[配件1]],显卡利益点对照表新[型号],显卡利益点对照表新[利益点1],"ERROR"),"")</f>
        <v>3D智能启停风扇</v>
      </c>
      <c r="J69" t="str">
        <f>IF(表1_5310[[#This Row],[配件1]]&lt;&gt;"",_xlfn.XLOOKUP(表1_5310[[#This Row],[配件1]],显卡利益点对照表新[型号],显卡利益点对照表新[利益点2],"ERROR"),"")</f>
        <v>SFF小尺寸</v>
      </c>
      <c r="K69" t="str">
        <f>IF(表1_5310[[#This Row],[配件1]]&lt;&gt;"",_xlfn.XLOOKUP(表1_5310[[#This Row],[配件1]],显卡利益点对照表新[型号],显卡利益点对照表新[利益点3],"ERROR"),"")</f>
        <v>四重高效散热</v>
      </c>
      <c r="L69" t="str">
        <f>IF(表1_5310[[#This Row],[配件1]]&lt;&gt;"",_xlfn.XLOOKUP(表1_5310[[#This Row],[配件1]],显卡利益点对照表新[型号],显卡利益点对照表新[算力],"ERROR"),"")</f>
        <v>AI算力988 TOPS</v>
      </c>
      <c r="M69" t="str">
        <f>IF(表1_5310[[#This Row],[配件1]]&lt;&gt;"",_xlfn.XLOOKUP(表1_5310[[#This Row],[配件1]],显卡利益点对照表新[型号],显卡利益点对照表新[可显性],"ERROR"),"")</f>
        <v>GV-N5070EAGLE OC-12GD</v>
      </c>
      <c r="N6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9" t="str" cm="1">
        <f t="array" ref="Q69">_xlfn.IFS(表1_5310[[#This Row],[配件1]]="","",表1_5310[[#This Row],[文本丨算力丨算力值]]=" ","",表1_5310[[#This Row],[文本丨算力丨算力值]]&lt;&gt;"","算力")</f>
        <v>算力</v>
      </c>
    </row>
    <row r="70" spans="2:17" ht="15" customHeight="1" x14ac:dyDescent="0.2">
      <c r="B70" s="22">
        <v>10097624663568</v>
      </c>
      <c r="C70" t="s">
        <v>57</v>
      </c>
      <c r="D70" t="s">
        <v>669</v>
      </c>
      <c r="F70" t="str">
        <f>IF(表1_5310[[#This Row],[配件1]]&lt;&gt;"",_xlfn.XLOOKUP(表1_5310[[#This Row],[配件1]],显卡利益点对照表新[型号],显卡利益点对照表新[[芯片组 ]],"ERROR"),"")</f>
        <v>RTX5070 12G</v>
      </c>
      <c r="G7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猎鹰+750W模组电源</v>
      </c>
      <c r="H70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0" t="str">
        <f>IF(表1_5310[[#This Row],[配件1]]&lt;&gt;"",_xlfn.XLOOKUP(表1_5310[[#This Row],[配件1]],显卡利益点对照表新[型号],显卡利益点对照表新[利益点1],"ERROR"),"")</f>
        <v>3D智能启停风扇</v>
      </c>
      <c r="J70" t="str">
        <f>IF(表1_5310[[#This Row],[配件1]]&lt;&gt;"",_xlfn.XLOOKUP(表1_5310[[#This Row],[配件1]],显卡利益点对照表新[型号],显卡利益点对照表新[利益点2],"ERROR"),"")</f>
        <v>SFF小尺寸</v>
      </c>
      <c r="K70" t="str">
        <f>IF(表1_5310[[#This Row],[配件1]]&lt;&gt;"",_xlfn.XLOOKUP(表1_5310[[#This Row],[配件1]],显卡利益点对照表新[型号],显卡利益点对照表新[利益点3],"ERROR"),"")</f>
        <v>四重高效散热</v>
      </c>
      <c r="L70" t="str">
        <f>IF(表1_5310[[#This Row],[配件1]]&lt;&gt;"",_xlfn.XLOOKUP(表1_5310[[#This Row],[配件1]],显卡利益点对照表新[型号],显卡利益点对照表新[算力],"ERROR"),"")</f>
        <v>AI算力988 TOPS</v>
      </c>
      <c r="M70" t="str">
        <f>IF(表1_5310[[#This Row],[配件1]]&lt;&gt;"",_xlfn.XLOOKUP(表1_5310[[#This Row],[配件1]],显卡利益点对照表新[型号],显卡利益点对照表新[可显性],"ERROR"),"")</f>
        <v>GV-N5070EAGLE OC-12GD</v>
      </c>
      <c r="N7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7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0" t="str" cm="1">
        <f t="array" ref="Q70">_xlfn.IFS(表1_5310[[#This Row],[配件1]]="","",表1_5310[[#This Row],[文本丨算力丨算力值]]=" ","",表1_5310[[#This Row],[文本丨算力丨算力值]]&lt;&gt;"","算力")</f>
        <v>算力</v>
      </c>
    </row>
    <row r="71" spans="2:17" ht="15" customHeight="1" x14ac:dyDescent="0.2">
      <c r="B71" s="22">
        <v>10097624663569</v>
      </c>
      <c r="C71" t="s">
        <v>60</v>
      </c>
      <c r="D71" t="s">
        <v>468</v>
      </c>
      <c r="F71" t="str">
        <f>IF(表1_5310[[#This Row],[配件1]]&lt;&gt;"",_xlfn.XLOOKUP(表1_5310[[#This Row],[配件1]],显卡利益点对照表新[型号],显卡利益点对照表新[[芯片组 ]],"ERROR"),"")</f>
        <v>RTX5070 12G</v>
      </c>
      <c r="G7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7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71" t="str">
        <f>IF(表1_5310[[#This Row],[配件1]]&lt;&gt;"",_xlfn.XLOOKUP(表1_5310[[#This Row],[配件1]],显卡利益点对照表新[型号],显卡利益点对照表新[利益点1],"ERROR"),"")</f>
        <v>3D智能启停风扇</v>
      </c>
      <c r="J71" t="str">
        <f>IF(表1_5310[[#This Row],[配件1]]&lt;&gt;"",_xlfn.XLOOKUP(表1_5310[[#This Row],[配件1]],显卡利益点对照表新[型号],显卡利益点对照表新[利益点2],"ERROR"),"")</f>
        <v>SFF小尺寸</v>
      </c>
      <c r="K71" t="str">
        <f>IF(表1_5310[[#This Row],[配件1]]&lt;&gt;"",_xlfn.XLOOKUP(表1_5310[[#This Row],[配件1]],显卡利益点对照表新[型号],显卡利益点对照表新[利益点3],"ERROR"),"")</f>
        <v>四重高效散热</v>
      </c>
      <c r="L71" t="str">
        <f>IF(表1_5310[[#This Row],[配件1]]&lt;&gt;"",_xlfn.XLOOKUP(表1_5310[[#This Row],[配件1]],显卡利益点对照表新[型号],显卡利益点对照表新[算力],"ERROR"),"")</f>
        <v>AI算力988 TOPS</v>
      </c>
      <c r="M71" t="str">
        <f>IF(表1_5310[[#This Row],[配件1]]&lt;&gt;"",_xlfn.XLOOKUP(表1_5310[[#This Row],[配件1]],显卡利益点对照表新[型号],显卡利益点对照表新[可显性],"ERROR"),"")</f>
        <v>GV-N5070EAGLEOC ICE-12GD</v>
      </c>
      <c r="N7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1" t="str" cm="1">
        <f t="array" ref="Q71">_xlfn.IFS(表1_5310[[#This Row],[配件1]]="","",表1_5310[[#This Row],[文本丨算力丨算力值]]=" ","",表1_5310[[#This Row],[文本丨算力丨算力值]]&lt;&gt;"","算力")</f>
        <v>算力</v>
      </c>
    </row>
    <row r="72" spans="2:17" ht="15" customHeight="1" x14ac:dyDescent="0.2">
      <c r="B72" s="22">
        <v>10097624663570</v>
      </c>
      <c r="C72" t="s">
        <v>60</v>
      </c>
      <c r="D72" t="s">
        <v>670</v>
      </c>
      <c r="F72" t="str">
        <f>IF(表1_5310[[#This Row],[配件1]]&lt;&gt;"",_xlfn.XLOOKUP(表1_5310[[#This Row],[配件1]],显卡利益点对照表新[型号],显卡利益点对照表新[[芯片组 ]],"ERROR"),"")</f>
        <v>RTX5070 12G</v>
      </c>
      <c r="G7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冰猎鹰+750W模组电源</v>
      </c>
      <c r="H72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2" t="str">
        <f>IF(表1_5310[[#This Row],[配件1]]&lt;&gt;"",_xlfn.XLOOKUP(表1_5310[[#This Row],[配件1]],显卡利益点对照表新[型号],显卡利益点对照表新[利益点1],"ERROR"),"")</f>
        <v>3D智能启停风扇</v>
      </c>
      <c r="J72" t="str">
        <f>IF(表1_5310[[#This Row],[配件1]]&lt;&gt;"",_xlfn.XLOOKUP(表1_5310[[#This Row],[配件1]],显卡利益点对照表新[型号],显卡利益点对照表新[利益点2],"ERROR"),"")</f>
        <v>SFF小尺寸</v>
      </c>
      <c r="K72" t="str">
        <f>IF(表1_5310[[#This Row],[配件1]]&lt;&gt;"",_xlfn.XLOOKUP(表1_5310[[#This Row],[配件1]],显卡利益点对照表新[型号],显卡利益点对照表新[利益点3],"ERROR"),"")</f>
        <v>四重高效散热</v>
      </c>
      <c r="L72" t="str">
        <f>IF(表1_5310[[#This Row],[配件1]]&lt;&gt;"",_xlfn.XLOOKUP(表1_5310[[#This Row],[配件1]],显卡利益点对照表新[型号],显卡利益点对照表新[算力],"ERROR"),"")</f>
        <v>AI算力988 TOPS</v>
      </c>
      <c r="M72" t="str">
        <f>IF(表1_5310[[#This Row],[配件1]]&lt;&gt;"",_xlfn.XLOOKUP(表1_5310[[#This Row],[配件1]],显卡利益点对照表新[型号],显卡利益点对照表新[可显性],"ERROR"),"")</f>
        <v>GV-N5070EAGLEOC ICE-12GD</v>
      </c>
      <c r="N7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7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2" t="str" cm="1">
        <f t="array" ref="Q72">_xlfn.IFS(表1_5310[[#This Row],[配件1]]="","",表1_5310[[#This Row],[文本丨算力丨算力值]]=" ","",表1_5310[[#This Row],[文本丨算力丨算力值]]&lt;&gt;"","算力")</f>
        <v>算力</v>
      </c>
    </row>
    <row r="73" spans="2:17" ht="15" customHeight="1" x14ac:dyDescent="0.2">
      <c r="B73" s="22">
        <v>10140501582864</v>
      </c>
      <c r="C73" t="s">
        <v>61</v>
      </c>
      <c r="D73" t="s">
        <v>468</v>
      </c>
      <c r="F73" t="str">
        <f>IF(表1_5310[[#This Row],[配件1]]&lt;&gt;"",_xlfn.XLOOKUP(表1_5310[[#This Row],[配件1]],显卡利益点对照表新[型号],显卡利益点对照表新[[芯片组 ]],"ERROR"),"")</f>
        <v>RTX5070 12G</v>
      </c>
      <c r="G7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7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73" t="str">
        <f>IF(表1_5310[[#This Row],[配件1]]&lt;&gt;"",_xlfn.XLOOKUP(表1_5310[[#This Row],[配件1]],显卡利益点对照表新[型号],显卡利益点对照表新[利益点1],"ERROR"),"")</f>
        <v>注册4年保/个人送保</v>
      </c>
      <c r="J73" t="str">
        <f>IF(表1_5310[[#This Row],[配件1]]&lt;&gt;"",_xlfn.XLOOKUP(表1_5310[[#This Row],[配件1]],显卡利益点对照表新[型号],显卡利益点对照表新[利益点2],"ERROR"),"")</f>
        <v>RGB幻彩光轮</v>
      </c>
      <c r="K73" t="str">
        <f>IF(表1_5310[[#This Row],[配件1]]&lt;&gt;"",_xlfn.XLOOKUP(表1_5310[[#This Row],[配件1]],显卡利益点对照表新[型号],显卡利益点对照表新[利益点3],"ERROR"),"")</f>
        <v>四重高效散热</v>
      </c>
      <c r="L73" t="str">
        <f>IF(表1_5310[[#This Row],[配件1]]&lt;&gt;"",_xlfn.XLOOKUP(表1_5310[[#This Row],[配件1]],显卡利益点对照表新[型号],显卡利益点对照表新[算力],"ERROR"),"")</f>
        <v>AI算力988 TOPS</v>
      </c>
      <c r="M73" t="str">
        <f>IF(表1_5310[[#This Row],[配件1]]&lt;&gt;"",_xlfn.XLOOKUP(表1_5310[[#This Row],[配件1]],显卡利益点对照表新[型号],显卡利益点对照表新[可显性],"ERROR"),"")</f>
        <v>GV-N5070GAMING OC-12GD</v>
      </c>
      <c r="N7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3" t="str" cm="1">
        <f t="array" ref="Q73">_xlfn.IFS(表1_5310[[#This Row],[配件1]]="","",表1_5310[[#This Row],[文本丨算力丨算力值]]=" ","",表1_5310[[#This Row],[文本丨算力丨算力值]]&lt;&gt;"","算力")</f>
        <v>算力</v>
      </c>
    </row>
    <row r="74" spans="2:17" ht="15" customHeight="1" x14ac:dyDescent="0.2">
      <c r="B74" s="22">
        <v>10088321657458</v>
      </c>
      <c r="C74" t="s">
        <v>61</v>
      </c>
      <c r="D74" t="s">
        <v>669</v>
      </c>
      <c r="F74" t="str">
        <f>IF(表1_5310[[#This Row],[配件1]]&lt;&gt;"",_xlfn.XLOOKUP(表1_5310[[#This Row],[配件1]],显卡利益点对照表新[型号],显卡利益点对照表新[[芯片组 ]],"ERROR"),"")</f>
        <v>RTX5070 12G</v>
      </c>
      <c r="G7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74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4" t="str">
        <f>IF(表1_5310[[#This Row],[配件1]]&lt;&gt;"",_xlfn.XLOOKUP(表1_5310[[#This Row],[配件1]],显卡利益点对照表新[型号],显卡利益点对照表新[利益点1],"ERROR"),"")</f>
        <v>注册4年保/个人送保</v>
      </c>
      <c r="J74" t="str">
        <f>IF(表1_5310[[#This Row],[配件1]]&lt;&gt;"",_xlfn.XLOOKUP(表1_5310[[#This Row],[配件1]],显卡利益点对照表新[型号],显卡利益点对照表新[利益点2],"ERROR"),"")</f>
        <v>RGB幻彩光轮</v>
      </c>
      <c r="K74" t="str">
        <f>IF(表1_5310[[#This Row],[配件1]]&lt;&gt;"",_xlfn.XLOOKUP(表1_5310[[#This Row],[配件1]],显卡利益点对照表新[型号],显卡利益点对照表新[利益点3],"ERROR"),"")</f>
        <v>四重高效散热</v>
      </c>
      <c r="L74" t="str">
        <f>IF(表1_5310[[#This Row],[配件1]]&lt;&gt;"",_xlfn.XLOOKUP(表1_5310[[#This Row],[配件1]],显卡利益点对照表新[型号],显卡利益点对照表新[算力],"ERROR"),"")</f>
        <v>AI算力988 TOPS</v>
      </c>
      <c r="M74" t="str">
        <f>IF(表1_5310[[#This Row],[配件1]]&lt;&gt;"",_xlfn.XLOOKUP(表1_5310[[#This Row],[配件1]],显卡利益点对照表新[型号],显卡利益点对照表新[可显性],"ERROR"),"")</f>
        <v>GV-N5070GAMING OC-12GD</v>
      </c>
      <c r="N7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7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4" t="str" cm="1">
        <f t="array" ref="Q74">_xlfn.IFS(表1_5310[[#This Row],[配件1]]="","",表1_5310[[#This Row],[文本丨算力丨算力值]]=" ","",表1_5310[[#This Row],[文本丨算力丨算力值]]&lt;&gt;"","算力")</f>
        <v>算力</v>
      </c>
    </row>
    <row r="75" spans="2:17" ht="15" customHeight="1" x14ac:dyDescent="0.2">
      <c r="B75" s="22">
        <v>10095567640484</v>
      </c>
      <c r="C75" t="s">
        <v>66</v>
      </c>
      <c r="D75" t="s">
        <v>468</v>
      </c>
      <c r="F75" t="str">
        <f>IF(表1_5310[[#This Row],[配件1]]&lt;&gt;"",_xlfn.XLOOKUP(表1_5310[[#This Row],[配件1]],显卡利益点对照表新[型号],显卡利益点对照表新[[芯片组 ]],"ERROR"),"")</f>
        <v>RTX5070 12G</v>
      </c>
      <c r="G7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7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75" t="str">
        <f>IF(表1_5310[[#This Row],[配件1]]&lt;&gt;"",_xlfn.XLOOKUP(表1_5310[[#This Row],[配件1]],显卡利益点对照表新[型号],显卡利益点对照表新[利益点1],"ERROR"),"")</f>
        <v>注册4年保/个人送保</v>
      </c>
      <c r="J75" t="str">
        <f>IF(表1_5310[[#This Row],[配件1]]&lt;&gt;"",_xlfn.XLOOKUP(表1_5310[[#This Row],[配件1]],显卡利益点对照表新[型号],显卡利益点对照表新[利益点2],"ERROR"),"")</f>
        <v>纯白雪装限定</v>
      </c>
      <c r="K75" t="str">
        <f>IF(表1_5310[[#This Row],[配件1]]&lt;&gt;"",_xlfn.XLOOKUP(表1_5310[[#This Row],[配件1]],显卡利益点对照表新[型号],显卡利益点对照表新[利益点3],"ERROR"),"")</f>
        <v>四重高效散热</v>
      </c>
      <c r="L75" t="str">
        <f>IF(表1_5310[[#This Row],[配件1]]&lt;&gt;"",_xlfn.XLOOKUP(表1_5310[[#This Row],[配件1]],显卡利益点对照表新[型号],显卡利益点对照表新[算力],"ERROR"),"")</f>
        <v>AI算力988 TOPS</v>
      </c>
      <c r="M75" t="str">
        <f>IF(表1_5310[[#This Row],[配件1]]&lt;&gt;"",_xlfn.XLOOKUP(表1_5310[[#This Row],[配件1]],显卡利益点对照表新[型号],显卡利益点对照表新[可显性],"ERROR"),"")</f>
        <v>GV-N5070AERO OC-12GD</v>
      </c>
      <c r="N7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5" t="str" cm="1">
        <f t="array" ref="Q75">_xlfn.IFS(表1_5310[[#This Row],[配件1]]="","",表1_5310[[#This Row],[文本丨算力丨算力值]]=" ","",表1_5310[[#This Row],[文本丨算力丨算力值]]&lt;&gt;"","算力")</f>
        <v>算力</v>
      </c>
    </row>
    <row r="76" spans="2:17" ht="15" customHeight="1" x14ac:dyDescent="0.2">
      <c r="B76" s="22">
        <v>10095567640485</v>
      </c>
      <c r="C76" t="s">
        <v>66</v>
      </c>
      <c r="D76" t="s">
        <v>670</v>
      </c>
      <c r="F76" t="str">
        <f>IF(表1_5310[[#This Row],[配件1]]&lt;&gt;"",_xlfn.XLOOKUP(表1_5310[[#This Row],[配件1]],显卡利益点对照表新[型号],显卡利益点对照表新[[芯片组 ]],"ERROR"),"")</f>
        <v>RTX5070 12G</v>
      </c>
      <c r="G7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雪鹰+750W模组电源</v>
      </c>
      <c r="H7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6" t="str">
        <f>IF(表1_5310[[#This Row],[配件1]]&lt;&gt;"",_xlfn.XLOOKUP(表1_5310[[#This Row],[配件1]],显卡利益点对照表新[型号],显卡利益点对照表新[利益点1],"ERROR"),"")</f>
        <v>注册4年保/个人送保</v>
      </c>
      <c r="J76" t="str">
        <f>IF(表1_5310[[#This Row],[配件1]]&lt;&gt;"",_xlfn.XLOOKUP(表1_5310[[#This Row],[配件1]],显卡利益点对照表新[型号],显卡利益点对照表新[利益点2],"ERROR"),"")</f>
        <v>纯白雪装限定</v>
      </c>
      <c r="K76" t="str">
        <f>IF(表1_5310[[#This Row],[配件1]]&lt;&gt;"",_xlfn.XLOOKUP(表1_5310[[#This Row],[配件1]],显卡利益点对照表新[型号],显卡利益点对照表新[利益点3],"ERROR"),"")</f>
        <v>四重高效散热</v>
      </c>
      <c r="L76" t="str">
        <f>IF(表1_5310[[#This Row],[配件1]]&lt;&gt;"",_xlfn.XLOOKUP(表1_5310[[#This Row],[配件1]],显卡利益点对照表新[型号],显卡利益点对照表新[算力],"ERROR"),"")</f>
        <v>AI算力988 TOPS</v>
      </c>
      <c r="M76" t="str">
        <f>IF(表1_5310[[#This Row],[配件1]]&lt;&gt;"",_xlfn.XLOOKUP(表1_5310[[#This Row],[配件1]],显卡利益点对照表新[型号],显卡利益点对照表新[可显性],"ERROR"),"")</f>
        <v>GV-N5070AERO OC-12GD</v>
      </c>
      <c r="N7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7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6" t="str" cm="1">
        <f t="array" ref="Q76">_xlfn.IFS(表1_5310[[#This Row],[配件1]]="","",表1_5310[[#This Row],[文本丨算力丨算力值]]=" ","",表1_5310[[#This Row],[文本丨算力丨算力值]]&lt;&gt;"","算力")</f>
        <v>算力</v>
      </c>
    </row>
    <row r="77" spans="2:17" ht="15" customHeight="1" x14ac:dyDescent="0.2">
      <c r="B77" s="22">
        <v>10088321657457</v>
      </c>
      <c r="C77" t="s">
        <v>69</v>
      </c>
      <c r="D77" t="s">
        <v>468</v>
      </c>
      <c r="F77" t="str">
        <f>IF(表1_5310[[#This Row],[配件1]]&lt;&gt;"",_xlfn.XLOOKUP(表1_5310[[#This Row],[配件1]],显卡利益点对照表新[型号],显卡利益点对照表新[[芯片组 ]],"ERROR"),"")</f>
        <v>RTX5070 12G</v>
      </c>
      <c r="G7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77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77" t="str">
        <f>IF(表1_5310[[#This Row],[配件1]]&lt;&gt;"",_xlfn.XLOOKUP(表1_5310[[#This Row],[配件1]],显卡利益点对照表新[型号],显卡利益点对照表新[利益点1],"ERROR"),"")</f>
        <v>注册4年保/个人送保</v>
      </c>
      <c r="J77" t="str">
        <f>IF(表1_5310[[#This Row],[配件1]]&lt;&gt;"",_xlfn.XLOOKUP(表1_5310[[#This Row],[配件1]],显卡利益点对照表新[型号],显卡利益点对照表新[利益点2],"ERROR"),"")</f>
        <v>LCD 自定义屏幕</v>
      </c>
      <c r="K77" t="str">
        <f>IF(表1_5310[[#This Row],[配件1]]&lt;&gt;"",_xlfn.XLOOKUP(表1_5310[[#This Row],[配件1]],显卡利益点对照表新[型号],显卡利益点对照表新[利益点3],"ERROR"),"")</f>
        <v>五重高效散热</v>
      </c>
      <c r="L77" t="str">
        <f>IF(表1_5310[[#This Row],[配件1]]&lt;&gt;"",_xlfn.XLOOKUP(表1_5310[[#This Row],[配件1]],显卡利益点对照表新[型号],显卡利益点对照表新[算力],"ERROR"),"")</f>
        <v>AI算力988 TOPS</v>
      </c>
      <c r="M77" t="str">
        <f>IF(表1_5310[[#This Row],[配件1]]&lt;&gt;"",_xlfn.XLOOKUP(表1_5310[[#This Row],[配件1]],显卡利益点对照表新[型号],显卡利益点对照表新[可显性],"ERROR"),"")</f>
        <v>GV-N5070AORUS M-12GD</v>
      </c>
      <c r="N7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7" t="str" cm="1">
        <f t="array" ref="Q77">_xlfn.IFS(表1_5310[[#This Row],[配件1]]="","",表1_5310[[#This Row],[文本丨算力丨算力值]]=" ","",表1_5310[[#This Row],[文本丨算力丨算力值]]&lt;&gt;"","算力")</f>
        <v>算力</v>
      </c>
    </row>
    <row r="78" spans="2:17" x14ac:dyDescent="0.2">
      <c r="B78" s="22">
        <v>10088356061699</v>
      </c>
      <c r="C78" t="s">
        <v>69</v>
      </c>
      <c r="D78" t="s">
        <v>669</v>
      </c>
      <c r="F78" t="str">
        <f>IF(表1_5310[[#This Row],[配件1]]&lt;&gt;"",_xlfn.XLOOKUP(表1_5310[[#This Row],[配件1]],显卡利益点对照表新[型号],显卡利益点对照表新[[芯片组 ]],"ERROR"),"")</f>
        <v>RTX5070 12G</v>
      </c>
      <c r="G7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超级雕+750W模组电源</v>
      </c>
      <c r="H7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8" t="str">
        <f>IF(表1_5310[[#This Row],[配件1]]&lt;&gt;"",_xlfn.XLOOKUP(表1_5310[[#This Row],[配件1]],显卡利益点对照表新[型号],显卡利益点对照表新[利益点1],"ERROR"),"")</f>
        <v>注册4年保/个人送保</v>
      </c>
      <c r="J78" t="str">
        <f>IF(表1_5310[[#This Row],[配件1]]&lt;&gt;"",_xlfn.XLOOKUP(表1_5310[[#This Row],[配件1]],显卡利益点对照表新[型号],显卡利益点对照表新[利益点2],"ERROR"),"")</f>
        <v>LCD 自定义屏幕</v>
      </c>
      <c r="K78" t="str">
        <f>IF(表1_5310[[#This Row],[配件1]]&lt;&gt;"",_xlfn.XLOOKUP(表1_5310[[#This Row],[配件1]],显卡利益点对照表新[型号],显卡利益点对照表新[利益点3],"ERROR"),"")</f>
        <v>五重高效散热</v>
      </c>
      <c r="L78" t="str">
        <f>IF(表1_5310[[#This Row],[配件1]]&lt;&gt;"",_xlfn.XLOOKUP(表1_5310[[#This Row],[配件1]],显卡利益点对照表新[型号],显卡利益点对照表新[算力],"ERROR"),"")</f>
        <v>AI算力988 TOPS</v>
      </c>
      <c r="M78" t="str">
        <f>IF(表1_5310[[#This Row],[配件1]]&lt;&gt;"",_xlfn.XLOOKUP(表1_5310[[#This Row],[配件1]],显卡利益点对照表新[型号],显卡利益点对照表新[可显性],"ERROR"),"")</f>
        <v>GV-N5070AORUS M-12GD</v>
      </c>
      <c r="N7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7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8" t="str" cm="1">
        <f t="array" ref="Q78">_xlfn.IFS(表1_5310[[#This Row],[配件1]]="","",表1_5310[[#This Row],[文本丨算力丨算力值]]=" ","",表1_5310[[#This Row],[文本丨算力丨算力值]]&lt;&gt;"","算力")</f>
        <v>算力</v>
      </c>
    </row>
    <row r="79" spans="2:17" x14ac:dyDescent="0.2">
      <c r="F79" t="str">
        <f>IF(表1_5310[[#This Row],[配件1]]&lt;&gt;"",_xlfn.XLOOKUP(表1_5310[[#This Row],[配件1]],显卡利益点对照表新[型号],显卡利益点对照表新[[芯片组 ]],"ERROR"),"")</f>
        <v/>
      </c>
      <c r="G7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7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79" t="str">
        <f>IF(表1_5310[[#This Row],[配件1]]&lt;&gt;"",_xlfn.XLOOKUP(表1_5310[[#This Row],[配件1]],显卡利益点对照表新[型号],显卡利益点对照表新[利益点1],"ERROR"),"")</f>
        <v/>
      </c>
      <c r="J79" t="str">
        <f>IF(表1_5310[[#This Row],[配件1]]&lt;&gt;"",_xlfn.XLOOKUP(表1_5310[[#This Row],[配件1]],显卡利益点对照表新[型号],显卡利益点对照表新[利益点2],"ERROR"),"")</f>
        <v/>
      </c>
      <c r="K79" t="str">
        <f>IF(表1_5310[[#This Row],[配件1]]&lt;&gt;"",_xlfn.XLOOKUP(表1_5310[[#This Row],[配件1]],显卡利益点对照表新[型号],显卡利益点对照表新[利益点3],"ERROR"),"")</f>
        <v/>
      </c>
      <c r="L79" t="str">
        <f>IF(表1_5310[[#This Row],[配件1]]&lt;&gt;"",_xlfn.XLOOKUP(表1_5310[[#This Row],[配件1]],显卡利益点对照表新[型号],显卡利益点对照表新[算力],"ERROR"),"")</f>
        <v/>
      </c>
      <c r="M79" t="str">
        <f>IF(表1_5310[[#This Row],[配件1]]&lt;&gt;"",_xlfn.XLOOKUP(表1_5310[[#This Row],[配件1]],显卡利益点对照表新[型号],显卡利益点对照表新[可显性],"ERROR"),"")</f>
        <v/>
      </c>
      <c r="N7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79" t="str" cm="1">
        <f t="array" ref="Q79">_xlfn.IFS(表1_5310[[#This Row],[配件1]]="","",表1_5310[[#This Row],[文本丨算力丨算力值]]=" ","",表1_5310[[#This Row],[文本丨算力丨算力值]]&lt;&gt;"","算力")</f>
        <v/>
      </c>
    </row>
    <row r="80" spans="2:17" x14ac:dyDescent="0.2">
      <c r="B80" s="22">
        <v>10143718427706</v>
      </c>
      <c r="C80" t="s">
        <v>1073</v>
      </c>
      <c r="D80" t="s">
        <v>468</v>
      </c>
      <c r="F80" t="str">
        <f>IF(表1_5310[[#This Row],[配件1]]&lt;&gt;"",_xlfn.XLOOKUP(表1_5310[[#This Row],[配件1]],显卡利益点对照表新[型号],显卡利益点对照表新[[芯片组 ]],"ERROR"),"")</f>
        <v>RTX5070Ti 16G</v>
      </c>
      <c r="G8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80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80" t="str">
        <f>IF(表1_5310[[#This Row],[配件1]]&lt;&gt;"",_xlfn.XLOOKUP(表1_5310[[#This Row],[配件1]],显卡利益点对照表新[型号],显卡利益点对照表新[利益点1],"ERROR"),"")</f>
        <v>可调式显卡支架</v>
      </c>
      <c r="J80" t="str">
        <f>IF(表1_5310[[#This Row],[配件1]]&lt;&gt;"",_xlfn.XLOOKUP(表1_5310[[#This Row],[配件1]],显卡利益点对照表新[型号],显卡利益点对照表新[利益点2],"ERROR"),"")</f>
        <v>SFF小尺寸</v>
      </c>
      <c r="K80" t="str">
        <f>IF(表1_5310[[#This Row],[配件1]]&lt;&gt;"",_xlfn.XLOOKUP(表1_5310[[#This Row],[配件1]],显卡利益点对照表新[型号],显卡利益点对照表新[利益点3],"ERROR"),"")</f>
        <v>四重高效散热</v>
      </c>
      <c r="L80" t="str">
        <f>IF(表1_5310[[#This Row],[配件1]]&lt;&gt;"",_xlfn.XLOOKUP(表1_5310[[#This Row],[配件1]],显卡利益点对照表新[型号],显卡利益点对照表新[算力],"ERROR"),"")</f>
        <v>AI算力1406 TOPS</v>
      </c>
      <c r="M80" t="str">
        <f>IF(表1_5310[[#This Row],[配件1]]&lt;&gt;"",_xlfn.XLOOKUP(表1_5310[[#This Row],[配件1]],显卡利益点对照表新[型号],显卡利益点对照表新[可显性],"ERROR"),"")</f>
        <v>GV-N507TWF3-16GD</v>
      </c>
      <c r="N8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0" t="str" cm="1">
        <f t="array" ref="Q80">_xlfn.IFS(表1_5310[[#This Row],[配件1]]="","",表1_5310[[#This Row],[文本丨算力丨算力值]]=" ","",表1_5310[[#This Row],[文本丨算力丨算力值]]&lt;&gt;"","算力")</f>
        <v>算力</v>
      </c>
    </row>
    <row r="81" spans="2:17" x14ac:dyDescent="0.2">
      <c r="B81" s="22">
        <v>10143718427707</v>
      </c>
      <c r="C81" t="s">
        <v>1073</v>
      </c>
      <c r="D81" t="s">
        <v>669</v>
      </c>
      <c r="F81" t="str">
        <f>IF(表1_5310[[#This Row],[配件1]]&lt;&gt;"",_xlfn.XLOOKUP(表1_5310[[#This Row],[配件1]],显卡利益点对照表新[型号],显卡利益点对照表新[[芯片组 ]],"ERROR"),"")</f>
        <v>RTX5070Ti 16G</v>
      </c>
      <c r="G8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8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1" t="str">
        <f>IF(表1_5310[[#This Row],[配件1]]&lt;&gt;"",_xlfn.XLOOKUP(表1_5310[[#This Row],[配件1]],显卡利益点对照表新[型号],显卡利益点对照表新[利益点1],"ERROR"),"")</f>
        <v>可调式显卡支架</v>
      </c>
      <c r="J81" t="str">
        <f>IF(表1_5310[[#This Row],[配件1]]&lt;&gt;"",_xlfn.XLOOKUP(表1_5310[[#This Row],[配件1]],显卡利益点对照表新[型号],显卡利益点对照表新[利益点2],"ERROR"),"")</f>
        <v>SFF小尺寸</v>
      </c>
      <c r="K81" t="str">
        <f>IF(表1_5310[[#This Row],[配件1]]&lt;&gt;"",_xlfn.XLOOKUP(表1_5310[[#This Row],[配件1]],显卡利益点对照表新[型号],显卡利益点对照表新[利益点3],"ERROR"),"")</f>
        <v>四重高效散热</v>
      </c>
      <c r="L81" t="str">
        <f>IF(表1_5310[[#This Row],[配件1]]&lt;&gt;"",_xlfn.XLOOKUP(表1_5310[[#This Row],[配件1]],显卡利益点对照表新[型号],显卡利益点对照表新[算力],"ERROR"),"")</f>
        <v>AI算力1406 TOPS</v>
      </c>
      <c r="M81" t="str">
        <f>IF(表1_5310[[#This Row],[配件1]]&lt;&gt;"",_xlfn.XLOOKUP(表1_5310[[#This Row],[配件1]],显卡利益点对照表新[型号],显卡利益点对照表新[可显性],"ERROR"),"")</f>
        <v>GV-N507TWF3-16GD</v>
      </c>
      <c r="N8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1" t="str" cm="1">
        <f t="array" ref="Q81">_xlfn.IFS(表1_5310[[#This Row],[配件1]]="","",表1_5310[[#This Row],[文本丨算力丨算力值]]=" ","",表1_5310[[#This Row],[文本丨算力丨算力值]]&lt;&gt;"","算力")</f>
        <v>算力</v>
      </c>
    </row>
    <row r="82" spans="2:17" x14ac:dyDescent="0.2">
      <c r="B82" s="22">
        <v>10188178803648</v>
      </c>
      <c r="C82" t="s">
        <v>72</v>
      </c>
      <c r="D82" t="s">
        <v>468</v>
      </c>
      <c r="F82" t="str">
        <f>IF(表1_5310[[#This Row],[配件1]]&lt;&gt;"",_xlfn.XLOOKUP(表1_5310[[#This Row],[配件1]],显卡利益点对照表新[型号],显卡利益点对照表新[[芯片组 ]],"ERROR"),"")</f>
        <v>RTX5070Ti 16G</v>
      </c>
      <c r="G8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WFOC</v>
      </c>
      <c r="H82" t="str">
        <f>IF(表1_5310[[#This Row],[配件1]]&lt;&gt;"",IF(表1_5310[[#This Row],[配件2]]&lt;&gt;"无"," ",_xlfn.XLOOKUP(表1_5310[[#This Row],[配件1]],显卡利益点对照表新[型号],显卡利益点对照表新[英文名称],"ERROR")),"")</f>
        <v>WFOC</v>
      </c>
      <c r="I82" t="str">
        <f>IF(表1_5310[[#This Row],[配件1]]&lt;&gt;"",_xlfn.XLOOKUP(表1_5310[[#This Row],[配件1]],显卡利益点对照表新[型号],显卡利益点对照表新[利益点1],"ERROR"),"")</f>
        <v>可调式显卡支架</v>
      </c>
      <c r="J82" t="str">
        <f>IF(表1_5310[[#This Row],[配件1]]&lt;&gt;"",_xlfn.XLOOKUP(表1_5310[[#This Row],[配件1]],显卡利益点对照表新[型号],显卡利益点对照表新[利益点2],"ERROR"),"")</f>
        <v>SFF小尺寸</v>
      </c>
      <c r="K82" t="str">
        <f>IF(表1_5310[[#This Row],[配件1]]&lt;&gt;"",_xlfn.XLOOKUP(表1_5310[[#This Row],[配件1]],显卡利益点对照表新[型号],显卡利益点对照表新[利益点3],"ERROR"),"")</f>
        <v>四重高效散热</v>
      </c>
      <c r="L82" t="str">
        <f>IF(表1_5310[[#This Row],[配件1]]&lt;&gt;"",_xlfn.XLOOKUP(表1_5310[[#This Row],[配件1]],显卡利益点对照表新[型号],显卡利益点对照表新[算力],"ERROR"),"")</f>
        <v>AI算力1406 TOPS</v>
      </c>
      <c r="M82" t="str">
        <f>IF(表1_5310[[#This Row],[配件1]]&lt;&gt;"",_xlfn.XLOOKUP(表1_5310[[#This Row],[配件1]],显卡利益点对照表新[型号],显卡利益点对照表新[可显性],"ERROR"),"")</f>
        <v>GV-N507TWF3OC-16GD</v>
      </c>
      <c r="N8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2" t="str" cm="1">
        <f t="array" ref="Q82">_xlfn.IFS(表1_5310[[#This Row],[配件1]]="","",表1_5310[[#This Row],[文本丨算力丨算力值]]=" ","",表1_5310[[#This Row],[文本丨算力丨算力值]]&lt;&gt;"","算力")</f>
        <v>算力</v>
      </c>
    </row>
    <row r="83" spans="2:17" x14ac:dyDescent="0.2">
      <c r="B83" s="22">
        <v>10188178803649</v>
      </c>
      <c r="C83" t="s">
        <v>72</v>
      </c>
      <c r="D83" t="s">
        <v>669</v>
      </c>
      <c r="F83" t="str">
        <f>IF(表1_5310[[#This Row],[配件1]]&lt;&gt;"",_xlfn.XLOOKUP(表1_5310[[#This Row],[配件1]],显卡利益点对照表新[型号],显卡利益点对照表新[[芯片组 ]],"ERROR"),"")</f>
        <v>RTX5070Ti 16G</v>
      </c>
      <c r="G8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8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3" t="str">
        <f>IF(表1_5310[[#This Row],[配件1]]&lt;&gt;"",_xlfn.XLOOKUP(表1_5310[[#This Row],[配件1]],显卡利益点对照表新[型号],显卡利益点对照表新[利益点1],"ERROR"),"")</f>
        <v>可调式显卡支架</v>
      </c>
      <c r="J83" t="str">
        <f>IF(表1_5310[[#This Row],[配件1]]&lt;&gt;"",_xlfn.XLOOKUP(表1_5310[[#This Row],[配件1]],显卡利益点对照表新[型号],显卡利益点对照表新[利益点2],"ERROR"),"")</f>
        <v>SFF小尺寸</v>
      </c>
      <c r="K83" t="str">
        <f>IF(表1_5310[[#This Row],[配件1]]&lt;&gt;"",_xlfn.XLOOKUP(表1_5310[[#This Row],[配件1]],显卡利益点对照表新[型号],显卡利益点对照表新[利益点3],"ERROR"),"")</f>
        <v>四重高效散热</v>
      </c>
      <c r="L83" t="str">
        <f>IF(表1_5310[[#This Row],[配件1]]&lt;&gt;"",_xlfn.XLOOKUP(表1_5310[[#This Row],[配件1]],显卡利益点对照表新[型号],显卡利益点对照表新[算力],"ERROR"),"")</f>
        <v>AI算力1406 TOPS</v>
      </c>
      <c r="M83" t="str">
        <f>IF(表1_5310[[#This Row],[配件1]]&lt;&gt;"",_xlfn.XLOOKUP(表1_5310[[#This Row],[配件1]],显卡利益点对照表新[型号],显卡利益点对照表新[可显性],"ERROR"),"")</f>
        <v>GV-N507TWF3OC-16GD</v>
      </c>
      <c r="N8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3" t="str" cm="1">
        <f t="array" ref="Q83">_xlfn.IFS(表1_5310[[#This Row],[配件1]]="","",表1_5310[[#This Row],[文本丨算力丨算力值]]=" ","",表1_5310[[#This Row],[文本丨算力丨算力值]]&lt;&gt;"","算力")</f>
        <v>算力</v>
      </c>
    </row>
    <row r="84" spans="2:17" x14ac:dyDescent="0.2">
      <c r="B84" s="22">
        <v>10143718427708</v>
      </c>
      <c r="C84" t="s">
        <v>79</v>
      </c>
      <c r="D84" t="s">
        <v>468</v>
      </c>
      <c r="F84" t="str">
        <f>IF(表1_5310[[#This Row],[配件1]]&lt;&gt;"",_xlfn.XLOOKUP(表1_5310[[#This Row],[配件1]],显卡利益点对照表新[型号],显卡利益点对照表新[[芯片组 ]],"ERROR"),"")</f>
        <v>RTX5070Ti 16G</v>
      </c>
      <c r="G8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84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84" t="str">
        <f>IF(表1_5310[[#This Row],[配件1]]&lt;&gt;"",_xlfn.XLOOKUP(表1_5310[[#This Row],[配件1]],显卡利益点对照表新[型号],显卡利益点对照表新[利益点1],"ERROR"),"")</f>
        <v>可调式显卡支架</v>
      </c>
      <c r="J84" t="str">
        <f>IF(表1_5310[[#This Row],[配件1]]&lt;&gt;"",_xlfn.XLOOKUP(表1_5310[[#This Row],[配件1]],显卡利益点对照表新[型号],显卡利益点对照表新[利益点2],"ERROR"),"")</f>
        <v>SFF小尺寸</v>
      </c>
      <c r="K84" t="str">
        <f>IF(表1_5310[[#This Row],[配件1]]&lt;&gt;"",_xlfn.XLOOKUP(表1_5310[[#This Row],[配件1]],显卡利益点对照表新[型号],显卡利益点对照表新[利益点3],"ERROR"),"")</f>
        <v>四重高效散热</v>
      </c>
      <c r="L84" t="str">
        <f>IF(表1_5310[[#This Row],[配件1]]&lt;&gt;"",_xlfn.XLOOKUP(表1_5310[[#This Row],[配件1]],显卡利益点对照表新[型号],显卡利益点对照表新[算力],"ERROR"),"")</f>
        <v>AI算力1406 TOPS</v>
      </c>
      <c r="M84" t="str">
        <f>IF(表1_5310[[#This Row],[配件1]]&lt;&gt;"",_xlfn.XLOOKUP(表1_5310[[#This Row],[配件1]],显卡利益点对照表新[型号],显卡利益点对照表新[可显性],"ERROR"),"")</f>
        <v>GV-N507TEAGLE OC-16GD</v>
      </c>
      <c r="N8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4" t="str" cm="1">
        <f t="array" ref="Q84">_xlfn.IFS(表1_5310[[#This Row],[配件1]]="","",表1_5310[[#This Row],[文本丨算力丨算力值]]=" ","",表1_5310[[#This Row],[文本丨算力丨算力值]]&lt;&gt;"","算力")</f>
        <v>算力</v>
      </c>
    </row>
    <row r="85" spans="2:17" x14ac:dyDescent="0.2">
      <c r="B85" s="22">
        <v>10143718427709</v>
      </c>
      <c r="C85" t="s">
        <v>79</v>
      </c>
      <c r="D85" t="s">
        <v>669</v>
      </c>
      <c r="F85" t="str">
        <f>IF(表1_5310[[#This Row],[配件1]]&lt;&gt;"",_xlfn.XLOOKUP(表1_5310[[#This Row],[配件1]],显卡利益点对照表新[型号],显卡利益点对照表新[[芯片组 ]],"ERROR"),"")</f>
        <v>RTX5070Ti 16G</v>
      </c>
      <c r="G8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猎鹰+750W模组电源</v>
      </c>
      <c r="H8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5" t="str">
        <f>IF(表1_5310[[#This Row],[配件1]]&lt;&gt;"",_xlfn.XLOOKUP(表1_5310[[#This Row],[配件1]],显卡利益点对照表新[型号],显卡利益点对照表新[利益点1],"ERROR"),"")</f>
        <v>可调式显卡支架</v>
      </c>
      <c r="J85" t="str">
        <f>IF(表1_5310[[#This Row],[配件1]]&lt;&gt;"",_xlfn.XLOOKUP(表1_5310[[#This Row],[配件1]],显卡利益点对照表新[型号],显卡利益点对照表新[利益点2],"ERROR"),"")</f>
        <v>SFF小尺寸</v>
      </c>
      <c r="K85" t="str">
        <f>IF(表1_5310[[#This Row],[配件1]]&lt;&gt;"",_xlfn.XLOOKUP(表1_5310[[#This Row],[配件1]],显卡利益点对照表新[型号],显卡利益点对照表新[利益点3],"ERROR"),"")</f>
        <v>四重高效散热</v>
      </c>
      <c r="L85" t="str">
        <f>IF(表1_5310[[#This Row],[配件1]]&lt;&gt;"",_xlfn.XLOOKUP(表1_5310[[#This Row],[配件1]],显卡利益点对照表新[型号],显卡利益点对照表新[算力],"ERROR"),"")</f>
        <v>AI算力1406 TOPS</v>
      </c>
      <c r="M85" t="str">
        <f>IF(表1_5310[[#This Row],[配件1]]&lt;&gt;"",_xlfn.XLOOKUP(表1_5310[[#This Row],[配件1]],显卡利益点对照表新[型号],显卡利益点对照表新[可显性],"ERROR"),"")</f>
        <v>GV-N507TEAGLE OC-16GD</v>
      </c>
      <c r="N8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5" t="str" cm="1">
        <f t="array" ref="Q85">_xlfn.IFS(表1_5310[[#This Row],[配件1]]="","",表1_5310[[#This Row],[文本丨算力丨算力值]]=" ","",表1_5310[[#This Row],[文本丨算力丨算力值]]&lt;&gt;"","算力")</f>
        <v>算力</v>
      </c>
    </row>
    <row r="86" spans="2:17" x14ac:dyDescent="0.2">
      <c r="B86" s="22">
        <v>10143718427710</v>
      </c>
      <c r="C86" t="s">
        <v>80</v>
      </c>
      <c r="D86" t="s">
        <v>468</v>
      </c>
      <c r="F86" t="str">
        <f>IF(表1_5310[[#This Row],[配件1]]&lt;&gt;"",_xlfn.XLOOKUP(表1_5310[[#This Row],[配件1]],显卡利益点对照表新[型号],显卡利益点对照表新[[芯片组 ]],"ERROR"),"")</f>
        <v>RTX5070Ti 16G</v>
      </c>
      <c r="G8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8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86" t="str">
        <f>IF(表1_5310[[#This Row],[配件1]]&lt;&gt;"",_xlfn.XLOOKUP(表1_5310[[#This Row],[配件1]],显卡利益点对照表新[型号],显卡利益点对照表新[利益点1],"ERROR"),"")</f>
        <v>可调式显卡支架</v>
      </c>
      <c r="J86" t="str">
        <f>IF(表1_5310[[#This Row],[配件1]]&lt;&gt;"",_xlfn.XLOOKUP(表1_5310[[#This Row],[配件1]],显卡利益点对照表新[型号],显卡利益点对照表新[利益点2],"ERROR"),"")</f>
        <v>SFF小尺寸</v>
      </c>
      <c r="K86" t="str">
        <f>IF(表1_5310[[#This Row],[配件1]]&lt;&gt;"",_xlfn.XLOOKUP(表1_5310[[#This Row],[配件1]],显卡利益点对照表新[型号],显卡利益点对照表新[利益点3],"ERROR"),"")</f>
        <v>四重高效散热</v>
      </c>
      <c r="L86" t="str">
        <f>IF(表1_5310[[#This Row],[配件1]]&lt;&gt;"",_xlfn.XLOOKUP(表1_5310[[#This Row],[配件1]],显卡利益点对照表新[型号],显卡利益点对照表新[算力],"ERROR"),"")</f>
        <v>AI算力1406 TOPS</v>
      </c>
      <c r="M86" t="str">
        <f>IF(表1_5310[[#This Row],[配件1]]&lt;&gt;"",_xlfn.XLOOKUP(表1_5310[[#This Row],[配件1]],显卡利益点对照表新[型号],显卡利益点对照表新[可显性],"ERROR"),"")</f>
        <v>GV-N507TEAGLE OC ICE-16GD</v>
      </c>
      <c r="N8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6" t="str" cm="1">
        <f t="array" ref="Q86">_xlfn.IFS(表1_5310[[#This Row],[配件1]]="","",表1_5310[[#This Row],[文本丨算力丨算力值]]=" ","",表1_5310[[#This Row],[文本丨算力丨算力值]]&lt;&gt;"","算力")</f>
        <v>算力</v>
      </c>
    </row>
    <row r="87" spans="2:17" x14ac:dyDescent="0.2">
      <c r="B87" s="22">
        <v>10143718521111</v>
      </c>
      <c r="C87" t="s">
        <v>80</v>
      </c>
      <c r="D87" t="s">
        <v>670</v>
      </c>
      <c r="F87" t="str">
        <f>IF(表1_5310[[#This Row],[配件1]]&lt;&gt;"",_xlfn.XLOOKUP(表1_5310[[#This Row],[配件1]],显卡利益点对照表新[型号],显卡利益点对照表新[[芯片组 ]],"ERROR"),"")</f>
        <v>RTX5070Ti 16G</v>
      </c>
      <c r="G8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冰猎鹰+750W模组电源</v>
      </c>
      <c r="H87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7" t="str">
        <f>IF(表1_5310[[#This Row],[配件1]]&lt;&gt;"",_xlfn.XLOOKUP(表1_5310[[#This Row],[配件1]],显卡利益点对照表新[型号],显卡利益点对照表新[利益点1],"ERROR"),"")</f>
        <v>可调式显卡支架</v>
      </c>
      <c r="J87" t="str">
        <f>IF(表1_5310[[#This Row],[配件1]]&lt;&gt;"",_xlfn.XLOOKUP(表1_5310[[#This Row],[配件1]],显卡利益点对照表新[型号],显卡利益点对照表新[利益点2],"ERROR"),"")</f>
        <v>SFF小尺寸</v>
      </c>
      <c r="K87" t="str">
        <f>IF(表1_5310[[#This Row],[配件1]]&lt;&gt;"",_xlfn.XLOOKUP(表1_5310[[#This Row],[配件1]],显卡利益点对照表新[型号],显卡利益点对照表新[利益点3],"ERROR"),"")</f>
        <v>四重高效散热</v>
      </c>
      <c r="L87" t="str">
        <f>IF(表1_5310[[#This Row],[配件1]]&lt;&gt;"",_xlfn.XLOOKUP(表1_5310[[#This Row],[配件1]],显卡利益点对照表新[型号],显卡利益点对照表新[算力],"ERROR"),"")</f>
        <v>AI算力1406 TOPS</v>
      </c>
      <c r="M87" t="str">
        <f>IF(表1_5310[[#This Row],[配件1]]&lt;&gt;"",_xlfn.XLOOKUP(表1_5310[[#This Row],[配件1]],显卡利益点对照表新[型号],显卡利益点对照表新[可显性],"ERROR"),"")</f>
        <v>GV-N507TEAGLE OC ICE-16GD</v>
      </c>
      <c r="N8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8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7" t="str" cm="1">
        <f t="array" ref="Q87">_xlfn.IFS(表1_5310[[#This Row],[配件1]]="","",表1_5310[[#This Row],[文本丨算力丨算力值]]=" ","",表1_5310[[#This Row],[文本丨算力丨算力值]]&lt;&gt;"","算力")</f>
        <v>算力</v>
      </c>
    </row>
    <row r="88" spans="2:17" x14ac:dyDescent="0.2">
      <c r="B88" s="22">
        <v>10143718521112</v>
      </c>
      <c r="C88" t="s">
        <v>82</v>
      </c>
      <c r="D88" t="s">
        <v>468</v>
      </c>
      <c r="F88" t="str">
        <f>IF(表1_5310[[#This Row],[配件1]]&lt;&gt;"",_xlfn.XLOOKUP(表1_5310[[#This Row],[配件1]],显卡利益点对照表新[型号],显卡利益点对照表新[[芯片组 ]],"ERROR"),"")</f>
        <v>RTX5070Ti 16G</v>
      </c>
      <c r="G8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8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88" t="str">
        <f>IF(表1_5310[[#This Row],[配件1]]&lt;&gt;"",_xlfn.XLOOKUP(表1_5310[[#This Row],[配件1]],显卡利益点对照表新[型号],显卡利益点对照表新[利益点1],"ERROR"),"")</f>
        <v>注册4年保/个人送保</v>
      </c>
      <c r="J88" t="str">
        <f>IF(表1_5310[[#This Row],[配件1]]&lt;&gt;"",_xlfn.XLOOKUP(表1_5310[[#This Row],[配件1]],显卡利益点对照表新[型号],显卡利益点对照表新[利益点2],"ERROR"),"")</f>
        <v>RGB幻彩光轮</v>
      </c>
      <c r="K88" t="str">
        <f>IF(表1_5310[[#This Row],[配件1]]&lt;&gt;"",_xlfn.XLOOKUP(表1_5310[[#This Row],[配件1]],显卡利益点对照表新[型号],显卡利益点对照表新[利益点3],"ERROR"),"")</f>
        <v>四重高效散热</v>
      </c>
      <c r="L88" t="str">
        <f>IF(表1_5310[[#This Row],[配件1]]&lt;&gt;"",_xlfn.XLOOKUP(表1_5310[[#This Row],[配件1]],显卡利益点对照表新[型号],显卡利益点对照表新[算力],"ERROR"),"")</f>
        <v>AI算力1406 TOPS</v>
      </c>
      <c r="M88" t="str">
        <f>IF(表1_5310[[#This Row],[配件1]]&lt;&gt;"",_xlfn.XLOOKUP(表1_5310[[#This Row],[配件1]],显卡利益点对照表新[型号],显卡利益点对照表新[可显性],"ERROR"),"")</f>
        <v>GV-N507TGAMING OC-16GD</v>
      </c>
      <c r="N8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8" t="str" cm="1">
        <f t="array" ref="Q88">_xlfn.IFS(表1_5310[[#This Row],[配件1]]="","",表1_5310[[#This Row],[文本丨算力丨算力值]]=" ","",表1_5310[[#This Row],[文本丨算力丨算力值]]&lt;&gt;"","算力")</f>
        <v>算力</v>
      </c>
    </row>
    <row r="89" spans="2:17" x14ac:dyDescent="0.2">
      <c r="B89" s="22">
        <v>10143718521113</v>
      </c>
      <c r="C89" t="s">
        <v>82</v>
      </c>
      <c r="D89" t="s">
        <v>669</v>
      </c>
      <c r="F89" t="str">
        <f>IF(表1_5310[[#This Row],[配件1]]&lt;&gt;"",_xlfn.XLOOKUP(表1_5310[[#This Row],[配件1]],显卡利益点对照表新[型号],显卡利益点对照表新[[芯片组 ]],"ERROR"),"")</f>
        <v>RTX5070Ti 16G</v>
      </c>
      <c r="G8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8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9" t="str">
        <f>IF(表1_5310[[#This Row],[配件1]]&lt;&gt;"",_xlfn.XLOOKUP(表1_5310[[#This Row],[配件1]],显卡利益点对照表新[型号],显卡利益点对照表新[利益点1],"ERROR"),"")</f>
        <v>注册4年保/个人送保</v>
      </c>
      <c r="J89" t="str">
        <f>IF(表1_5310[[#This Row],[配件1]]&lt;&gt;"",_xlfn.XLOOKUP(表1_5310[[#This Row],[配件1]],显卡利益点对照表新[型号],显卡利益点对照表新[利益点2],"ERROR"),"")</f>
        <v>RGB幻彩光轮</v>
      </c>
      <c r="K89" t="str">
        <f>IF(表1_5310[[#This Row],[配件1]]&lt;&gt;"",_xlfn.XLOOKUP(表1_5310[[#This Row],[配件1]],显卡利益点对照表新[型号],显卡利益点对照表新[利益点3],"ERROR"),"")</f>
        <v>四重高效散热</v>
      </c>
      <c r="L89" t="str">
        <f>IF(表1_5310[[#This Row],[配件1]]&lt;&gt;"",_xlfn.XLOOKUP(表1_5310[[#This Row],[配件1]],显卡利益点对照表新[型号],显卡利益点对照表新[算力],"ERROR"),"")</f>
        <v>AI算力1406 TOPS</v>
      </c>
      <c r="M89" t="str">
        <f>IF(表1_5310[[#This Row],[配件1]]&lt;&gt;"",_xlfn.XLOOKUP(表1_5310[[#This Row],[配件1]],显卡利益点对照表新[型号],显卡利益点对照表新[可显性],"ERROR"),"")</f>
        <v>GV-N507TGAMING OC-16GD</v>
      </c>
      <c r="N8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9" t="str" cm="1">
        <f t="array" ref="Q89">_xlfn.IFS(表1_5310[[#This Row],[配件1]]="","",表1_5310[[#This Row],[文本丨算力丨算力值]]=" ","",表1_5310[[#This Row],[文本丨算力丨算力值]]&lt;&gt;"","算力")</f>
        <v>算力</v>
      </c>
    </row>
    <row r="90" spans="2:17" x14ac:dyDescent="0.2">
      <c r="B90" s="22">
        <v>10143718521114</v>
      </c>
      <c r="C90" t="s">
        <v>85</v>
      </c>
      <c r="D90" t="s">
        <v>468</v>
      </c>
      <c r="F90" t="str">
        <f>IF(表1_5310[[#This Row],[配件1]]&lt;&gt;"",_xlfn.XLOOKUP(表1_5310[[#This Row],[配件1]],显卡利益点对照表新[型号],显卡利益点对照表新[[芯片组 ]],"ERROR"),"")</f>
        <v>RTX5070Ti 16G</v>
      </c>
      <c r="G9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90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90" t="str">
        <f>IF(表1_5310[[#This Row],[配件1]]&lt;&gt;"",_xlfn.XLOOKUP(表1_5310[[#This Row],[配件1]],显卡利益点对照表新[型号],显卡利益点对照表新[利益点1],"ERROR"),"")</f>
        <v>注册4年保/个人送保</v>
      </c>
      <c r="J90" t="str">
        <f>IF(表1_5310[[#This Row],[配件1]]&lt;&gt;"",_xlfn.XLOOKUP(表1_5310[[#This Row],[配件1]],显卡利益点对照表新[型号],显卡利益点对照表新[利益点2],"ERROR"),"")</f>
        <v>纯白雪装限定</v>
      </c>
      <c r="K90" t="str">
        <f>IF(表1_5310[[#This Row],[配件1]]&lt;&gt;"",_xlfn.XLOOKUP(表1_5310[[#This Row],[配件1]],显卡利益点对照表新[型号],显卡利益点对照表新[利益点3],"ERROR"),"")</f>
        <v>四重高效散热</v>
      </c>
      <c r="L90" t="str">
        <f>IF(表1_5310[[#This Row],[配件1]]&lt;&gt;"",_xlfn.XLOOKUP(表1_5310[[#This Row],[配件1]],显卡利益点对照表新[型号],显卡利益点对照表新[算力],"ERROR"),"")</f>
        <v>AI算力1406 TOPS</v>
      </c>
      <c r="M90" t="str">
        <f>IF(表1_5310[[#This Row],[配件1]]&lt;&gt;"",_xlfn.XLOOKUP(表1_5310[[#This Row],[配件1]],显卡利益点对照表新[型号],显卡利益点对照表新[可显性],"ERROR"),"")</f>
        <v>GV-N507TAERO OC-16GD</v>
      </c>
      <c r="N9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0" t="str" cm="1">
        <f t="array" ref="Q90">_xlfn.IFS(表1_5310[[#This Row],[配件1]]="","",表1_5310[[#This Row],[文本丨算力丨算力值]]=" ","",表1_5310[[#This Row],[文本丨算力丨算力值]]&lt;&gt;"","算力")</f>
        <v>算力</v>
      </c>
    </row>
    <row r="91" spans="2:17" x14ac:dyDescent="0.2">
      <c r="B91" s="22">
        <v>10143718521115</v>
      </c>
      <c r="C91" t="s">
        <v>85</v>
      </c>
      <c r="D91" t="s">
        <v>670</v>
      </c>
      <c r="F91" t="str">
        <f>IF(表1_5310[[#This Row],[配件1]]&lt;&gt;"",_xlfn.XLOOKUP(表1_5310[[#This Row],[配件1]],显卡利益点对照表新[型号],显卡利益点对照表新[[芯片组 ]],"ERROR"),"")</f>
        <v>RTX5070Ti 16G</v>
      </c>
      <c r="G9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雪鹰+750W模组电源</v>
      </c>
      <c r="H9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1" t="str">
        <f>IF(表1_5310[[#This Row],[配件1]]&lt;&gt;"",_xlfn.XLOOKUP(表1_5310[[#This Row],[配件1]],显卡利益点对照表新[型号],显卡利益点对照表新[利益点1],"ERROR"),"")</f>
        <v>注册4年保/个人送保</v>
      </c>
      <c r="J91" t="str">
        <f>IF(表1_5310[[#This Row],[配件1]]&lt;&gt;"",_xlfn.XLOOKUP(表1_5310[[#This Row],[配件1]],显卡利益点对照表新[型号],显卡利益点对照表新[利益点2],"ERROR"),"")</f>
        <v>纯白雪装限定</v>
      </c>
      <c r="K91" t="str">
        <f>IF(表1_5310[[#This Row],[配件1]]&lt;&gt;"",_xlfn.XLOOKUP(表1_5310[[#This Row],[配件1]],显卡利益点对照表新[型号],显卡利益点对照表新[利益点3],"ERROR"),"")</f>
        <v>四重高效散热</v>
      </c>
      <c r="L91" t="str">
        <f>IF(表1_5310[[#This Row],[配件1]]&lt;&gt;"",_xlfn.XLOOKUP(表1_5310[[#This Row],[配件1]],显卡利益点对照表新[型号],显卡利益点对照表新[算力],"ERROR"),"")</f>
        <v>AI算力1406 TOPS</v>
      </c>
      <c r="M91" t="str">
        <f>IF(表1_5310[[#This Row],[配件1]]&lt;&gt;"",_xlfn.XLOOKUP(表1_5310[[#This Row],[配件1]],显卡利益点对照表新[型号],显卡利益点对照表新[可显性],"ERROR"),"")</f>
        <v>GV-N507TAERO OC-16GD</v>
      </c>
      <c r="N9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9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1" t="str" cm="1">
        <f t="array" ref="Q91">_xlfn.IFS(表1_5310[[#This Row],[配件1]]="","",表1_5310[[#This Row],[文本丨算力丨算力值]]=" ","",表1_5310[[#This Row],[文本丨算力丨算力值]]&lt;&gt;"","算力")</f>
        <v>算力</v>
      </c>
    </row>
    <row r="92" spans="2:17" x14ac:dyDescent="0.2">
      <c r="B92" s="22">
        <v>10143718521116</v>
      </c>
      <c r="C92" t="s">
        <v>86</v>
      </c>
      <c r="D92" t="s">
        <v>468</v>
      </c>
      <c r="F92" t="str">
        <f>IF(表1_5310[[#This Row],[配件1]]&lt;&gt;"",_xlfn.XLOOKUP(表1_5310[[#This Row],[配件1]],显卡利益点对照表新[型号],显卡利益点对照表新[[芯片组 ]],"ERROR"),"")</f>
        <v>RTX5070Ti 16G</v>
      </c>
      <c r="G9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9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92" t="str">
        <f>IF(表1_5310[[#This Row],[配件1]]&lt;&gt;"",_xlfn.XLOOKUP(表1_5310[[#This Row],[配件1]],显卡利益点对照表新[型号],显卡利益点对照表新[利益点1],"ERROR"),"")</f>
        <v>注册4年保/个人送保</v>
      </c>
      <c r="J92" t="str">
        <f>IF(表1_5310[[#This Row],[配件1]]&lt;&gt;"",_xlfn.XLOOKUP(表1_5310[[#This Row],[配件1]],显卡利益点对照表新[型号],显卡利益点对照表新[利益点2],"ERROR"),"")</f>
        <v>LCD 自定义屏幕</v>
      </c>
      <c r="K92" t="str">
        <f>IF(表1_5310[[#This Row],[配件1]]&lt;&gt;"",_xlfn.XLOOKUP(表1_5310[[#This Row],[配件1]],显卡利益点对照表新[型号],显卡利益点对照表新[利益点3],"ERROR"),"")</f>
        <v>五重高效散热</v>
      </c>
      <c r="L92" t="str">
        <f>IF(表1_5310[[#This Row],[配件1]]&lt;&gt;"",_xlfn.XLOOKUP(表1_5310[[#This Row],[配件1]],显卡利益点对照表新[型号],显卡利益点对照表新[算力],"ERROR"),"")</f>
        <v>AI算力1406 TOPS</v>
      </c>
      <c r="M92" t="str">
        <f>IF(表1_5310[[#This Row],[配件1]]&lt;&gt;"",_xlfn.XLOOKUP(表1_5310[[#This Row],[配件1]],显卡利益点对照表新[型号],显卡利益点对照表新[可显性],"ERROR"),"")</f>
        <v>GV-N507TAORUS M-16GD</v>
      </c>
      <c r="N9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2" t="str" cm="1">
        <f t="array" ref="Q92">_xlfn.IFS(表1_5310[[#This Row],[配件1]]="","",表1_5310[[#This Row],[文本丨算力丨算力值]]=" ","",表1_5310[[#This Row],[文本丨算力丨算力值]]&lt;&gt;"","算力")</f>
        <v>算力</v>
      </c>
    </row>
    <row r="93" spans="2:17" x14ac:dyDescent="0.2">
      <c r="B93" s="22">
        <v>10143718521117</v>
      </c>
      <c r="C93" t="s">
        <v>86</v>
      </c>
      <c r="D93" t="s">
        <v>669</v>
      </c>
      <c r="F93" t="str">
        <f>IF(表1_5310[[#This Row],[配件1]]&lt;&gt;"",_xlfn.XLOOKUP(表1_5310[[#This Row],[配件1]],显卡利益点对照表新[型号],显卡利益点对照表新[[芯片组 ]],"ERROR"),"")</f>
        <v>RTX5070Ti 16G</v>
      </c>
      <c r="G9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超级雕+750W模组电源</v>
      </c>
      <c r="H9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3" t="str">
        <f>IF(表1_5310[[#This Row],[配件1]]&lt;&gt;"",_xlfn.XLOOKUP(表1_5310[[#This Row],[配件1]],显卡利益点对照表新[型号],显卡利益点对照表新[利益点1],"ERROR"),"")</f>
        <v>注册4年保/个人送保</v>
      </c>
      <c r="J93" t="str">
        <f>IF(表1_5310[[#This Row],[配件1]]&lt;&gt;"",_xlfn.XLOOKUP(表1_5310[[#This Row],[配件1]],显卡利益点对照表新[型号],显卡利益点对照表新[利益点2],"ERROR"),"")</f>
        <v>LCD 自定义屏幕</v>
      </c>
      <c r="K93" t="str">
        <f>IF(表1_5310[[#This Row],[配件1]]&lt;&gt;"",_xlfn.XLOOKUP(表1_5310[[#This Row],[配件1]],显卡利益点对照表新[型号],显卡利益点对照表新[利益点3],"ERROR"),"")</f>
        <v>五重高效散热</v>
      </c>
      <c r="L93" t="str">
        <f>IF(表1_5310[[#This Row],[配件1]]&lt;&gt;"",_xlfn.XLOOKUP(表1_5310[[#This Row],[配件1]],显卡利益点对照表新[型号],显卡利益点对照表新[算力],"ERROR"),"")</f>
        <v>AI算力1406 TOPS</v>
      </c>
      <c r="M93" t="str">
        <f>IF(表1_5310[[#This Row],[配件1]]&lt;&gt;"",_xlfn.XLOOKUP(表1_5310[[#This Row],[配件1]],显卡利益点对照表新[型号],显卡利益点对照表新[可显性],"ERROR"),"")</f>
        <v>GV-N507TAORUS M-16GD</v>
      </c>
      <c r="N9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9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3" t="str" cm="1">
        <f t="array" ref="Q93">_xlfn.IFS(表1_5310[[#This Row],[配件1]]="","",表1_5310[[#This Row],[文本丨算力丨算力值]]=" ","",表1_5310[[#This Row],[文本丨算力丨算力值]]&lt;&gt;"","算力")</f>
        <v>算力</v>
      </c>
    </row>
    <row r="94" spans="2:17" x14ac:dyDescent="0.2">
      <c r="F94" t="str">
        <f>IF(表1_5310[[#This Row],[配件1]]&lt;&gt;"",_xlfn.XLOOKUP(表1_5310[[#This Row],[配件1]],显卡利益点对照表新[型号],显卡利益点对照表新[[芯片组 ]],"ERROR"),"")</f>
        <v/>
      </c>
      <c r="G9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9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94" t="str">
        <f>IF(表1_5310[[#This Row],[配件1]]&lt;&gt;"",_xlfn.XLOOKUP(表1_5310[[#This Row],[配件1]],显卡利益点对照表新[型号],显卡利益点对照表新[利益点1],"ERROR"),"")</f>
        <v/>
      </c>
      <c r="J94" t="str">
        <f>IF(表1_5310[[#This Row],[配件1]]&lt;&gt;"",_xlfn.XLOOKUP(表1_5310[[#This Row],[配件1]],显卡利益点对照表新[型号],显卡利益点对照表新[利益点2],"ERROR"),"")</f>
        <v/>
      </c>
      <c r="K94" t="str">
        <f>IF(表1_5310[[#This Row],[配件1]]&lt;&gt;"",_xlfn.XLOOKUP(表1_5310[[#This Row],[配件1]],显卡利益点对照表新[型号],显卡利益点对照表新[利益点3],"ERROR"),"")</f>
        <v/>
      </c>
      <c r="L94" t="str">
        <f>IF(表1_5310[[#This Row],[配件1]]&lt;&gt;"",_xlfn.XLOOKUP(表1_5310[[#This Row],[配件1]],显卡利益点对照表新[型号],显卡利益点对照表新[算力],"ERROR"),"")</f>
        <v/>
      </c>
      <c r="M94" t="str">
        <f>IF(表1_5310[[#This Row],[配件1]]&lt;&gt;"",_xlfn.XLOOKUP(表1_5310[[#This Row],[配件1]],显卡利益点对照表新[型号],显卡利益点对照表新[可显性],"ERROR"),"")</f>
        <v/>
      </c>
      <c r="N9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94" t="str" cm="1">
        <f t="array" ref="Q94">_xlfn.IFS(表1_5310[[#This Row],[配件1]]="","",表1_5310[[#This Row],[文本丨算力丨算力值]]=" ","",表1_5310[[#This Row],[文本丨算力丨算力值]]&lt;&gt;"","算力")</f>
        <v/>
      </c>
    </row>
    <row r="95" spans="2:17" x14ac:dyDescent="0.2">
      <c r="B95" s="22">
        <v>10136309646965</v>
      </c>
      <c r="C95" t="s">
        <v>89</v>
      </c>
      <c r="D95" t="s">
        <v>468</v>
      </c>
      <c r="F95" t="str">
        <f>IF(表1_5310[[#This Row],[配件1]]&lt;&gt;"",_xlfn.XLOOKUP(表1_5310[[#This Row],[配件1]],显卡利益点对照表新[型号],显卡利益点对照表新[[芯片组 ]],"ERROR"),"")</f>
        <v>RTX5080 16G</v>
      </c>
      <c r="G9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WFOC</v>
      </c>
      <c r="H95" t="str">
        <f>IF(表1_5310[[#This Row],[配件1]]&lt;&gt;"",IF(表1_5310[[#This Row],[配件2]]&lt;&gt;"无"," ",_xlfn.XLOOKUP(表1_5310[[#This Row],[配件1]],显卡利益点对照表新[型号],显卡利益点对照表新[英文名称],"ERROR")),"")</f>
        <v>WFOC</v>
      </c>
      <c r="I95" t="str">
        <f>IF(表1_5310[[#This Row],[配件1]]&lt;&gt;"",_xlfn.XLOOKUP(表1_5310[[#This Row],[配件1]],显卡利益点对照表新[型号],显卡利益点对照表新[利益点1],"ERROR"),"")</f>
        <v>三年质保/个人送保</v>
      </c>
      <c r="J95" t="str">
        <f>IF(表1_5310[[#This Row],[配件1]]&lt;&gt;"",_xlfn.XLOOKUP(表1_5310[[#This Row],[配件1]],显卡利益点对照表新[型号],显卡利益点对照表新[利益点2],"ERROR"),"")</f>
        <v>SFF小尺寸</v>
      </c>
      <c r="K95" t="str">
        <f>IF(表1_5310[[#This Row],[配件1]]&lt;&gt;"",_xlfn.XLOOKUP(表1_5310[[#This Row],[配件1]],显卡利益点对照表新[型号],显卡利益点对照表新[利益点3],"ERROR"),"")</f>
        <v>四重高效散热</v>
      </c>
      <c r="L95" t="str">
        <f>IF(表1_5310[[#This Row],[配件1]]&lt;&gt;"",_xlfn.XLOOKUP(表1_5310[[#This Row],[配件1]],显卡利益点对照表新[型号],显卡利益点对照表新[算力],"ERROR"),"")</f>
        <v>AI算力1801 TOPS</v>
      </c>
      <c r="M95" t="str">
        <f>IF(表1_5310[[#This Row],[配件1]]&lt;&gt;"",_xlfn.XLOOKUP(表1_5310[[#This Row],[配件1]],显卡利益点对照表新[型号],显卡利益点对照表新[可显性],"ERROR"),"")</f>
        <v>GV-N5080WF3OC-16GD</v>
      </c>
      <c r="N9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5" t="str" cm="1">
        <f t="array" ref="Q95">_xlfn.IFS(表1_5310[[#This Row],[配件1]]="","",表1_5310[[#This Row],[文本丨算力丨算力值]]=" ","",表1_5310[[#This Row],[文本丨算力丨算力值]]&lt;&gt;"","算力")</f>
        <v>算力</v>
      </c>
    </row>
    <row r="96" spans="2:17" x14ac:dyDescent="0.2">
      <c r="B96" s="22">
        <v>10136309646966</v>
      </c>
      <c r="C96" t="s">
        <v>89</v>
      </c>
      <c r="D96" t="s">
        <v>1074</v>
      </c>
      <c r="F96" t="str">
        <f>IF(表1_5310[[#This Row],[配件1]]&lt;&gt;"",_xlfn.XLOOKUP(表1_5310[[#This Row],[配件1]],显卡利益点对照表新[型号],显卡利益点对照表新[[芯片组 ]],"ERROR"),"")</f>
        <v>RTX5080 16G</v>
      </c>
      <c r="G9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风魔+850W模组电源</v>
      </c>
      <c r="H9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6" t="str">
        <f>IF(表1_5310[[#This Row],[配件1]]&lt;&gt;"",_xlfn.XLOOKUP(表1_5310[[#This Row],[配件1]],显卡利益点对照表新[型号],显卡利益点对照表新[利益点1],"ERROR"),"")</f>
        <v>三年质保/个人送保</v>
      </c>
      <c r="J96" t="str">
        <f>IF(表1_5310[[#This Row],[配件1]]&lt;&gt;"",_xlfn.XLOOKUP(表1_5310[[#This Row],[配件1]],显卡利益点对照表新[型号],显卡利益点对照表新[利益点2],"ERROR"),"")</f>
        <v>SFF小尺寸</v>
      </c>
      <c r="K96" t="str">
        <f>IF(表1_5310[[#This Row],[配件1]]&lt;&gt;"",_xlfn.XLOOKUP(表1_5310[[#This Row],[配件1]],显卡利益点对照表新[型号],显卡利益点对照表新[利益点3],"ERROR"),"")</f>
        <v>四重高效散热</v>
      </c>
      <c r="L96" t="str">
        <f>IF(表1_5310[[#This Row],[配件1]]&lt;&gt;"",_xlfn.XLOOKUP(表1_5310[[#This Row],[配件1]],显卡利益点对照表新[型号],显卡利益点对照表新[算力],"ERROR"),"")</f>
        <v>AI算力1801 TOPS</v>
      </c>
      <c r="M96" t="str">
        <f>IF(表1_5310[[#This Row],[配件1]]&lt;&gt;"",_xlfn.XLOOKUP(表1_5310[[#This Row],[配件1]],显卡利益点对照表新[型号],显卡利益点对照表新[可显性],"ERROR"),"")</f>
        <v>GV-N5080WF3OC-16GD</v>
      </c>
      <c r="N9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9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6" t="str" cm="1">
        <f t="array" ref="Q96">_xlfn.IFS(表1_5310[[#This Row],[配件1]]="","",表1_5310[[#This Row],[文本丨算力丨算力值]]=" ","",表1_5310[[#This Row],[文本丨算力丨算力值]]&lt;&gt;"","算力")</f>
        <v>算力</v>
      </c>
    </row>
    <row r="97" spans="2:17" x14ac:dyDescent="0.2">
      <c r="B97" s="22">
        <v>10143724216070</v>
      </c>
      <c r="C97" s="27" t="s">
        <v>96</v>
      </c>
      <c r="D97" t="s">
        <v>468</v>
      </c>
      <c r="F97" t="str">
        <f>IF(表1_5310[[#This Row],[配件1]]&lt;&gt;"",_xlfn.XLOOKUP(表1_5310[[#This Row],[配件1]],显卡利益点对照表新[型号],显卡利益点对照表新[[芯片组 ]],"ERROR"),"")</f>
        <v>RTX5080 16G</v>
      </c>
      <c r="G9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GAMING OC</v>
      </c>
      <c r="H9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97" t="str">
        <f>IF(表1_5310[[#This Row],[配件1]]&lt;&gt;"",_xlfn.XLOOKUP(表1_5310[[#This Row],[配件1]],显卡利益点对照表新[型号],显卡利益点对照表新[利益点1],"ERROR"),"")</f>
        <v>注册4年保/个人送保</v>
      </c>
      <c r="J97" t="str">
        <f>IF(表1_5310[[#This Row],[配件1]]&lt;&gt;"",_xlfn.XLOOKUP(表1_5310[[#This Row],[配件1]],显卡利益点对照表新[型号],显卡利益点对照表新[利益点2],"ERROR"),"")</f>
        <v>RGB幻彩光轮</v>
      </c>
      <c r="K97" t="str">
        <f>IF(表1_5310[[#This Row],[配件1]]&lt;&gt;"",_xlfn.XLOOKUP(表1_5310[[#This Row],[配件1]],显卡利益点对照表新[型号],显卡利益点对照表新[利益点3],"ERROR"),"")</f>
        <v>四重高效散热</v>
      </c>
      <c r="L97" t="str">
        <f>IF(表1_5310[[#This Row],[配件1]]&lt;&gt;"",_xlfn.XLOOKUP(表1_5310[[#This Row],[配件1]],显卡利益点对照表新[型号],显卡利益点对照表新[算力],"ERROR"),"")</f>
        <v>AI算力1801 TOPS</v>
      </c>
      <c r="M97" t="str">
        <f>IF(表1_5310[[#This Row],[配件1]]&lt;&gt;"",_xlfn.XLOOKUP(表1_5310[[#This Row],[配件1]],显卡利益点对照表新[型号],显卡利益点对照表新[可显性],"ERROR"),"")</f>
        <v>GV-N5080GAMING OC-16GD</v>
      </c>
      <c r="N9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7" t="str" cm="1">
        <f t="array" ref="Q97">_xlfn.IFS(表1_5310[[#This Row],[配件1]]="","",表1_5310[[#This Row],[文本丨算力丨算力值]]=" ","",表1_5310[[#This Row],[文本丨算力丨算力值]]&lt;&gt;"","算力")</f>
        <v>算力</v>
      </c>
    </row>
    <row r="98" spans="2:17" x14ac:dyDescent="0.2">
      <c r="B98" s="22">
        <v>10136309646968</v>
      </c>
      <c r="C98" t="s">
        <v>96</v>
      </c>
      <c r="D98" t="s">
        <v>1074</v>
      </c>
      <c r="F98" t="str">
        <f>IF(表1_5310[[#This Row],[配件1]]&lt;&gt;"",_xlfn.XLOOKUP(表1_5310[[#This Row],[配件1]],显卡利益点对照表新[型号],显卡利益点对照表新[[芯片组 ]],"ERROR"),"")</f>
        <v>RTX5080 16G</v>
      </c>
      <c r="G9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猎鹰+850W模组电源</v>
      </c>
      <c r="H9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8" t="str">
        <f>IF(表1_5310[[#This Row],[配件1]]&lt;&gt;"",_xlfn.XLOOKUP(表1_5310[[#This Row],[配件1]],显卡利益点对照表新[型号],显卡利益点对照表新[利益点1],"ERROR"),"")</f>
        <v>注册4年保/个人送保</v>
      </c>
      <c r="J98" t="str">
        <f>IF(表1_5310[[#This Row],[配件1]]&lt;&gt;"",_xlfn.XLOOKUP(表1_5310[[#This Row],[配件1]],显卡利益点对照表新[型号],显卡利益点对照表新[利益点2],"ERROR"),"")</f>
        <v>RGB幻彩光轮</v>
      </c>
      <c r="K98" t="str">
        <f>IF(表1_5310[[#This Row],[配件1]]&lt;&gt;"",_xlfn.XLOOKUP(表1_5310[[#This Row],[配件1]],显卡利益点对照表新[型号],显卡利益点对照表新[利益点3],"ERROR"),"")</f>
        <v>四重高效散热</v>
      </c>
      <c r="L98" t="str">
        <f>IF(表1_5310[[#This Row],[配件1]]&lt;&gt;"",_xlfn.XLOOKUP(表1_5310[[#This Row],[配件1]],显卡利益点对照表新[型号],显卡利益点对照表新[算力],"ERROR"),"")</f>
        <v>AI算力1801 TOPS</v>
      </c>
      <c r="M98" t="str">
        <f>IF(表1_5310[[#This Row],[配件1]]&lt;&gt;"",_xlfn.XLOOKUP(表1_5310[[#This Row],[配件1]],显卡利益点对照表新[型号],显卡利益点对照表新[可显性],"ERROR"),"")</f>
        <v>GV-N5080GAMING OC-16GD</v>
      </c>
      <c r="N9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9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8" t="str" cm="1">
        <f t="array" ref="Q98">_xlfn.IFS(表1_5310[[#This Row],[配件1]]="","",表1_5310[[#This Row],[文本丨算力丨算力值]]=" ","",表1_5310[[#This Row],[文本丨算力丨算力值]]&lt;&gt;"","算力")</f>
        <v>算力</v>
      </c>
    </row>
    <row r="99" spans="2:17" x14ac:dyDescent="0.2">
      <c r="B99" s="22">
        <v>10143724216071</v>
      </c>
      <c r="C99" t="s">
        <v>98</v>
      </c>
      <c r="D99" t="s">
        <v>468</v>
      </c>
      <c r="F99" t="str">
        <f>IF(表1_5310[[#This Row],[配件1]]&lt;&gt;"",_xlfn.XLOOKUP(表1_5310[[#This Row],[配件1]],显卡利益点对照表新[型号],显卡利益点对照表新[[芯片组 ]],"ERROR"),"")</f>
        <v>RTX5080 16G</v>
      </c>
      <c r="G9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AERO OC</v>
      </c>
      <c r="H99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99" t="str">
        <f>IF(表1_5310[[#This Row],[配件1]]&lt;&gt;"",_xlfn.XLOOKUP(表1_5310[[#This Row],[配件1]],显卡利益点对照表新[型号],显卡利益点对照表新[利益点1],"ERROR"),"")</f>
        <v>注册4年保/个人送保</v>
      </c>
      <c r="J99" t="str">
        <f>IF(表1_5310[[#This Row],[配件1]]&lt;&gt;"",_xlfn.XLOOKUP(表1_5310[[#This Row],[配件1]],显卡利益点对照表新[型号],显卡利益点对照表新[利益点2],"ERROR"),"")</f>
        <v>纯白雪装限定</v>
      </c>
      <c r="K99" t="str">
        <f>IF(表1_5310[[#This Row],[配件1]]&lt;&gt;"",_xlfn.XLOOKUP(表1_5310[[#This Row],[配件1]],显卡利益点对照表新[型号],显卡利益点对照表新[利益点3],"ERROR"),"")</f>
        <v>四重高效散热</v>
      </c>
      <c r="L99" t="str">
        <f>IF(表1_5310[[#This Row],[配件1]]&lt;&gt;"",_xlfn.XLOOKUP(表1_5310[[#This Row],[配件1]],显卡利益点对照表新[型号],显卡利益点对照表新[算力],"ERROR"),"")</f>
        <v>AI算力1801 TOPS</v>
      </c>
      <c r="M99" t="str">
        <f>IF(表1_5310[[#This Row],[配件1]]&lt;&gt;"",_xlfn.XLOOKUP(表1_5310[[#This Row],[配件1]],显卡利益点对照表新[型号],显卡利益点对照表新[可显性],"ERROR"),"")</f>
        <v>GV-N5080AERO OC-16GD</v>
      </c>
      <c r="N9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9" t="str" cm="1">
        <f t="array" ref="Q99">_xlfn.IFS(表1_5310[[#This Row],[配件1]]="","",表1_5310[[#This Row],[文本丨算力丨算力值]]=" ","",表1_5310[[#This Row],[文本丨算力丨算力值]]&lt;&gt;"","算力")</f>
        <v>算力</v>
      </c>
    </row>
    <row r="100" spans="2:17" x14ac:dyDescent="0.2">
      <c r="B100" s="22">
        <v>10136309646970</v>
      </c>
      <c r="C100" t="s">
        <v>98</v>
      </c>
      <c r="D100" t="s">
        <v>1075</v>
      </c>
      <c r="F100" t="str">
        <f>IF(表1_5310[[#This Row],[配件1]]&lt;&gt;"",_xlfn.XLOOKUP(表1_5310[[#This Row],[配件1]],显卡利益点对照表新[型号],显卡利益点对照表新[[芯片组 ]],"ERROR"),"")</f>
        <v>RTX5080 16G</v>
      </c>
      <c r="G10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冰猎鹰+850W模组电源</v>
      </c>
      <c r="H100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0" t="str">
        <f>IF(表1_5310[[#This Row],[配件1]]&lt;&gt;"",_xlfn.XLOOKUP(表1_5310[[#This Row],[配件1]],显卡利益点对照表新[型号],显卡利益点对照表新[利益点1],"ERROR"),"")</f>
        <v>注册4年保/个人送保</v>
      </c>
      <c r="J100" t="str">
        <f>IF(表1_5310[[#This Row],[配件1]]&lt;&gt;"",_xlfn.XLOOKUP(表1_5310[[#This Row],[配件1]],显卡利益点对照表新[型号],显卡利益点对照表新[利益点2],"ERROR"),"")</f>
        <v>纯白雪装限定</v>
      </c>
      <c r="K100" t="str">
        <f>IF(表1_5310[[#This Row],[配件1]]&lt;&gt;"",_xlfn.XLOOKUP(表1_5310[[#This Row],[配件1]],显卡利益点对照表新[型号],显卡利益点对照表新[利益点3],"ERROR"),"")</f>
        <v>四重高效散热</v>
      </c>
      <c r="L100" t="str">
        <f>IF(表1_5310[[#This Row],[配件1]]&lt;&gt;"",_xlfn.XLOOKUP(表1_5310[[#This Row],[配件1]],显卡利益点对照表新[型号],显卡利益点对照表新[算力],"ERROR"),"")</f>
        <v>AI算力1801 TOPS</v>
      </c>
      <c r="M100" t="str">
        <f>IF(表1_5310[[#This Row],[配件1]]&lt;&gt;"",_xlfn.XLOOKUP(表1_5310[[#This Row],[配件1]],显卡利益点对照表新[型号],显卡利益点对照表新[可显性],"ERROR"),"")</f>
        <v>GV-N5080AERO OC-16GD</v>
      </c>
      <c r="N10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 W</v>
      </c>
      <c r="O10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0" t="str" cm="1">
        <f t="array" ref="Q100">_xlfn.IFS(表1_5310[[#This Row],[配件1]]="","",表1_5310[[#This Row],[文本丨算力丨算力值]]=" ","",表1_5310[[#This Row],[文本丨算力丨算力值]]&lt;&gt;"","算力")</f>
        <v>算力</v>
      </c>
    </row>
    <row r="101" spans="2:17" x14ac:dyDescent="0.2">
      <c r="B101" s="22">
        <v>10143724216072</v>
      </c>
      <c r="C101" t="s">
        <v>99</v>
      </c>
      <c r="D101" t="s">
        <v>468</v>
      </c>
      <c r="F101" t="str">
        <f>IF(表1_5310[[#This Row],[配件1]]&lt;&gt;"",_xlfn.XLOOKUP(表1_5310[[#This Row],[配件1]],显卡利益点对照表新[型号],显卡利益点对照表新[[芯片组 ]],"ERROR"),"")</f>
        <v>RTX5080 16G</v>
      </c>
      <c r="G10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MASTER OC</v>
      </c>
      <c r="H10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01" t="str">
        <f>IF(表1_5310[[#This Row],[配件1]]&lt;&gt;"",_xlfn.XLOOKUP(表1_5310[[#This Row],[配件1]],显卡利益点对照表新[型号],显卡利益点对照表新[利益点1],"ERROR"),"")</f>
        <v>注册4年保/个人送保</v>
      </c>
      <c r="J101" t="str">
        <f>IF(表1_5310[[#This Row],[配件1]]&lt;&gt;"",_xlfn.XLOOKUP(表1_5310[[#This Row],[配件1]],显卡利益点对照表新[型号],显卡利益点对照表新[利益点2],"ERROR"),"")</f>
        <v>LCD 自定义屏幕</v>
      </c>
      <c r="K101" t="str">
        <f>IF(表1_5310[[#This Row],[配件1]]&lt;&gt;"",_xlfn.XLOOKUP(表1_5310[[#This Row],[配件1]],显卡利益点对照表新[型号],显卡利益点对照表新[利益点3],"ERROR"),"")</f>
        <v>五重高效散热</v>
      </c>
      <c r="L101" t="str">
        <f>IF(表1_5310[[#This Row],[配件1]]&lt;&gt;"",_xlfn.XLOOKUP(表1_5310[[#This Row],[配件1]],显卡利益点对照表新[型号],显卡利益点对照表新[算力],"ERROR"),"")</f>
        <v>AI算力1801 TOPS</v>
      </c>
      <c r="M101" t="str">
        <f>IF(表1_5310[[#This Row],[配件1]]&lt;&gt;"",_xlfn.XLOOKUP(表1_5310[[#This Row],[配件1]],显卡利益点对照表新[型号],显卡利益点对照表新[可显性],"ERROR"),"")</f>
        <v>GV-N5080AORUS M-16GD</v>
      </c>
      <c r="N10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1" t="str" cm="1">
        <f t="array" ref="Q101">_xlfn.IFS(表1_5310[[#This Row],[配件1]]="","",表1_5310[[#This Row],[文本丨算力丨算力值]]=" ","",表1_5310[[#This Row],[文本丨算力丨算力值]]&lt;&gt;"","算力")</f>
        <v>算力</v>
      </c>
    </row>
    <row r="102" spans="2:17" x14ac:dyDescent="0.2">
      <c r="B102" s="22">
        <v>10136309646972</v>
      </c>
      <c r="C102" t="s">
        <v>99</v>
      </c>
      <c r="D102" t="s">
        <v>1074</v>
      </c>
      <c r="F102" t="str">
        <f>IF(表1_5310[[#This Row],[配件1]]&lt;&gt;"",_xlfn.XLOOKUP(表1_5310[[#This Row],[配件1]],显卡利益点对照表新[型号],显卡利益点对照表新[[芯片组 ]],"ERROR"),"")</f>
        <v>RTX5080 16G</v>
      </c>
      <c r="G10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魔鹰+850W模组电源</v>
      </c>
      <c r="H102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2" t="str">
        <f>IF(表1_5310[[#This Row],[配件1]]&lt;&gt;"",_xlfn.XLOOKUP(表1_5310[[#This Row],[配件1]],显卡利益点对照表新[型号],显卡利益点对照表新[利益点1],"ERROR"),"")</f>
        <v>注册4年保/个人送保</v>
      </c>
      <c r="J102" t="str">
        <f>IF(表1_5310[[#This Row],[配件1]]&lt;&gt;"",_xlfn.XLOOKUP(表1_5310[[#This Row],[配件1]],显卡利益点对照表新[型号],显卡利益点对照表新[利益点2],"ERROR"),"")</f>
        <v>LCD 自定义屏幕</v>
      </c>
      <c r="K102" t="str">
        <f>IF(表1_5310[[#This Row],[配件1]]&lt;&gt;"",_xlfn.XLOOKUP(表1_5310[[#This Row],[配件1]],显卡利益点对照表新[型号],显卡利益点对照表新[利益点3],"ERROR"),"")</f>
        <v>五重高效散热</v>
      </c>
      <c r="L102" t="str">
        <f>IF(表1_5310[[#This Row],[配件1]]&lt;&gt;"",_xlfn.XLOOKUP(表1_5310[[#This Row],[配件1]],显卡利益点对照表新[型号],显卡利益点对照表新[算力],"ERROR"),"")</f>
        <v>AI算力1801 TOPS</v>
      </c>
      <c r="M102" t="str">
        <f>IF(表1_5310[[#This Row],[配件1]]&lt;&gt;"",_xlfn.XLOOKUP(表1_5310[[#This Row],[配件1]],显卡利益点对照表新[型号],显卡利益点对照表新[可显性],"ERROR"),"")</f>
        <v>GV-N5080AORUS M-16GD</v>
      </c>
      <c r="N10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10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2" t="str" cm="1">
        <f t="array" ref="Q102">_xlfn.IFS(表1_5310[[#This Row],[配件1]]="","",表1_5310[[#This Row],[文本丨算力丨算力值]]=" ","",表1_5310[[#This Row],[文本丨算力丨算力值]]&lt;&gt;"","算力")</f>
        <v>算力</v>
      </c>
    </row>
    <row r="103" spans="2:17" x14ac:dyDescent="0.2">
      <c r="B103" s="22">
        <v>10143724216073</v>
      </c>
      <c r="C103" t="s">
        <v>101</v>
      </c>
      <c r="D103" t="s">
        <v>468</v>
      </c>
      <c r="F103" t="str">
        <f>IF(表1_5310[[#This Row],[配件1]]&lt;&gt;"",_xlfn.XLOOKUP(表1_5310[[#This Row],[配件1]],显卡利益点对照表新[型号],显卡利益点对照表新[[芯片组 ]],"ERROR"),"")</f>
        <v>RTX5080 16G</v>
      </c>
      <c r="G10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MASTER ICE</v>
      </c>
      <c r="H103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03" t="str">
        <f>IF(表1_5310[[#This Row],[配件1]]&lt;&gt;"",_xlfn.XLOOKUP(表1_5310[[#This Row],[配件1]],显卡利益点对照表新[型号],显卡利益点对照表新[利益点1],"ERROR"),"")</f>
        <v>注册4年保/个人送保</v>
      </c>
      <c r="J103" t="str">
        <f>IF(表1_5310[[#This Row],[配件1]]&lt;&gt;"",_xlfn.XLOOKUP(表1_5310[[#This Row],[配件1]],显卡利益点对照表新[型号],显卡利益点对照表新[利益点2],"ERROR"),"")</f>
        <v>LCD 自定义屏幕</v>
      </c>
      <c r="K103" t="str">
        <f>IF(表1_5310[[#This Row],[配件1]]&lt;&gt;"",_xlfn.XLOOKUP(表1_5310[[#This Row],[配件1]],显卡利益点对照表新[型号],显卡利益点对照表新[利益点3],"ERROR"),"")</f>
        <v>五重高效散热</v>
      </c>
      <c r="L103" t="str">
        <f>IF(表1_5310[[#This Row],[配件1]]&lt;&gt;"",_xlfn.XLOOKUP(表1_5310[[#This Row],[配件1]],显卡利益点对照表新[型号],显卡利益点对照表新[算力],"ERROR"),"")</f>
        <v>AI算力1801 TOPS</v>
      </c>
      <c r="M103" t="str">
        <f>IF(表1_5310[[#This Row],[配件1]]&lt;&gt;"",_xlfn.XLOOKUP(表1_5310[[#This Row],[配件1]],显卡利益点对照表新[型号],显卡利益点对照表新[可显性],"ERROR"),"")</f>
        <v>GV-N5080AORUSM ICE-16GD</v>
      </c>
      <c r="N10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3" t="str" cm="1">
        <f t="array" ref="Q103">_xlfn.IFS(表1_5310[[#This Row],[配件1]]="","",表1_5310[[#This Row],[文本丨算力丨算力值]]=" ","",表1_5310[[#This Row],[文本丨算力丨算力值]]&lt;&gt;"","算力")</f>
        <v>算力</v>
      </c>
    </row>
    <row r="104" spans="2:17" x14ac:dyDescent="0.2">
      <c r="B104" s="22">
        <v>10136309646974</v>
      </c>
      <c r="C104" t="s">
        <v>101</v>
      </c>
      <c r="D104" t="s">
        <v>1075</v>
      </c>
      <c r="F104" t="str">
        <f>IF(表1_5310[[#This Row],[配件1]]&lt;&gt;"",_xlfn.XLOOKUP(表1_5310[[#This Row],[配件1]],显卡利益点对照表新[型号],显卡利益点对照表新[[芯片组 ]],"ERROR"),"")</f>
        <v>RTX5080 16G</v>
      </c>
      <c r="G10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雪鹰+850W模组电源</v>
      </c>
      <c r="H104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4" t="str">
        <f>IF(表1_5310[[#This Row],[配件1]]&lt;&gt;"",_xlfn.XLOOKUP(表1_5310[[#This Row],[配件1]],显卡利益点对照表新[型号],显卡利益点对照表新[利益点1],"ERROR"),"")</f>
        <v>注册4年保/个人送保</v>
      </c>
      <c r="J104" t="str">
        <f>IF(表1_5310[[#This Row],[配件1]]&lt;&gt;"",_xlfn.XLOOKUP(表1_5310[[#This Row],[配件1]],显卡利益点对照表新[型号],显卡利益点对照表新[利益点2],"ERROR"),"")</f>
        <v>LCD 自定义屏幕</v>
      </c>
      <c r="K104" t="str">
        <f>IF(表1_5310[[#This Row],[配件1]]&lt;&gt;"",_xlfn.XLOOKUP(表1_5310[[#This Row],[配件1]],显卡利益点对照表新[型号],显卡利益点对照表新[利益点3],"ERROR"),"")</f>
        <v>五重高效散热</v>
      </c>
      <c r="L104" t="str">
        <f>IF(表1_5310[[#This Row],[配件1]]&lt;&gt;"",_xlfn.XLOOKUP(表1_5310[[#This Row],[配件1]],显卡利益点对照表新[型号],显卡利益点对照表新[算力],"ERROR"),"")</f>
        <v>AI算力1801 TOPS</v>
      </c>
      <c r="M104" t="str">
        <f>IF(表1_5310[[#This Row],[配件1]]&lt;&gt;"",_xlfn.XLOOKUP(表1_5310[[#This Row],[配件1]],显卡利益点对照表新[型号],显卡利益点对照表新[可显性],"ERROR"),"")</f>
        <v>GV-N5080AORUSM ICE-16GD</v>
      </c>
      <c r="N10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 W</v>
      </c>
      <c r="O10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4" t="str" cm="1">
        <f t="array" ref="Q104">_xlfn.IFS(表1_5310[[#This Row],[配件1]]="","",表1_5310[[#This Row],[文本丨算力丨算力值]]=" ","",表1_5310[[#This Row],[文本丨算力丨算力值]]&lt;&gt;"","算力")</f>
        <v>算力</v>
      </c>
    </row>
    <row r="105" spans="2:17" x14ac:dyDescent="0.2">
      <c r="B105" s="22">
        <v>10136309646975</v>
      </c>
      <c r="C105" t="s">
        <v>103</v>
      </c>
      <c r="D105" t="s">
        <v>468</v>
      </c>
      <c r="F105" t="str">
        <f>IF(表1_5310[[#This Row],[配件1]]&lt;&gt;"",_xlfn.XLOOKUP(表1_5310[[#This Row],[配件1]],显卡利益点对照表新[型号],显卡利益点对照表新[[芯片组 ]],"ERROR"),"")</f>
        <v>RTX5080 16G</v>
      </c>
      <c r="G10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105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105" t="str">
        <f>IF(表1_5310[[#This Row],[配件1]]&lt;&gt;"",_xlfn.XLOOKUP(表1_5310[[#This Row],[配件1]],显卡利益点对照表新[型号],显卡利益点对照表新[利益点1],"ERROR"),"")</f>
        <v>注册4年保/个人送保</v>
      </c>
      <c r="J105" t="str">
        <f>IF(表1_5310[[#This Row],[配件1]]&lt;&gt;"",_xlfn.XLOOKUP(表1_5310[[#This Row],[配件1]],显卡利益点对照表新[型号],显卡利益点对照表新[利益点2],"ERROR"),"")</f>
        <v>RGB幻彩光轮</v>
      </c>
      <c r="K105" t="str">
        <f>IF(表1_5310[[#This Row],[配件1]]&lt;&gt;"",_xlfn.XLOOKUP(表1_5310[[#This Row],[配件1]],显卡利益点对照表新[型号],显卡利益点对照表新[利益点3],"ERROR"),"")</f>
        <v>水之力散热系统</v>
      </c>
      <c r="L105" t="str">
        <f>IF(表1_5310[[#This Row],[配件1]]&lt;&gt;"",_xlfn.XLOOKUP(表1_5310[[#This Row],[配件1]],显卡利益点对照表新[型号],显卡利益点对照表新[算力],"ERROR"),"")</f>
        <v>AI算力1801 TOPS</v>
      </c>
      <c r="M105" t="str">
        <f>IF(表1_5310[[#This Row],[配件1]]&lt;&gt;"",_xlfn.XLOOKUP(表1_5310[[#This Row],[配件1]],显卡利益点对照表新[型号],显卡利益点对照表新[可显性],"ERROR"),"")</f>
        <v>GV-N5080AORUSX W-16GD</v>
      </c>
      <c r="N10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5" t="str" cm="1">
        <f t="array" ref="Q105">_xlfn.IFS(表1_5310[[#This Row],[配件1]]="","",表1_5310[[#This Row],[文本丨算力丨算力值]]=" ","",表1_5310[[#This Row],[文本丨算力丨算力值]]&lt;&gt;"","算力")</f>
        <v>算力</v>
      </c>
    </row>
    <row r="106" spans="2:17" x14ac:dyDescent="0.2">
      <c r="B106" s="22">
        <v>10136309646976</v>
      </c>
      <c r="C106" t="s">
        <v>103</v>
      </c>
      <c r="D106" t="s">
        <v>1074</v>
      </c>
      <c r="F106" t="str">
        <f>IF(表1_5310[[#This Row],[配件1]]&lt;&gt;"",_xlfn.XLOOKUP(表1_5310[[#This Row],[配件1]],显卡利益点对照表新[型号],显卡利益点对照表新[[芯片组 ]],"ERROR"),"")</f>
        <v>RTX5080 16G</v>
      </c>
      <c r="G10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超级雕+850W模组电源</v>
      </c>
      <c r="H10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6" t="str">
        <f>IF(表1_5310[[#This Row],[配件1]]&lt;&gt;"",_xlfn.XLOOKUP(表1_5310[[#This Row],[配件1]],显卡利益点对照表新[型号],显卡利益点对照表新[利益点1],"ERROR"),"")</f>
        <v>注册4年保/个人送保</v>
      </c>
      <c r="J106" t="str">
        <f>IF(表1_5310[[#This Row],[配件1]]&lt;&gt;"",_xlfn.XLOOKUP(表1_5310[[#This Row],[配件1]],显卡利益点对照表新[型号],显卡利益点对照表新[利益点2],"ERROR"),"")</f>
        <v>RGB幻彩光轮</v>
      </c>
      <c r="K106" t="str">
        <f>IF(表1_5310[[#This Row],[配件1]]&lt;&gt;"",_xlfn.XLOOKUP(表1_5310[[#This Row],[配件1]],显卡利益点对照表新[型号],显卡利益点对照表新[利益点3],"ERROR"),"")</f>
        <v>水之力散热系统</v>
      </c>
      <c r="L106" t="str">
        <f>IF(表1_5310[[#This Row],[配件1]]&lt;&gt;"",_xlfn.XLOOKUP(表1_5310[[#This Row],[配件1]],显卡利益点对照表新[型号],显卡利益点对照表新[算力],"ERROR"),"")</f>
        <v>AI算力1801 TOPS</v>
      </c>
      <c r="M106" t="str">
        <f>IF(表1_5310[[#This Row],[配件1]]&lt;&gt;"",_xlfn.XLOOKUP(表1_5310[[#This Row],[配件1]],显卡利益点对照表新[型号],显卡利益点对照表新[可显性],"ERROR"),"")</f>
        <v>GV-N5080AORUSX W-16GD</v>
      </c>
      <c r="N10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10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6" t="str" cm="1">
        <f t="array" ref="Q106">_xlfn.IFS(表1_5310[[#This Row],[配件1]]="","",表1_5310[[#This Row],[文本丨算力丨算力值]]=" ","",表1_5310[[#This Row],[文本丨算力丨算力值]]&lt;&gt;"","算力")</f>
        <v>算力</v>
      </c>
    </row>
    <row r="107" spans="2:17" x14ac:dyDescent="0.2">
      <c r="F107" t="str">
        <f>IF(表1_5310[[#This Row],[配件1]]&lt;&gt;"",_xlfn.XLOOKUP(表1_5310[[#This Row],[配件1]],显卡利益点对照表新[型号],显卡利益点对照表新[[芯片组 ]],"ERROR"),"")</f>
        <v/>
      </c>
      <c r="G10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0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07" t="str">
        <f>IF(表1_5310[[#This Row],[配件1]]&lt;&gt;"",_xlfn.XLOOKUP(表1_5310[[#This Row],[配件1]],显卡利益点对照表新[型号],显卡利益点对照表新[利益点1],"ERROR"),"")</f>
        <v/>
      </c>
      <c r="J107" t="str">
        <f>IF(表1_5310[[#This Row],[配件1]]&lt;&gt;"",_xlfn.XLOOKUP(表1_5310[[#This Row],[配件1]],显卡利益点对照表新[型号],显卡利益点对照表新[利益点2],"ERROR"),"")</f>
        <v/>
      </c>
      <c r="K107" t="str">
        <f>IF(表1_5310[[#This Row],[配件1]]&lt;&gt;"",_xlfn.XLOOKUP(表1_5310[[#This Row],[配件1]],显卡利益点对照表新[型号],显卡利益点对照表新[利益点3],"ERROR"),"")</f>
        <v/>
      </c>
      <c r="L107" t="str">
        <f>IF(表1_5310[[#This Row],[配件1]]&lt;&gt;"",_xlfn.XLOOKUP(表1_5310[[#This Row],[配件1]],显卡利益点对照表新[型号],显卡利益点对照表新[算力],"ERROR"),"")</f>
        <v/>
      </c>
      <c r="M107" t="str">
        <f>IF(表1_5310[[#This Row],[配件1]]&lt;&gt;"",_xlfn.XLOOKUP(表1_5310[[#This Row],[配件1]],显卡利益点对照表新[型号],显卡利益点对照表新[可显性],"ERROR"),"")</f>
        <v/>
      </c>
      <c r="N10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07" t="str" cm="1">
        <f t="array" ref="Q107">_xlfn.IFS(表1_5310[[#This Row],[配件1]]="","",表1_5310[[#This Row],[文本丨算力丨算力值]]=" ","",表1_5310[[#This Row],[文本丨算力丨算力值]]&lt;&gt;"","算力")</f>
        <v/>
      </c>
    </row>
    <row r="108" spans="2:17" x14ac:dyDescent="0.2">
      <c r="B108" s="22">
        <v>10172224390526</v>
      </c>
      <c r="C108" t="s">
        <v>815</v>
      </c>
      <c r="D108" t="s">
        <v>468</v>
      </c>
      <c r="F108" t="str">
        <f>IF(表1_5310[[#This Row],[配件1]]&lt;&gt;"",_xlfn.XLOOKUP(表1_5310[[#This Row],[配件1]],显卡利益点对照表新[型号],显卡利益点对照表新[[芯片组 ]],"ERROR"),"")</f>
        <v>RTX5090D V2</v>
      </c>
      <c r="G10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</v>
      </c>
      <c r="H10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</v>
      </c>
      <c r="I108" t="str">
        <f>IF(表1_5310[[#This Row],[配件1]]&lt;&gt;"",_xlfn.XLOOKUP(表1_5310[[#This Row],[配件1]],显卡利益点对照表新[型号],显卡利益点对照表新[利益点1],"ERROR"),"")</f>
        <v>注册4年保/个人送保</v>
      </c>
      <c r="J108" t="str">
        <f>IF(表1_5310[[#This Row],[配件1]]&lt;&gt;"",_xlfn.XLOOKUP(表1_5310[[#This Row],[配件1]],显卡利益点对照表新[型号],显卡利益点对照表新[利益点2],"ERROR"),"")</f>
        <v>RGB幻彩光轮</v>
      </c>
      <c r="K108" t="str">
        <f>IF(表1_5310[[#This Row],[配件1]]&lt;&gt;"",_xlfn.XLOOKUP(表1_5310[[#This Row],[配件1]],显卡利益点对照表新[型号],显卡利益点对照表新[利益点3],"ERROR"),"")</f>
        <v>四重高效散热</v>
      </c>
      <c r="L108" t="str">
        <f>IF(表1_5310[[#This Row],[配件1]]&lt;&gt;"",_xlfn.XLOOKUP(表1_5310[[#This Row],[配件1]],显卡利益点对照表新[型号],显卡利益点对照表新[算力],"ERROR"),"")</f>
        <v>AI算力2375 TOPS</v>
      </c>
      <c r="M108" t="str">
        <f>IF(表1_5310[[#This Row],[配件1]]&lt;&gt;"",_xlfn.XLOOKUP(表1_5310[[#This Row],[配件1]],显卡利益点对照表新[型号],显卡利益点对照表新[可显性],"ERROR"),"")</f>
        <v>GV-N509DGAMING-24GD</v>
      </c>
      <c r="N10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8" t="str" cm="1">
        <f t="array" ref="Q108">_xlfn.IFS(表1_5310[[#This Row],[配件1]]="","",表1_5310[[#This Row],[文本丨算力丨算力值]]=" ","",表1_5310[[#This Row],[文本丨算力丨算力值]]&lt;&gt;"","算力")</f>
        <v>算力</v>
      </c>
    </row>
    <row r="109" spans="2:17" x14ac:dyDescent="0.2">
      <c r="B109" s="22">
        <v>10172224390527</v>
      </c>
      <c r="C109" t="s">
        <v>815</v>
      </c>
      <c r="D109" t="s">
        <v>1014</v>
      </c>
      <c r="F109" t="str">
        <f>IF(表1_5310[[#This Row],[配件1]]&lt;&gt;"",_xlfn.XLOOKUP(表1_5310[[#This Row],[配件1]],显卡利益点对照表新[型号],显卡利益点对照表新[[芯片组 ]],"ERROR"),"")</f>
        <v>RTX5090D V2</v>
      </c>
      <c r="G10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魔鹰+1000W全模电源</v>
      </c>
      <c r="H10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9" t="str">
        <f>IF(表1_5310[[#This Row],[配件1]]&lt;&gt;"",_xlfn.XLOOKUP(表1_5310[[#This Row],[配件1]],显卡利益点对照表新[型号],显卡利益点对照表新[利益点1],"ERROR"),"")</f>
        <v>注册4年保/个人送保</v>
      </c>
      <c r="J109" t="str">
        <f>IF(表1_5310[[#This Row],[配件1]]&lt;&gt;"",_xlfn.XLOOKUP(表1_5310[[#This Row],[配件1]],显卡利益点对照表新[型号],显卡利益点对照表新[利益点2],"ERROR"),"")</f>
        <v>RGB幻彩光轮</v>
      </c>
      <c r="K109" t="str">
        <f>IF(表1_5310[[#This Row],[配件1]]&lt;&gt;"",_xlfn.XLOOKUP(表1_5310[[#This Row],[配件1]],显卡利益点对照表新[型号],显卡利益点对照表新[利益点3],"ERROR"),"")</f>
        <v>四重高效散热</v>
      </c>
      <c r="L109" t="str">
        <f>IF(表1_5310[[#This Row],[配件1]]&lt;&gt;"",_xlfn.XLOOKUP(表1_5310[[#This Row],[配件1]],显卡利益点对照表新[型号],显卡利益点对照表新[算力],"ERROR"),"")</f>
        <v>AI算力2375 TOPS</v>
      </c>
      <c r="M109" t="str">
        <f>IF(表1_5310[[#This Row],[配件1]]&lt;&gt;"",_xlfn.XLOOKUP(表1_5310[[#This Row],[配件1]],显卡利益点对照表新[型号],显卡利益点对照表新[可显性],"ERROR"),"")</f>
        <v>GV-N509DGAMING-24GD</v>
      </c>
      <c r="N10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0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9" t="str" cm="1">
        <f t="array" ref="Q109">_xlfn.IFS(表1_5310[[#This Row],[配件1]]="","",表1_5310[[#This Row],[文本丨算力丨算力值]]=" ","",表1_5310[[#This Row],[文本丨算力丨算力值]]&lt;&gt;"","算力")</f>
        <v>算力</v>
      </c>
    </row>
    <row r="110" spans="2:17" x14ac:dyDescent="0.2">
      <c r="B110" s="22">
        <v>10172224390528</v>
      </c>
      <c r="C110" t="s">
        <v>816</v>
      </c>
      <c r="D110" t="s">
        <v>468</v>
      </c>
      <c r="F110" t="str">
        <f>IF(表1_5310[[#This Row],[配件1]]&lt;&gt;"",_xlfn.XLOOKUP(表1_5310[[#This Row],[配件1]],显卡利益点对照表新[型号],显卡利益点对照表新[[芯片组 ]],"ERROR"),"")</f>
        <v>RTX5090D V2</v>
      </c>
      <c r="G11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1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10" t="str">
        <f>IF(表1_5310[[#This Row],[配件1]]&lt;&gt;"",_xlfn.XLOOKUP(表1_5310[[#This Row],[配件1]],显卡利益点对照表新[型号],显卡利益点对照表新[利益点1],"ERROR"),"")</f>
        <v>注册4年保/个人送保</v>
      </c>
      <c r="J110" t="str">
        <f>IF(表1_5310[[#This Row],[配件1]]&lt;&gt;"",_xlfn.XLOOKUP(表1_5310[[#This Row],[配件1]],显卡利益点对照表新[型号],显卡利益点对照表新[利益点2],"ERROR"),"")</f>
        <v>RGB幻彩光轮</v>
      </c>
      <c r="K110" t="str">
        <f>IF(表1_5310[[#This Row],[配件1]]&lt;&gt;"",_xlfn.XLOOKUP(表1_5310[[#This Row],[配件1]],显卡利益点对照表新[型号],显卡利益点对照表新[利益点3],"ERROR"),"")</f>
        <v>四重高效散热</v>
      </c>
      <c r="L110" t="str">
        <f>IF(表1_5310[[#This Row],[配件1]]&lt;&gt;"",_xlfn.XLOOKUP(表1_5310[[#This Row],[配件1]],显卡利益点对照表新[型号],显卡利益点对照表新[算力],"ERROR"),"")</f>
        <v>AI算力2375 TOPS</v>
      </c>
      <c r="M110" t="str">
        <f>IF(表1_5310[[#This Row],[配件1]]&lt;&gt;"",_xlfn.XLOOKUP(表1_5310[[#This Row],[配件1]],显卡利益点对照表新[型号],显卡利益点对照表新[可显性],"ERROR"),"")</f>
        <v>GV-N509DGAMING OC-24GD</v>
      </c>
      <c r="N11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0" t="str" cm="1">
        <f t="array" ref="Q110">_xlfn.IFS(表1_5310[[#This Row],[配件1]]="","",表1_5310[[#This Row],[文本丨算力丨算力值]]=" ","",表1_5310[[#This Row],[文本丨算力丨算力值]]&lt;&gt;"","算力")</f>
        <v>算力</v>
      </c>
    </row>
    <row r="111" spans="2:17" x14ac:dyDescent="0.2">
      <c r="B111" s="22">
        <v>10172224390529</v>
      </c>
      <c r="C111" t="s">
        <v>816</v>
      </c>
      <c r="D111" t="s">
        <v>1014</v>
      </c>
      <c r="F111" t="str">
        <f>IF(表1_5310[[#This Row],[配件1]]&lt;&gt;"",_xlfn.XLOOKUP(表1_5310[[#This Row],[配件1]],显卡利益点对照表新[型号],显卡利益点对照表新[[芯片组 ]],"ERROR"),"")</f>
        <v>RTX5090D V2</v>
      </c>
      <c r="G11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魔鹰+1000W全模电源</v>
      </c>
      <c r="H11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1" t="str">
        <f>IF(表1_5310[[#This Row],[配件1]]&lt;&gt;"",_xlfn.XLOOKUP(表1_5310[[#This Row],[配件1]],显卡利益点对照表新[型号],显卡利益点对照表新[利益点1],"ERROR"),"")</f>
        <v>注册4年保/个人送保</v>
      </c>
      <c r="J111" t="str">
        <f>IF(表1_5310[[#This Row],[配件1]]&lt;&gt;"",_xlfn.XLOOKUP(表1_5310[[#This Row],[配件1]],显卡利益点对照表新[型号],显卡利益点对照表新[利益点2],"ERROR"),"")</f>
        <v>RGB幻彩光轮</v>
      </c>
      <c r="K111" t="str">
        <f>IF(表1_5310[[#This Row],[配件1]]&lt;&gt;"",_xlfn.XLOOKUP(表1_5310[[#This Row],[配件1]],显卡利益点对照表新[型号],显卡利益点对照表新[利益点3],"ERROR"),"")</f>
        <v>四重高效散热</v>
      </c>
      <c r="L111" t="str">
        <f>IF(表1_5310[[#This Row],[配件1]]&lt;&gt;"",_xlfn.XLOOKUP(表1_5310[[#This Row],[配件1]],显卡利益点对照表新[型号],显卡利益点对照表新[算力],"ERROR"),"")</f>
        <v>AI算力2375 TOPS</v>
      </c>
      <c r="M111" t="str">
        <f>IF(表1_5310[[#This Row],[配件1]]&lt;&gt;"",_xlfn.XLOOKUP(表1_5310[[#This Row],[配件1]],显卡利益点对照表新[型号],显卡利益点对照表新[可显性],"ERROR"),"")</f>
        <v>GV-N509DGAMING OC-24GD</v>
      </c>
      <c r="N11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1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1" t="str" cm="1">
        <f t="array" ref="Q111">_xlfn.IFS(表1_5310[[#This Row],[配件1]]="","",表1_5310[[#This Row],[文本丨算力丨算力值]]=" ","",表1_5310[[#This Row],[文本丨算力丨算力值]]&lt;&gt;"","算力")</f>
        <v>算力</v>
      </c>
    </row>
    <row r="112" spans="2:17" x14ac:dyDescent="0.2">
      <c r="B112" s="22">
        <v>10136710737683</v>
      </c>
      <c r="C112" t="s">
        <v>817</v>
      </c>
      <c r="D112" t="s">
        <v>468</v>
      </c>
      <c r="F112" t="str">
        <f>IF(表1_5310[[#This Row],[配件1]]&lt;&gt;"",_xlfn.XLOOKUP(表1_5310[[#This Row],[配件1]],显卡利益点对照表新[型号],显卡利益点对照表新[[芯片组 ]],"ERROR"),"")</f>
        <v>RTX5090D V2</v>
      </c>
      <c r="G11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11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12" t="str">
        <f>IF(表1_5310[[#This Row],[配件1]]&lt;&gt;"",_xlfn.XLOOKUP(表1_5310[[#This Row],[配件1]],显卡利益点对照表新[型号],显卡利益点对照表新[利益点1],"ERROR"),"")</f>
        <v>注册4年保/个人送保</v>
      </c>
      <c r="J112" t="str">
        <f>IF(表1_5310[[#This Row],[配件1]]&lt;&gt;"",_xlfn.XLOOKUP(表1_5310[[#This Row],[配件1]],显卡利益点对照表新[型号],显卡利益点对照表新[利益点2],"ERROR"),"")</f>
        <v>LCD自定义屏幕</v>
      </c>
      <c r="K112" t="str">
        <f>IF(表1_5310[[#This Row],[配件1]]&lt;&gt;"",_xlfn.XLOOKUP(表1_5310[[#This Row],[配件1]],显卡利益点对照表新[型号],显卡利益点对照表新[利益点3],"ERROR"),"")</f>
        <v>五重高效散热</v>
      </c>
      <c r="L112" t="str">
        <f>IF(表1_5310[[#This Row],[配件1]]&lt;&gt;"",_xlfn.XLOOKUP(表1_5310[[#This Row],[配件1]],显卡利益点对照表新[型号],显卡利益点对照表新[算力],"ERROR"),"")</f>
        <v>AI算力2375 TOPS</v>
      </c>
      <c r="M112" t="str">
        <f>IF(表1_5310[[#This Row],[配件1]]&lt;&gt;"",_xlfn.XLOOKUP(表1_5310[[#This Row],[配件1]],显卡利益点对照表新[型号],显卡利益点对照表新[可显性],"ERROR"),"")</f>
        <v>GV-N509DAORUS M-24GD</v>
      </c>
      <c r="N11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2" t="str" cm="1">
        <f t="array" ref="Q112">_xlfn.IFS(表1_5310[[#This Row],[配件1]]="","",表1_5310[[#This Row],[文本丨算力丨算力值]]=" ","",表1_5310[[#This Row],[文本丨算力丨算力值]]&lt;&gt;"","算力")</f>
        <v>算力</v>
      </c>
    </row>
    <row r="113" spans="2:17" x14ac:dyDescent="0.2">
      <c r="B113" s="22">
        <v>10136710737684</v>
      </c>
      <c r="C113" t="s">
        <v>817</v>
      </c>
      <c r="D113" t="s">
        <v>534</v>
      </c>
      <c r="F113" t="str">
        <f>IF(表1_5310[[#This Row],[配件1]]&lt;&gt;"",_xlfn.XLOOKUP(表1_5310[[#This Row],[配件1]],显卡利益点对照表新[型号],显卡利益点对照表新[[芯片组 ]],"ERROR"),"")</f>
        <v>RTX5090D V2</v>
      </c>
      <c r="G11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超级雕+白金雕电源</v>
      </c>
      <c r="H11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3" t="str">
        <f>IF(表1_5310[[#This Row],[配件1]]&lt;&gt;"",_xlfn.XLOOKUP(表1_5310[[#This Row],[配件1]],显卡利益点对照表新[型号],显卡利益点对照表新[利益点1],"ERROR"),"")</f>
        <v>注册4年保/个人送保</v>
      </c>
      <c r="J113" t="str">
        <f>IF(表1_5310[[#This Row],[配件1]]&lt;&gt;"",_xlfn.XLOOKUP(表1_5310[[#This Row],[配件1]],显卡利益点对照表新[型号],显卡利益点对照表新[利益点2],"ERROR"),"")</f>
        <v>LCD自定义屏幕</v>
      </c>
      <c r="K113" t="str">
        <f>IF(表1_5310[[#This Row],[配件1]]&lt;&gt;"",_xlfn.XLOOKUP(表1_5310[[#This Row],[配件1]],显卡利益点对照表新[型号],显卡利益点对照表新[利益点3],"ERROR"),"")</f>
        <v>五重高效散热</v>
      </c>
      <c r="L113" t="str">
        <f>IF(表1_5310[[#This Row],[配件1]]&lt;&gt;"",_xlfn.XLOOKUP(表1_5310[[#This Row],[配件1]],显卡利益点对照表新[型号],显卡利益点对照表新[算力],"ERROR"),"")</f>
        <v>AI算力2375 TOPS</v>
      </c>
      <c r="M113" t="str">
        <f>IF(表1_5310[[#This Row],[配件1]]&lt;&gt;"",_xlfn.XLOOKUP(表1_5310[[#This Row],[配件1]],显卡利益点对照表新[型号],显卡利益点对照表新[可显性],"ERROR"),"")</f>
        <v>GV-N509DAORUS M-24GD</v>
      </c>
      <c r="N11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</v>
      </c>
      <c r="O11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3" t="str" cm="1">
        <f t="array" ref="Q113">_xlfn.IFS(表1_5310[[#This Row],[配件1]]="","",表1_5310[[#This Row],[文本丨算力丨算力值]]=" ","",表1_5310[[#This Row],[文本丨算力丨算力值]]&lt;&gt;"","算力")</f>
        <v>算力</v>
      </c>
    </row>
    <row r="114" spans="2:17" x14ac:dyDescent="0.2">
      <c r="B114" s="22">
        <v>10172224390530</v>
      </c>
      <c r="C114" t="s">
        <v>818</v>
      </c>
      <c r="D114" t="s">
        <v>468</v>
      </c>
      <c r="F114" t="str">
        <f>IF(表1_5310[[#This Row],[配件1]]&lt;&gt;"",_xlfn.XLOOKUP(表1_5310[[#This Row],[配件1]],显卡利益点对照表新[型号],显卡利益点对照表新[[芯片组 ]],"ERROR"),"")</f>
        <v>RTX5090D V2</v>
      </c>
      <c r="G11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114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14" t="str">
        <f>IF(表1_5310[[#This Row],[配件1]]&lt;&gt;"",_xlfn.XLOOKUP(表1_5310[[#This Row],[配件1]],显卡利益点对照表新[型号],显卡利益点对照表新[利益点1],"ERROR"),"")</f>
        <v>注册4年保/个人送保</v>
      </c>
      <c r="J114" t="str">
        <f>IF(表1_5310[[#This Row],[配件1]]&lt;&gt;"",_xlfn.XLOOKUP(表1_5310[[#This Row],[配件1]],显卡利益点对照表新[型号],显卡利益点对照表新[利益点2],"ERROR"),"")</f>
        <v>LCD自定义屏幕</v>
      </c>
      <c r="K114" t="str">
        <f>IF(表1_5310[[#This Row],[配件1]]&lt;&gt;"",_xlfn.XLOOKUP(表1_5310[[#This Row],[配件1]],显卡利益点对照表新[型号],显卡利益点对照表新[利益点3],"ERROR"),"")</f>
        <v>五重高效散热</v>
      </c>
      <c r="L114" t="str">
        <f>IF(表1_5310[[#This Row],[配件1]]&lt;&gt;"",_xlfn.XLOOKUP(表1_5310[[#This Row],[配件1]],显卡利益点对照表新[型号],显卡利益点对照表新[算力],"ERROR"),"")</f>
        <v>AI算力2375 TOPS</v>
      </c>
      <c r="M114" t="str">
        <f>IF(表1_5310[[#This Row],[配件1]]&lt;&gt;"",_xlfn.XLOOKUP(表1_5310[[#This Row],[配件1]],显卡利益点对照表新[型号],显卡利益点对照表新[可显性],"ERROR"),"")</f>
        <v>GV-N509DAORUSM ICE-24GD</v>
      </c>
      <c r="N11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4" t="str" cm="1">
        <f t="array" ref="Q114">_xlfn.IFS(表1_5310[[#This Row],[配件1]]="","",表1_5310[[#This Row],[文本丨算力丨算力值]]=" ","",表1_5310[[#This Row],[文本丨算力丨算力值]]&lt;&gt;"","算力")</f>
        <v>算力</v>
      </c>
    </row>
    <row r="115" spans="2:17" x14ac:dyDescent="0.2">
      <c r="B115" s="22">
        <v>10172224390531</v>
      </c>
      <c r="C115" t="s">
        <v>818</v>
      </c>
      <c r="D115" t="s">
        <v>833</v>
      </c>
      <c r="F115" t="str">
        <f>IF(表1_5310[[#This Row],[配件1]]&lt;&gt;"",_xlfn.XLOOKUP(表1_5310[[#This Row],[配件1]],显卡利益点对照表新[型号],显卡利益点对照表新[[芯片组 ]],"ERROR"),"")</f>
        <v>RTX5090D V2</v>
      </c>
      <c r="G11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超级雕白+白金雕电源</v>
      </c>
      <c r="H11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5" t="str">
        <f>IF(表1_5310[[#This Row],[配件1]]&lt;&gt;"",_xlfn.XLOOKUP(表1_5310[[#This Row],[配件1]],显卡利益点对照表新[型号],显卡利益点对照表新[利益点1],"ERROR"),"")</f>
        <v>注册4年保/个人送保</v>
      </c>
      <c r="J115" t="str">
        <f>IF(表1_5310[[#This Row],[配件1]]&lt;&gt;"",_xlfn.XLOOKUP(表1_5310[[#This Row],[配件1]],显卡利益点对照表新[型号],显卡利益点对照表新[利益点2],"ERROR"),"")</f>
        <v>LCD自定义屏幕</v>
      </c>
      <c r="K115" t="str">
        <f>IF(表1_5310[[#This Row],[配件1]]&lt;&gt;"",_xlfn.XLOOKUP(表1_5310[[#This Row],[配件1]],显卡利益点对照表新[型号],显卡利益点对照表新[利益点3],"ERROR"),"")</f>
        <v>五重高效散热</v>
      </c>
      <c r="L115" t="str">
        <f>IF(表1_5310[[#This Row],[配件1]]&lt;&gt;"",_xlfn.XLOOKUP(表1_5310[[#This Row],[配件1]],显卡利益点对照表新[型号],显卡利益点对照表新[算力],"ERROR"),"")</f>
        <v>AI算力2375 TOPS</v>
      </c>
      <c r="M115" t="str">
        <f>IF(表1_5310[[#This Row],[配件1]]&lt;&gt;"",_xlfn.XLOOKUP(表1_5310[[#This Row],[配件1]],显卡利益点对照表新[型号],显卡利益点对照表新[可显性],"ERROR"),"")</f>
        <v>GV-N509DAORUSM ICE-24GD</v>
      </c>
      <c r="N1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 ICE</v>
      </c>
      <c r="O11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5" t="str" cm="1">
        <f t="array" ref="Q115">_xlfn.IFS(表1_5310[[#This Row],[配件1]]="","",表1_5310[[#This Row],[文本丨算力丨算力值]]=" ","",表1_5310[[#This Row],[文本丨算力丨算力值]]&lt;&gt;"","算力")</f>
        <v>算力</v>
      </c>
    </row>
    <row r="116" spans="2:17" x14ac:dyDescent="0.2">
      <c r="B116" s="22">
        <v>10136309907451</v>
      </c>
      <c r="C116" t="s">
        <v>331</v>
      </c>
      <c r="D116" t="s">
        <v>468</v>
      </c>
      <c r="F116" t="str">
        <f>IF(表1_5310[[#This Row],[配件1]]&lt;&gt;"",_xlfn.XLOOKUP(表1_5310[[#This Row],[配件1]],显卡利益点对照表新[型号],显卡利益点对照表新[[芯片组 ]],"ERROR"),"")</f>
        <v>RTX5090D 32G</v>
      </c>
      <c r="G11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WF3OC</v>
      </c>
      <c r="H116" t="str">
        <f>IF(表1_5310[[#This Row],[配件1]]&lt;&gt;"",IF(表1_5310[[#This Row],[配件2]]&lt;&gt;"无"," ",_xlfn.XLOOKUP(表1_5310[[#This Row],[配件1]],显卡利益点对照表新[型号],显卡利益点对照表新[英文名称],"ERROR")),"")</f>
        <v>WF3OC</v>
      </c>
      <c r="I116" t="str">
        <f>IF(表1_5310[[#This Row],[配件1]]&lt;&gt;"",_xlfn.XLOOKUP(表1_5310[[#This Row],[配件1]],显卡利益点对照表新[型号],显卡利益点对照表新[利益点1],"ERROR"),"")</f>
        <v>三年质保/个人送保</v>
      </c>
      <c r="J116" t="str">
        <f>IF(表1_5310[[#This Row],[配件1]]&lt;&gt;"",_xlfn.XLOOKUP(表1_5310[[#This Row],[配件1]],显卡利益点对照表新[型号],显卡利益点对照表新[利益点2],"ERROR"),"")</f>
        <v>双BIOS模式</v>
      </c>
      <c r="K116" t="str">
        <f>IF(表1_5310[[#This Row],[配件1]]&lt;&gt;"",_xlfn.XLOOKUP(表1_5310[[#This Row],[配件1]],显卡利益点对照表新[型号],显卡利益点对照表新[利益点3],"ERROR"),"")</f>
        <v>四重高效散热</v>
      </c>
      <c r="L116" t="str">
        <f>IF(表1_5310[[#This Row],[配件1]]&lt;&gt;"",_xlfn.XLOOKUP(表1_5310[[#This Row],[配件1]],显卡利益点对照表新[型号],显卡利益点对照表新[算力],"ERROR"),"")</f>
        <v>AI算力2375 TOPS</v>
      </c>
      <c r="M116" t="str">
        <f>IF(表1_5310[[#This Row],[配件1]]&lt;&gt;"",_xlfn.XLOOKUP(表1_5310[[#This Row],[配件1]],显卡利益点对照表新[型号],显卡利益点对照表新[可显性],"ERROR"),"")</f>
        <v>GV-N509DWF3OC-32GD</v>
      </c>
      <c r="N11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6" t="str" cm="1">
        <f t="array" ref="Q116">_xlfn.IFS(表1_5310[[#This Row],[配件1]]="","",表1_5310[[#This Row],[文本丨算力丨算力值]]=" ","",表1_5310[[#This Row],[文本丨算力丨算力值]]&lt;&gt;"","算力")</f>
        <v>算力</v>
      </c>
    </row>
    <row r="117" spans="2:17" x14ac:dyDescent="0.2">
      <c r="B117" s="22">
        <v>10136309907452</v>
      </c>
      <c r="C117" t="s">
        <v>331</v>
      </c>
      <c r="D117" t="s">
        <v>1014</v>
      </c>
      <c r="F117" t="str">
        <f>IF(表1_5310[[#This Row],[配件1]]&lt;&gt;"",_xlfn.XLOOKUP(表1_5310[[#This Row],[配件1]],显卡利益点对照表新[型号],显卡利益点对照表新[[芯片组 ]],"ERROR"),"")</f>
        <v>RTX5090D 32G</v>
      </c>
      <c r="G11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风魔+1000W全模电源</v>
      </c>
      <c r="H117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7" t="str">
        <f>IF(表1_5310[[#This Row],[配件1]]&lt;&gt;"",_xlfn.XLOOKUP(表1_5310[[#This Row],[配件1]],显卡利益点对照表新[型号],显卡利益点对照表新[利益点1],"ERROR"),"")</f>
        <v>三年质保/个人送保</v>
      </c>
      <c r="J117" t="str">
        <f>IF(表1_5310[[#This Row],[配件1]]&lt;&gt;"",_xlfn.XLOOKUP(表1_5310[[#This Row],[配件1]],显卡利益点对照表新[型号],显卡利益点对照表新[利益点2],"ERROR"),"")</f>
        <v>双BIOS模式</v>
      </c>
      <c r="K117" t="str">
        <f>IF(表1_5310[[#This Row],[配件1]]&lt;&gt;"",_xlfn.XLOOKUP(表1_5310[[#This Row],[配件1]],显卡利益点对照表新[型号],显卡利益点对照表新[利益点3],"ERROR"),"")</f>
        <v>四重高效散热</v>
      </c>
      <c r="L117" t="str">
        <f>IF(表1_5310[[#This Row],[配件1]]&lt;&gt;"",_xlfn.XLOOKUP(表1_5310[[#This Row],[配件1]],显卡利益点对照表新[型号],显卡利益点对照表新[算力],"ERROR"),"")</f>
        <v>AI算力2375 TOPS</v>
      </c>
      <c r="M117" t="str">
        <f>IF(表1_5310[[#This Row],[配件1]]&lt;&gt;"",_xlfn.XLOOKUP(表1_5310[[#This Row],[配件1]],显卡利益点对照表新[型号],显卡利益点对照表新[可显性],"ERROR"),"")</f>
        <v>GV-N509DWF3OC-32GD</v>
      </c>
      <c r="N11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1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7" t="str" cm="1">
        <f t="array" ref="Q117">_xlfn.IFS(表1_5310[[#This Row],[配件1]]="","",表1_5310[[#This Row],[文本丨算力丨算力值]]=" ","",表1_5310[[#This Row],[文本丨算力丨算力值]]&lt;&gt;"","算力")</f>
        <v>算力</v>
      </c>
    </row>
    <row r="118" spans="2:17" x14ac:dyDescent="0.2">
      <c r="B118" s="22">
        <v>10136309907453</v>
      </c>
      <c r="C118" t="s">
        <v>1012</v>
      </c>
      <c r="D118" t="s">
        <v>468</v>
      </c>
      <c r="F118" t="str">
        <f>IF(表1_5310[[#This Row],[配件1]]&lt;&gt;"",_xlfn.XLOOKUP(表1_5310[[#This Row],[配件1]],显卡利益点对照表新[型号],显卡利益点对照表新[[芯片组 ]],"ERROR"),"")</f>
        <v>RTX5090D 32G</v>
      </c>
      <c r="G11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1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18" t="str">
        <f>IF(表1_5310[[#This Row],[配件1]]&lt;&gt;"",_xlfn.XLOOKUP(表1_5310[[#This Row],[配件1]],显卡利益点对照表新[型号],显卡利益点对照表新[利益点1],"ERROR"),"")</f>
        <v>注册4年保/个人送保</v>
      </c>
      <c r="J118" t="str">
        <f>IF(表1_5310[[#This Row],[配件1]]&lt;&gt;"",_xlfn.XLOOKUP(表1_5310[[#This Row],[配件1]],显卡利益点对照表新[型号],显卡利益点对照表新[利益点2],"ERROR"),"")</f>
        <v>RGB幻彩光轮</v>
      </c>
      <c r="K118" t="str">
        <f>IF(表1_5310[[#This Row],[配件1]]&lt;&gt;"",_xlfn.XLOOKUP(表1_5310[[#This Row],[配件1]],显卡利益点对照表新[型号],显卡利益点对照表新[利益点3],"ERROR"),"")</f>
        <v>四重高效散热</v>
      </c>
      <c r="L118" t="str">
        <f>IF(表1_5310[[#This Row],[配件1]]&lt;&gt;"",_xlfn.XLOOKUP(表1_5310[[#This Row],[配件1]],显卡利益点对照表新[型号],显卡利益点对照表新[算力],"ERROR"),"")</f>
        <v>AI算力2375 TOPS</v>
      </c>
      <c r="M118" t="str">
        <f>IF(表1_5310[[#This Row],[配件1]]&lt;&gt;"",_xlfn.XLOOKUP(表1_5310[[#This Row],[配件1]],显卡利益点对照表新[型号],显卡利益点对照表新[可显性],"ERROR"),"")</f>
        <v>GV-N509DGAMING OC-32GD</v>
      </c>
      <c r="N11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8" t="str" cm="1">
        <f t="array" ref="Q118">_xlfn.IFS(表1_5310[[#This Row],[配件1]]="","",表1_5310[[#This Row],[文本丨算力丨算力值]]=" ","",表1_5310[[#This Row],[文本丨算力丨算力值]]&lt;&gt;"","算力")</f>
        <v>算力</v>
      </c>
    </row>
    <row r="119" spans="2:17" x14ac:dyDescent="0.2">
      <c r="B119" s="22">
        <v>10136309907454</v>
      </c>
      <c r="C119" t="s">
        <v>1012</v>
      </c>
      <c r="D119" t="s">
        <v>1014</v>
      </c>
      <c r="F119" t="str">
        <f>IF(表1_5310[[#This Row],[配件1]]&lt;&gt;"",_xlfn.XLOOKUP(表1_5310[[#This Row],[配件1]],显卡利益点对照表新[型号],显卡利益点对照表新[[芯片组 ]],"ERROR"),"")</f>
        <v>RTX5090D 32G</v>
      </c>
      <c r="G11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魔鹰+1000W全模电源</v>
      </c>
      <c r="H11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9" t="str">
        <f>IF(表1_5310[[#This Row],[配件1]]&lt;&gt;"",_xlfn.XLOOKUP(表1_5310[[#This Row],[配件1]],显卡利益点对照表新[型号],显卡利益点对照表新[利益点1],"ERROR"),"")</f>
        <v>注册4年保/个人送保</v>
      </c>
      <c r="J119" t="str">
        <f>IF(表1_5310[[#This Row],[配件1]]&lt;&gt;"",_xlfn.XLOOKUP(表1_5310[[#This Row],[配件1]],显卡利益点对照表新[型号],显卡利益点对照表新[利益点2],"ERROR"),"")</f>
        <v>RGB幻彩光轮</v>
      </c>
      <c r="K119" t="str">
        <f>IF(表1_5310[[#This Row],[配件1]]&lt;&gt;"",_xlfn.XLOOKUP(表1_5310[[#This Row],[配件1]],显卡利益点对照表新[型号],显卡利益点对照表新[利益点3],"ERROR"),"")</f>
        <v>四重高效散热</v>
      </c>
      <c r="L119" t="str">
        <f>IF(表1_5310[[#This Row],[配件1]]&lt;&gt;"",_xlfn.XLOOKUP(表1_5310[[#This Row],[配件1]],显卡利益点对照表新[型号],显卡利益点对照表新[算力],"ERROR"),"")</f>
        <v>AI算力2375 TOPS</v>
      </c>
      <c r="M119" t="str">
        <f>IF(表1_5310[[#This Row],[配件1]]&lt;&gt;"",_xlfn.XLOOKUP(表1_5310[[#This Row],[配件1]],显卡利益点对照表新[型号],显卡利益点对照表新[可显性],"ERROR"),"")</f>
        <v>GV-N509DGAMING OC-32GD</v>
      </c>
      <c r="N11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1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9" t="str" cm="1">
        <f t="array" ref="Q119">_xlfn.IFS(表1_5310[[#This Row],[配件1]]="","",表1_5310[[#This Row],[文本丨算力丨算力值]]=" ","",表1_5310[[#This Row],[文本丨算力丨算力值]]&lt;&gt;"","算力")</f>
        <v>算力</v>
      </c>
    </row>
    <row r="120" spans="2:17" x14ac:dyDescent="0.2">
      <c r="B120" s="22">
        <v>10136309907455</v>
      </c>
      <c r="C120" t="s">
        <v>117</v>
      </c>
      <c r="D120" t="s">
        <v>468</v>
      </c>
      <c r="F120" t="str">
        <f>IF(表1_5310[[#This Row],[配件1]]&lt;&gt;"",_xlfn.XLOOKUP(表1_5310[[#This Row],[配件1]],显卡利益点对照表新[型号],显卡利益点对照表新[[芯片组 ]],"ERROR"),"")</f>
        <v>RTX5090D 32G</v>
      </c>
      <c r="G12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120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20" t="str">
        <f>IF(表1_5310[[#This Row],[配件1]]&lt;&gt;"",_xlfn.XLOOKUP(表1_5310[[#This Row],[配件1]],显卡利益点对照表新[型号],显卡利益点对照表新[利益点1],"ERROR"),"")</f>
        <v>注册4年保/个人送保</v>
      </c>
      <c r="J120" t="str">
        <f>IF(表1_5310[[#This Row],[配件1]]&lt;&gt;"",_xlfn.XLOOKUP(表1_5310[[#This Row],[配件1]],显卡利益点对照表新[型号],显卡利益点对照表新[利益点2],"ERROR"),"")</f>
        <v>LCD自定义屏幕</v>
      </c>
      <c r="K120" t="str">
        <f>IF(表1_5310[[#This Row],[配件1]]&lt;&gt;"",_xlfn.XLOOKUP(表1_5310[[#This Row],[配件1]],显卡利益点对照表新[型号],显卡利益点对照表新[利益点3],"ERROR"),"")</f>
        <v>五重高效散热</v>
      </c>
      <c r="L120" t="str">
        <f>IF(表1_5310[[#This Row],[配件1]]&lt;&gt;"",_xlfn.XLOOKUP(表1_5310[[#This Row],[配件1]],显卡利益点对照表新[型号],显卡利益点对照表新[算力],"ERROR"),"")</f>
        <v>AI算力2375 TOPS</v>
      </c>
      <c r="M120" t="str">
        <f>IF(表1_5310[[#This Row],[配件1]]&lt;&gt;"",_xlfn.XLOOKUP(表1_5310[[#This Row],[配件1]],显卡利益点对照表新[型号],显卡利益点对照表新[可显性],"ERROR"),"")</f>
        <v>GV-N509DAORUSM ICE-32GD</v>
      </c>
      <c r="N12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0" t="str" cm="1">
        <f t="array" ref="Q120">_xlfn.IFS(表1_5310[[#This Row],[配件1]]="","",表1_5310[[#This Row],[文本丨算力丨算力值]]=" ","",表1_5310[[#This Row],[文本丨算力丨算力值]]&lt;&gt;"","算力")</f>
        <v>算力</v>
      </c>
    </row>
    <row r="121" spans="2:17" x14ac:dyDescent="0.2">
      <c r="B121" s="22">
        <v>10136309907456</v>
      </c>
      <c r="C121" t="s">
        <v>117</v>
      </c>
      <c r="D121" t="s">
        <v>833</v>
      </c>
      <c r="F121" t="str">
        <f>IF(表1_5310[[#This Row],[配件1]]&lt;&gt;"",_xlfn.XLOOKUP(表1_5310[[#This Row],[配件1]],显卡利益点对照表新[型号],显卡利益点对照表新[[芯片组 ]],"ERROR"),"")</f>
        <v>RTX5090D 32G</v>
      </c>
      <c r="G12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超级雕白+白金雕电源</v>
      </c>
      <c r="H12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1" t="str">
        <f>IF(表1_5310[[#This Row],[配件1]]&lt;&gt;"",_xlfn.XLOOKUP(表1_5310[[#This Row],[配件1]],显卡利益点对照表新[型号],显卡利益点对照表新[利益点1],"ERROR"),"")</f>
        <v>注册4年保/个人送保</v>
      </c>
      <c r="J121" t="str">
        <f>IF(表1_5310[[#This Row],[配件1]]&lt;&gt;"",_xlfn.XLOOKUP(表1_5310[[#This Row],[配件1]],显卡利益点对照表新[型号],显卡利益点对照表新[利益点2],"ERROR"),"")</f>
        <v>LCD自定义屏幕</v>
      </c>
      <c r="K121" t="str">
        <f>IF(表1_5310[[#This Row],[配件1]]&lt;&gt;"",_xlfn.XLOOKUP(表1_5310[[#This Row],[配件1]],显卡利益点对照表新[型号],显卡利益点对照表新[利益点3],"ERROR"),"")</f>
        <v>五重高效散热</v>
      </c>
      <c r="L121" t="str">
        <f>IF(表1_5310[[#This Row],[配件1]]&lt;&gt;"",_xlfn.XLOOKUP(表1_5310[[#This Row],[配件1]],显卡利益点对照表新[型号],显卡利益点对照表新[算力],"ERROR"),"")</f>
        <v>AI算力2375 TOPS</v>
      </c>
      <c r="M121" t="str">
        <f>IF(表1_5310[[#This Row],[配件1]]&lt;&gt;"",_xlfn.XLOOKUP(表1_5310[[#This Row],[配件1]],显卡利益点对照表新[型号],显卡利益点对照表新[可显性],"ERROR"),"")</f>
        <v>GV-N509DAORUSM ICE-32GD</v>
      </c>
      <c r="N12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 ICE</v>
      </c>
      <c r="O12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1" t="str" cm="1">
        <f t="array" ref="Q121">_xlfn.IFS(表1_5310[[#This Row],[配件1]]="","",表1_5310[[#This Row],[文本丨算力丨算力值]]=" ","",表1_5310[[#This Row],[文本丨算力丨算力值]]&lt;&gt;"","算力")</f>
        <v>算力</v>
      </c>
    </row>
    <row r="122" spans="2:17" x14ac:dyDescent="0.2">
      <c r="B122" s="22">
        <v>10143086903708</v>
      </c>
      <c r="C122" t="s">
        <v>1013</v>
      </c>
      <c r="D122" t="s">
        <v>468</v>
      </c>
      <c r="F122" t="str">
        <f>IF(表1_5310[[#This Row],[配件1]]&lt;&gt;"",_xlfn.XLOOKUP(表1_5310[[#This Row],[配件1]],显卡利益点对照表新[型号],显卡利益点对照表新[[芯片组 ]],"ERROR"),"")</f>
        <v>RTX5090D 32G</v>
      </c>
      <c r="G12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122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122" t="str">
        <f>IF(表1_5310[[#This Row],[配件1]]&lt;&gt;"",_xlfn.XLOOKUP(表1_5310[[#This Row],[配件1]],显卡利益点对照表新[型号],显卡利益点对照表新[利益点1],"ERROR"),"")</f>
        <v>注册4年保/个人送保</v>
      </c>
      <c r="J122" t="str">
        <f>IF(表1_5310[[#This Row],[配件1]]&lt;&gt;"",_xlfn.XLOOKUP(表1_5310[[#This Row],[配件1]],显卡利益点对照表新[型号],显卡利益点对照表新[利益点2],"ERROR"),"")</f>
        <v>RGB幻彩光轮</v>
      </c>
      <c r="K122" t="str">
        <f>IF(表1_5310[[#This Row],[配件1]]&lt;&gt;"",_xlfn.XLOOKUP(表1_5310[[#This Row],[配件1]],显卡利益点对照表新[型号],显卡利益点对照表新[利益点3],"ERROR"),"")</f>
        <v>水之力散热系统</v>
      </c>
      <c r="L122" t="str">
        <f>IF(表1_5310[[#This Row],[配件1]]&lt;&gt;"",_xlfn.XLOOKUP(表1_5310[[#This Row],[配件1]],显卡利益点对照表新[型号],显卡利益点对照表新[算力],"ERROR"),"")</f>
        <v>AI算力2375 TOPS</v>
      </c>
      <c r="M122" t="str">
        <f>IF(表1_5310[[#This Row],[配件1]]&lt;&gt;"",_xlfn.XLOOKUP(表1_5310[[#This Row],[配件1]],显卡利益点对照表新[型号],显卡利益点对照表新[可显性],"ERROR"),"")</f>
        <v>GV-N509DAORUSX W-32GD</v>
      </c>
      <c r="N12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2" t="str" cm="1">
        <f t="array" ref="Q122">_xlfn.IFS(表1_5310[[#This Row],[配件1]]="","",表1_5310[[#This Row],[文本丨算力丨算力值]]=" ","",表1_5310[[#This Row],[文本丨算力丨算力值]]&lt;&gt;"","算力")</f>
        <v>算力</v>
      </c>
    </row>
    <row r="123" spans="2:17" x14ac:dyDescent="0.2">
      <c r="B123" s="22">
        <v>10143086903709</v>
      </c>
      <c r="C123" t="s">
        <v>1013</v>
      </c>
      <c r="D123" t="s">
        <v>534</v>
      </c>
      <c r="F123" t="str">
        <f>IF(表1_5310[[#This Row],[配件1]]&lt;&gt;"",_xlfn.XLOOKUP(表1_5310[[#This Row],[配件1]],显卡利益点对照表新[型号],显卡利益点对照表新[[芯片组 ]],"ERROR"),"")</f>
        <v>RTX5090D 32G</v>
      </c>
      <c r="G12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超级雕+白金雕电源</v>
      </c>
      <c r="H12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3" t="str">
        <f>IF(表1_5310[[#This Row],[配件1]]&lt;&gt;"",_xlfn.XLOOKUP(表1_5310[[#This Row],[配件1]],显卡利益点对照表新[型号],显卡利益点对照表新[利益点1],"ERROR"),"")</f>
        <v>注册4年保/个人送保</v>
      </c>
      <c r="J123" t="str">
        <f>IF(表1_5310[[#This Row],[配件1]]&lt;&gt;"",_xlfn.XLOOKUP(表1_5310[[#This Row],[配件1]],显卡利益点对照表新[型号],显卡利益点对照表新[利益点2],"ERROR"),"")</f>
        <v>RGB幻彩光轮</v>
      </c>
      <c r="K123" t="str">
        <f>IF(表1_5310[[#This Row],[配件1]]&lt;&gt;"",_xlfn.XLOOKUP(表1_5310[[#This Row],[配件1]],显卡利益点对照表新[型号],显卡利益点对照表新[利益点3],"ERROR"),"")</f>
        <v>水之力散热系统</v>
      </c>
      <c r="L123" t="str">
        <f>IF(表1_5310[[#This Row],[配件1]]&lt;&gt;"",_xlfn.XLOOKUP(表1_5310[[#This Row],[配件1]],显卡利益点对照表新[型号],显卡利益点对照表新[算力],"ERROR"),"")</f>
        <v>AI算力2375 TOPS</v>
      </c>
      <c r="M123" t="str">
        <f>IF(表1_5310[[#This Row],[配件1]]&lt;&gt;"",_xlfn.XLOOKUP(表1_5310[[#This Row],[配件1]],显卡利益点对照表新[型号],显卡利益点对照表新[可显性],"ERROR"),"")</f>
        <v>GV-N509DAORUSX W-32GD</v>
      </c>
      <c r="N12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</v>
      </c>
      <c r="O12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3" t="str" cm="1">
        <f t="array" ref="Q123">_xlfn.IFS(表1_5310[[#This Row],[配件1]]="","",表1_5310[[#This Row],[文本丨算力丨算力值]]=" ","",表1_5310[[#This Row],[文本丨算力丨算力值]]&lt;&gt;"","算力")</f>
        <v>算力</v>
      </c>
    </row>
    <row r="124" spans="2:17" x14ac:dyDescent="0.2">
      <c r="F124" t="str">
        <f>IF(表1_5310[[#This Row],[配件1]]&lt;&gt;"",_xlfn.XLOOKUP(表1_5310[[#This Row],[配件1]],显卡利益点对照表新[型号],显卡利益点对照表新[[芯片组 ]],"ERROR"),"")</f>
        <v/>
      </c>
      <c r="G12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2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24" t="str">
        <f>IF(表1_5310[[#This Row],[配件1]]&lt;&gt;"",_xlfn.XLOOKUP(表1_5310[[#This Row],[配件1]],显卡利益点对照表新[型号],显卡利益点对照表新[利益点1],"ERROR"),"")</f>
        <v/>
      </c>
      <c r="J124" t="str">
        <f>IF(表1_5310[[#This Row],[配件1]]&lt;&gt;"",_xlfn.XLOOKUP(表1_5310[[#This Row],[配件1]],显卡利益点对照表新[型号],显卡利益点对照表新[利益点2],"ERROR"),"")</f>
        <v/>
      </c>
      <c r="K124" t="str">
        <f>IF(表1_5310[[#This Row],[配件1]]&lt;&gt;"",_xlfn.XLOOKUP(表1_5310[[#This Row],[配件1]],显卡利益点对照表新[型号],显卡利益点对照表新[利益点3],"ERROR"),"")</f>
        <v/>
      </c>
      <c r="L124" t="str">
        <f>IF(表1_5310[[#This Row],[配件1]]&lt;&gt;"",_xlfn.XLOOKUP(表1_5310[[#This Row],[配件1]],显卡利益点对照表新[型号],显卡利益点对照表新[算力],"ERROR"),"")</f>
        <v/>
      </c>
      <c r="M124" t="str">
        <f>IF(表1_5310[[#This Row],[配件1]]&lt;&gt;"",_xlfn.XLOOKUP(表1_5310[[#This Row],[配件1]],显卡利益点对照表新[型号],显卡利益点对照表新[可显性],"ERROR"),"")</f>
        <v/>
      </c>
      <c r="N12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4" t="str" cm="1">
        <f t="array" ref="Q124">_xlfn.IFS(表1_5310[[#This Row],[配件1]]="","",表1_5310[[#This Row],[文本丨算力丨算力值]]=" ","",表1_5310[[#This Row],[文本丨算力丨算力值]]&lt;&gt;"","算力")</f>
        <v/>
      </c>
    </row>
    <row r="125" spans="2:17" x14ac:dyDescent="0.2">
      <c r="B125" s="22">
        <v>10140743026016</v>
      </c>
      <c r="C125" t="s">
        <v>430</v>
      </c>
      <c r="D125" t="s">
        <v>468</v>
      </c>
      <c r="F125" t="str">
        <f>IF(表1_5310[[#This Row],[配件1]]&lt;&gt;"",_xlfn.XLOOKUP(表1_5310[[#This Row],[配件1]],显卡利益点对照表新[型号],显卡利益点对照表新[[芯片组 ]],"ERROR"),"")</f>
        <v>RX7650GRE 8G</v>
      </c>
      <c r="G12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25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25" t="str">
        <f>IF(表1_5310[[#This Row],[配件1]]&lt;&gt;"",_xlfn.XLOOKUP(表1_5310[[#This Row],[配件1]],显卡利益点对照表新[型号],显卡利益点对照表新[利益点1],"ERROR"),"")</f>
        <v>三年质保/个人送保</v>
      </c>
      <c r="J125" t="str">
        <f>IF(表1_5310[[#This Row],[配件1]]&lt;&gt;"",_xlfn.XLOOKUP(表1_5310[[#This Row],[配件1]],显卡利益点对照表新[型号],显卡利益点对照表新[利益点2],"ERROR"),"")</f>
        <v>强化金属背板</v>
      </c>
      <c r="K125" t="str">
        <f>IF(表1_5310[[#This Row],[配件1]]&lt;&gt;"",_xlfn.XLOOKUP(表1_5310[[#This Row],[配件1]],显卡利益点对照表新[型号],显卡利益点对照表新[利益点3],"ERROR"),"")</f>
        <v>刀刃式三风扇</v>
      </c>
      <c r="L125" t="str">
        <f>IF(表1_5310[[#This Row],[配件1]]&lt;&gt;"",_xlfn.XLOOKUP(表1_5310[[#This Row],[配件1]],显卡利益点对照表新[型号],显卡利益点对照表新[算力],"ERROR"),"")</f>
        <v xml:space="preserve"> </v>
      </c>
      <c r="M125" t="str">
        <f>IF(表1_5310[[#This Row],[配件1]]&lt;&gt;"",_xlfn.XLOOKUP(表1_5310[[#This Row],[配件1]],显卡利益点对照表新[型号],显卡利益点对照表新[可显性],"ERROR"),"")</f>
        <v>GV-R765GREGAMING OC-8GD</v>
      </c>
      <c r="N12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5" t="str" cm="1">
        <f t="array" ref="Q125">_xlfn.IFS(表1_5310[[#This Row],[配件1]]="","",表1_5310[[#This Row],[文本丨算力丨算力值]]=" ","",表1_5310[[#This Row],[文本丨算力丨算力值]]&lt;&gt;"","算力")</f>
        <v/>
      </c>
    </row>
    <row r="126" spans="2:17" x14ac:dyDescent="0.2">
      <c r="B126" s="22">
        <v>10096820365817</v>
      </c>
      <c r="C126" t="s">
        <v>430</v>
      </c>
      <c r="D126" t="s">
        <v>262</v>
      </c>
      <c r="F126" t="str">
        <f>IF(表1_5310[[#This Row],[配件1]]&lt;&gt;"",_xlfn.XLOOKUP(表1_5310[[#This Row],[配件1]],显卡利益点对照表新[型号],显卡利益点对照表新[[芯片组 ]],"ERROR"),"")</f>
        <v>RX7650GRE 8G</v>
      </c>
      <c r="G12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魔鹰+650W电源</v>
      </c>
      <c r="H12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6" t="str">
        <f>IF(表1_5310[[#This Row],[配件1]]&lt;&gt;"",_xlfn.XLOOKUP(表1_5310[[#This Row],[配件1]],显卡利益点对照表新[型号],显卡利益点对照表新[利益点1],"ERROR"),"")</f>
        <v>三年质保/个人送保</v>
      </c>
      <c r="J126" t="str">
        <f>IF(表1_5310[[#This Row],[配件1]]&lt;&gt;"",_xlfn.XLOOKUP(表1_5310[[#This Row],[配件1]],显卡利益点对照表新[型号],显卡利益点对照表新[利益点2],"ERROR"),"")</f>
        <v>强化金属背板</v>
      </c>
      <c r="K126" t="str">
        <f>IF(表1_5310[[#This Row],[配件1]]&lt;&gt;"",_xlfn.XLOOKUP(表1_5310[[#This Row],[配件1]],显卡利益点对照表新[型号],显卡利益点对照表新[利益点3],"ERROR"),"")</f>
        <v>刀刃式三风扇</v>
      </c>
      <c r="L126" t="str">
        <f>IF(表1_5310[[#This Row],[配件1]]&lt;&gt;"",_xlfn.XLOOKUP(表1_5310[[#This Row],[配件1]],显卡利益点对照表新[型号],显卡利益点对照表新[算力],"ERROR"),"")</f>
        <v xml:space="preserve"> </v>
      </c>
      <c r="M126" t="str">
        <f>IF(表1_5310[[#This Row],[配件1]]&lt;&gt;"",_xlfn.XLOOKUP(表1_5310[[#This Row],[配件1]],显卡利益点对照表新[型号],显卡利益点对照表新[可显性],"ERROR"),"")</f>
        <v>GV-R765GREGAMING OC-8GD</v>
      </c>
      <c r="N12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斗战650S</v>
      </c>
      <c r="O12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6" t="str" cm="1">
        <f t="array" ref="Q126">_xlfn.IFS(表1_5310[[#This Row],[配件1]]="","",表1_5310[[#This Row],[文本丨算力丨算力值]]=" ","",表1_5310[[#This Row],[文本丨算力丨算力值]]&lt;&gt;"","算力")</f>
        <v/>
      </c>
    </row>
    <row r="127" spans="2:17" x14ac:dyDescent="0.2">
      <c r="F127" t="str">
        <f>IF(表1_5310[[#This Row],[配件1]]&lt;&gt;"",_xlfn.XLOOKUP(表1_5310[[#This Row],[配件1]],显卡利益点对照表新[型号],显卡利益点对照表新[[芯片组 ]],"ERROR"),"")</f>
        <v/>
      </c>
      <c r="G12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2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27" t="str">
        <f>IF(表1_5310[[#This Row],[配件1]]&lt;&gt;"",_xlfn.XLOOKUP(表1_5310[[#This Row],[配件1]],显卡利益点对照表新[型号],显卡利益点对照表新[利益点1],"ERROR"),"")</f>
        <v/>
      </c>
      <c r="J127" t="str">
        <f>IF(表1_5310[[#This Row],[配件1]]&lt;&gt;"",_xlfn.XLOOKUP(表1_5310[[#This Row],[配件1]],显卡利益点对照表新[型号],显卡利益点对照表新[利益点2],"ERROR"),"")</f>
        <v/>
      </c>
      <c r="K127" t="str">
        <f>IF(表1_5310[[#This Row],[配件1]]&lt;&gt;"",_xlfn.XLOOKUP(表1_5310[[#This Row],[配件1]],显卡利益点对照表新[型号],显卡利益点对照表新[利益点3],"ERROR"),"")</f>
        <v/>
      </c>
      <c r="L127" t="str">
        <f>IF(表1_5310[[#This Row],[配件1]]&lt;&gt;"",_xlfn.XLOOKUP(表1_5310[[#This Row],[配件1]],显卡利益点对照表新[型号],显卡利益点对照表新[算力],"ERROR"),"")</f>
        <v/>
      </c>
      <c r="M127" t="str">
        <f>IF(表1_5310[[#This Row],[配件1]]&lt;&gt;"",_xlfn.XLOOKUP(表1_5310[[#This Row],[配件1]],显卡利益点对照表新[型号],显卡利益点对照表新[可显性],"ERROR"),"")</f>
        <v/>
      </c>
      <c r="N12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7" t="str" cm="1">
        <f t="array" ref="Q127">_xlfn.IFS(表1_5310[[#This Row],[配件1]]="","",表1_5310[[#This Row],[文本丨算力丨算力值]]=" ","",表1_5310[[#This Row],[文本丨算力丨算力值]]&lt;&gt;"","算力")</f>
        <v/>
      </c>
    </row>
    <row r="128" spans="2:17" x14ac:dyDescent="0.2">
      <c r="B128" s="22">
        <v>10088720881086</v>
      </c>
      <c r="C128" t="s">
        <v>652</v>
      </c>
      <c r="D128" t="s">
        <v>468</v>
      </c>
      <c r="F128" t="str">
        <f>IF(表1_5310[[#This Row],[配件1]]&lt;&gt;"",_xlfn.XLOOKUP(表1_5310[[#This Row],[配件1]],显卡利益点对照表新[型号],显卡利益点对照表新[[芯片组 ]],"ERROR"),"")</f>
        <v>RX7700XT 12G</v>
      </c>
      <c r="G12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2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28" t="str">
        <f>IF(表1_5310[[#This Row],[配件1]]&lt;&gt;"",_xlfn.XLOOKUP(表1_5310[[#This Row],[配件1]],显卡利益点对照表新[型号],显卡利益点对照表新[利益点1],"ERROR"),"")</f>
        <v>三年质保/个人送保</v>
      </c>
      <c r="J128" t="str">
        <f>IF(表1_5310[[#This Row],[配件1]]&lt;&gt;"",_xlfn.XLOOKUP(表1_5310[[#This Row],[配件1]],显卡利益点对照表新[型号],显卡利益点对照表新[利益点2],"ERROR"),"")</f>
        <v>强化金属背板</v>
      </c>
      <c r="K128" t="str">
        <f>IF(表1_5310[[#This Row],[配件1]]&lt;&gt;"",_xlfn.XLOOKUP(表1_5310[[#This Row],[配件1]],显卡利益点对照表新[型号],显卡利益点对照表新[利益点3],"ERROR"),"")</f>
        <v>刀刃式三风扇</v>
      </c>
      <c r="L128" t="str">
        <f>IF(表1_5310[[#This Row],[配件1]]&lt;&gt;"",_xlfn.XLOOKUP(表1_5310[[#This Row],[配件1]],显卡利益点对照表新[型号],显卡利益点对照表新[算力],"ERROR"),"")</f>
        <v xml:space="preserve"> </v>
      </c>
      <c r="M128" t="str">
        <f>IF(表1_5310[[#This Row],[配件1]]&lt;&gt;"",_xlfn.XLOOKUP(表1_5310[[#This Row],[配件1]],显卡利益点对照表新[型号],显卡利益点对照表新[可显性],"ERROR"),"")</f>
        <v>GV-R77XTGAMING OC-12GD</v>
      </c>
      <c r="N12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8" t="str" cm="1">
        <f t="array" ref="Q128">_xlfn.IFS(表1_5310[[#This Row],[配件1]]="","",表1_5310[[#This Row],[文本丨算力丨算力值]]=" ","",表1_5310[[#This Row],[文本丨算力丨算力值]]&lt;&gt;"","算力")</f>
        <v/>
      </c>
    </row>
    <row r="129" spans="2:17" x14ac:dyDescent="0.2">
      <c r="B129" s="22">
        <v>10088720881087</v>
      </c>
      <c r="C129" t="s">
        <v>652</v>
      </c>
      <c r="D129" t="s">
        <v>669</v>
      </c>
      <c r="F129" t="str">
        <f>IF(表1_5310[[#This Row],[配件1]]&lt;&gt;"",_xlfn.XLOOKUP(表1_5310[[#This Row],[配件1]],显卡利益点对照表新[型号],显卡利益点对照表新[[芯片组 ]],"ERROR"),"")</f>
        <v>RX7700XT 12G</v>
      </c>
      <c r="G12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12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9" t="str">
        <f>IF(表1_5310[[#This Row],[配件1]]&lt;&gt;"",_xlfn.XLOOKUP(表1_5310[[#This Row],[配件1]],显卡利益点对照表新[型号],显卡利益点对照表新[利益点1],"ERROR"),"")</f>
        <v>三年质保/个人送保</v>
      </c>
      <c r="J129" t="str">
        <f>IF(表1_5310[[#This Row],[配件1]]&lt;&gt;"",_xlfn.XLOOKUP(表1_5310[[#This Row],[配件1]],显卡利益点对照表新[型号],显卡利益点对照表新[利益点2],"ERROR"),"")</f>
        <v>强化金属背板</v>
      </c>
      <c r="K129" t="str">
        <f>IF(表1_5310[[#This Row],[配件1]]&lt;&gt;"",_xlfn.XLOOKUP(表1_5310[[#This Row],[配件1]],显卡利益点对照表新[型号],显卡利益点对照表新[利益点3],"ERROR"),"")</f>
        <v>刀刃式三风扇</v>
      </c>
      <c r="L129" t="str">
        <f>IF(表1_5310[[#This Row],[配件1]]&lt;&gt;"",_xlfn.XLOOKUP(表1_5310[[#This Row],[配件1]],显卡利益点对照表新[型号],显卡利益点对照表新[算力],"ERROR"),"")</f>
        <v xml:space="preserve"> </v>
      </c>
      <c r="M129" t="str">
        <f>IF(表1_5310[[#This Row],[配件1]]&lt;&gt;"",_xlfn.XLOOKUP(表1_5310[[#This Row],[配件1]],显卡利益点对照表新[型号],显卡利益点对照表新[可显性],"ERROR"),"")</f>
        <v>GV-R77XTGAMING OC-12GD</v>
      </c>
      <c r="N12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12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9" t="str" cm="1">
        <f t="array" ref="Q129">_xlfn.IFS(表1_5310[[#This Row],[配件1]]="","",表1_5310[[#This Row],[文本丨算力丨算力值]]=" ","",表1_5310[[#This Row],[文本丨算力丨算力值]]&lt;&gt;"","算力")</f>
        <v/>
      </c>
    </row>
    <row r="130" spans="2:17" x14ac:dyDescent="0.2">
      <c r="F130" t="str">
        <f>IF(表1_5310[[#This Row],[配件1]]&lt;&gt;"",_xlfn.XLOOKUP(表1_5310[[#This Row],[配件1]],显卡利益点对照表新[型号],显卡利益点对照表新[[芯片组 ]],"ERROR"),"")</f>
        <v/>
      </c>
      <c r="G13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0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0" t="str">
        <f>IF(表1_5310[[#This Row],[配件1]]&lt;&gt;"",_xlfn.XLOOKUP(表1_5310[[#This Row],[配件1]],显卡利益点对照表新[型号],显卡利益点对照表新[利益点1],"ERROR"),"")</f>
        <v/>
      </c>
      <c r="J130" t="str">
        <f>IF(表1_5310[[#This Row],[配件1]]&lt;&gt;"",_xlfn.XLOOKUP(表1_5310[[#This Row],[配件1]],显卡利益点对照表新[型号],显卡利益点对照表新[利益点2],"ERROR"),"")</f>
        <v/>
      </c>
      <c r="K130" t="str">
        <f>IF(表1_5310[[#This Row],[配件1]]&lt;&gt;"",_xlfn.XLOOKUP(表1_5310[[#This Row],[配件1]],显卡利益点对照表新[型号],显卡利益点对照表新[利益点3],"ERROR"),"")</f>
        <v/>
      </c>
      <c r="L130" t="str">
        <f>IF(表1_5310[[#This Row],[配件1]]&lt;&gt;"",_xlfn.XLOOKUP(表1_5310[[#This Row],[配件1]],显卡利益点对照表新[型号],显卡利益点对照表新[算力],"ERROR"),"")</f>
        <v/>
      </c>
      <c r="M130" t="str">
        <f>IF(表1_5310[[#This Row],[配件1]]&lt;&gt;"",_xlfn.XLOOKUP(表1_5310[[#This Row],[配件1]],显卡利益点对照表新[型号],显卡利益点对照表新[可显性],"ERROR"),"")</f>
        <v/>
      </c>
      <c r="N13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0" t="str" cm="1">
        <f t="array" ref="Q130">_xlfn.IFS(表1_5310[[#This Row],[配件1]]="","",表1_5310[[#This Row],[文本丨算力丨算力值]]=" ","",表1_5310[[#This Row],[文本丨算力丨算力值]]&lt;&gt;"","算力")</f>
        <v/>
      </c>
    </row>
    <row r="131" spans="2:17" x14ac:dyDescent="0.2">
      <c r="F131" t="str">
        <f>IF(表1_5310[[#This Row],[配件1]]&lt;&gt;"",_xlfn.XLOOKUP(表1_5310[[#This Row],[配件1]],显卡利益点对照表新[型号],显卡利益点对照表新[[芯片组 ]],"ERROR"),"")</f>
        <v/>
      </c>
      <c r="G13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1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1" t="str">
        <f>IF(表1_5310[[#This Row],[配件1]]&lt;&gt;"",_xlfn.XLOOKUP(表1_5310[[#This Row],[配件1]],显卡利益点对照表新[型号],显卡利益点对照表新[利益点1],"ERROR"),"")</f>
        <v/>
      </c>
      <c r="J131" t="str">
        <f>IF(表1_5310[[#This Row],[配件1]]&lt;&gt;"",_xlfn.XLOOKUP(表1_5310[[#This Row],[配件1]],显卡利益点对照表新[型号],显卡利益点对照表新[利益点2],"ERROR"),"")</f>
        <v/>
      </c>
      <c r="K131" t="str">
        <f>IF(表1_5310[[#This Row],[配件1]]&lt;&gt;"",_xlfn.XLOOKUP(表1_5310[[#This Row],[配件1]],显卡利益点对照表新[型号],显卡利益点对照表新[利益点3],"ERROR"),"")</f>
        <v/>
      </c>
      <c r="L131" t="str">
        <f>IF(表1_5310[[#This Row],[配件1]]&lt;&gt;"",_xlfn.XLOOKUP(表1_5310[[#This Row],[配件1]],显卡利益点对照表新[型号],显卡利益点对照表新[算力],"ERROR"),"")</f>
        <v/>
      </c>
      <c r="M131" t="str">
        <f>IF(表1_5310[[#This Row],[配件1]]&lt;&gt;"",_xlfn.XLOOKUP(表1_5310[[#This Row],[配件1]],显卡利益点对照表新[型号],显卡利益点对照表新[可显性],"ERROR"),"")</f>
        <v/>
      </c>
      <c r="N13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1" t="str" cm="1">
        <f t="array" ref="Q131">_xlfn.IFS(表1_5310[[#This Row],[配件1]]="","",表1_5310[[#This Row],[文本丨算力丨算力值]]=" ","",表1_5310[[#This Row],[文本丨算力丨算力值]]&lt;&gt;"","算力")</f>
        <v/>
      </c>
    </row>
    <row r="132" spans="2:17" x14ac:dyDescent="0.2">
      <c r="B132" s="22">
        <v>10159911757439</v>
      </c>
      <c r="C132" t="s">
        <v>482</v>
      </c>
      <c r="D132" t="s">
        <v>468</v>
      </c>
      <c r="F132" t="str">
        <f>IF(表1_5310[[#This Row],[配件1]]&lt;&gt;"",_xlfn.XLOOKUP(表1_5310[[#This Row],[配件1]],显卡利益点对照表新[型号],显卡利益点对照表新[[芯片组 ]],"ERROR"),"")</f>
        <v>RX9060XT 8G</v>
      </c>
      <c r="G13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3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32" t="str">
        <f>IF(表1_5310[[#This Row],[配件1]]&lt;&gt;"",_xlfn.XLOOKUP(表1_5310[[#This Row],[配件1]],显卡利益点对照表新[型号],显卡利益点对照表新[利益点1],"ERROR"),"")</f>
        <v>RGB滑动侧板</v>
      </c>
      <c r="J132" t="str">
        <f>IF(表1_5310[[#This Row],[配件1]]&lt;&gt;"",_xlfn.XLOOKUP(表1_5310[[#This Row],[配件1]],显卡利益点对照表新[型号],显卡利益点对照表新[利益点2],"ERROR"),"")</f>
        <v>服务器级导热凝胶</v>
      </c>
      <c r="K132" t="str">
        <f>IF(表1_5310[[#This Row],[配件1]]&lt;&gt;"",_xlfn.XLOOKUP(表1_5310[[#This Row],[配件1]],显卡利益点对照表新[型号],显卡利益点对照表新[利益点3],"ERROR"),"")</f>
        <v>正逆转仿生风扇</v>
      </c>
      <c r="L132" t="str">
        <f>IF(表1_5310[[#This Row],[配件1]]&lt;&gt;"",_xlfn.XLOOKUP(表1_5310[[#This Row],[配件1]],显卡利益点对照表新[型号],显卡利益点对照表新[算力],"ERROR"),"")</f>
        <v xml:space="preserve"> </v>
      </c>
      <c r="M132" t="str">
        <f>IF(表1_5310[[#This Row],[配件1]]&lt;&gt;"",_xlfn.XLOOKUP(表1_5310[[#This Row],[配件1]],显卡利益点对照表新[型号],显卡利益点对照表新[可显性],"ERROR"),"")</f>
        <v>GV-R9060XTGAMING-8GD</v>
      </c>
      <c r="N13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2" t="str" cm="1">
        <f t="array" ref="Q132">_xlfn.IFS(表1_5310[[#This Row],[配件1]]="","",表1_5310[[#This Row],[文本丨算力丨算力值]]=" ","",表1_5310[[#This Row],[文本丨算力丨算力值]]&lt;&gt;"","算力")</f>
        <v/>
      </c>
    </row>
    <row r="133" spans="2:17" x14ac:dyDescent="0.2">
      <c r="B133" s="22">
        <v>10159911757440</v>
      </c>
      <c r="C133" t="s">
        <v>482</v>
      </c>
      <c r="D133" t="s">
        <v>469</v>
      </c>
      <c r="F133" t="str">
        <f>IF(表1_5310[[#This Row],[配件1]]&lt;&gt;"",_xlfn.XLOOKUP(表1_5310[[#This Row],[配件1]],显卡利益点对照表新[型号],显卡利益点对照表新[[芯片组 ]],"ERROR"),"")</f>
        <v>RX9060XT 8G</v>
      </c>
      <c r="G13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魔鹰+550W电源</v>
      </c>
      <c r="H13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33" t="str">
        <f>IF(表1_5310[[#This Row],[配件1]]&lt;&gt;"",_xlfn.XLOOKUP(表1_5310[[#This Row],[配件1]],显卡利益点对照表新[型号],显卡利益点对照表新[利益点1],"ERROR"),"")</f>
        <v>RGB滑动侧板</v>
      </c>
      <c r="J133" t="str">
        <f>IF(表1_5310[[#This Row],[配件1]]&lt;&gt;"",_xlfn.XLOOKUP(表1_5310[[#This Row],[配件1]],显卡利益点对照表新[型号],显卡利益点对照表新[利益点2],"ERROR"),"")</f>
        <v>服务器级导热凝胶</v>
      </c>
      <c r="K133" t="str">
        <f>IF(表1_5310[[#This Row],[配件1]]&lt;&gt;"",_xlfn.XLOOKUP(表1_5310[[#This Row],[配件1]],显卡利益点对照表新[型号],显卡利益点对照表新[利益点3],"ERROR"),"")</f>
        <v>正逆转仿生风扇</v>
      </c>
      <c r="L133" t="str">
        <f>IF(表1_5310[[#This Row],[配件1]]&lt;&gt;"",_xlfn.XLOOKUP(表1_5310[[#This Row],[配件1]],显卡利益点对照表新[型号],显卡利益点对照表新[算力],"ERROR"),"")</f>
        <v xml:space="preserve"> </v>
      </c>
      <c r="M133" t="str">
        <f>IF(表1_5310[[#This Row],[配件1]]&lt;&gt;"",_xlfn.XLOOKUP(表1_5310[[#This Row],[配件1]],显卡利益点对照表新[型号],显卡利益点对照表新[可显性],"ERROR"),"")</f>
        <v>GV-R9060XTGAMING-8GD</v>
      </c>
      <c r="N13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13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3" t="str" cm="1">
        <f t="array" ref="Q133">_xlfn.IFS(表1_5310[[#This Row],[配件1]]="","",表1_5310[[#This Row],[文本丨算力丨算力值]]=" ","",表1_5310[[#This Row],[文本丨算力丨算力值]]&lt;&gt;"","算力")</f>
        <v/>
      </c>
    </row>
    <row r="134" spans="2:17" x14ac:dyDescent="0.2">
      <c r="B134" s="22">
        <v>10159911757441</v>
      </c>
      <c r="C134" t="s">
        <v>483</v>
      </c>
      <c r="D134" t="s">
        <v>468</v>
      </c>
      <c r="F134" t="str">
        <f>IF(表1_5310[[#This Row],[配件1]]&lt;&gt;"",_xlfn.XLOOKUP(表1_5310[[#This Row],[配件1]],显卡利益点对照表新[型号],显卡利益点对照表新[[芯片组 ]],"ERROR"),"")</f>
        <v>RX9060XT 16G</v>
      </c>
      <c r="G13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3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34" t="str">
        <f>IF(表1_5310[[#This Row],[配件1]]&lt;&gt;"",_xlfn.XLOOKUP(表1_5310[[#This Row],[配件1]],显卡利益点对照表新[型号],显卡利益点对照表新[利益点1],"ERROR"),"")</f>
        <v>RGB滑动侧板</v>
      </c>
      <c r="J134" t="str">
        <f>IF(表1_5310[[#This Row],[配件1]]&lt;&gt;"",_xlfn.XLOOKUP(表1_5310[[#This Row],[配件1]],显卡利益点对照表新[型号],显卡利益点对照表新[利益点2],"ERROR"),"")</f>
        <v>服务器级导热凝胶</v>
      </c>
      <c r="K134" t="str">
        <f>IF(表1_5310[[#This Row],[配件1]]&lt;&gt;"",_xlfn.XLOOKUP(表1_5310[[#This Row],[配件1]],显卡利益点对照表新[型号],显卡利益点对照表新[利益点3],"ERROR"),"")</f>
        <v>正逆转仿生风扇</v>
      </c>
      <c r="L134" t="str">
        <f>IF(表1_5310[[#This Row],[配件1]]&lt;&gt;"",_xlfn.XLOOKUP(表1_5310[[#This Row],[配件1]],显卡利益点对照表新[型号],显卡利益点对照表新[算力],"ERROR"),"")</f>
        <v xml:space="preserve"> </v>
      </c>
      <c r="M134" t="str">
        <f>IF(表1_5310[[#This Row],[配件1]]&lt;&gt;"",_xlfn.XLOOKUP(表1_5310[[#This Row],[配件1]],显卡利益点对照表新[型号],显卡利益点对照表新[可显性],"ERROR"),"")</f>
        <v>GV-R9060XTGAMING-16GD</v>
      </c>
      <c r="N13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4" t="str" cm="1">
        <f t="array" ref="Q134">_xlfn.IFS(表1_5310[[#This Row],[配件1]]="","",表1_5310[[#This Row],[文本丨算力丨算力值]]=" ","",表1_5310[[#This Row],[文本丨算力丨算力值]]&lt;&gt;"","算力")</f>
        <v/>
      </c>
    </row>
    <row r="135" spans="2:17" x14ac:dyDescent="0.2">
      <c r="B135" s="22">
        <v>10159911757442</v>
      </c>
      <c r="C135" t="s">
        <v>483</v>
      </c>
      <c r="D135" t="s">
        <v>469</v>
      </c>
      <c r="F135" t="str">
        <f>IF(表1_5310[[#This Row],[配件1]]&lt;&gt;"",_xlfn.XLOOKUP(表1_5310[[#This Row],[配件1]],显卡利益点对照表新[型号],显卡利益点对照表新[[芯片组 ]],"ERROR"),"")</f>
        <v>RX9060XT 16G</v>
      </c>
      <c r="G13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魔鹰+550W电源</v>
      </c>
      <c r="H13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35" t="str">
        <f>IF(表1_5310[[#This Row],[配件1]]&lt;&gt;"",_xlfn.XLOOKUP(表1_5310[[#This Row],[配件1]],显卡利益点对照表新[型号],显卡利益点对照表新[利益点1],"ERROR"),"")</f>
        <v>RGB滑动侧板</v>
      </c>
      <c r="J135" t="str">
        <f>IF(表1_5310[[#This Row],[配件1]]&lt;&gt;"",_xlfn.XLOOKUP(表1_5310[[#This Row],[配件1]],显卡利益点对照表新[型号],显卡利益点对照表新[利益点2],"ERROR"),"")</f>
        <v>服务器级导热凝胶</v>
      </c>
      <c r="K135" t="str">
        <f>IF(表1_5310[[#This Row],[配件1]]&lt;&gt;"",_xlfn.XLOOKUP(表1_5310[[#This Row],[配件1]],显卡利益点对照表新[型号],显卡利益点对照表新[利益点3],"ERROR"),"")</f>
        <v>正逆转仿生风扇</v>
      </c>
      <c r="L135" t="str">
        <f>IF(表1_5310[[#This Row],[配件1]]&lt;&gt;"",_xlfn.XLOOKUP(表1_5310[[#This Row],[配件1]],显卡利益点对照表新[型号],显卡利益点对照表新[算力],"ERROR"),"")</f>
        <v xml:space="preserve"> </v>
      </c>
      <c r="M135" t="str">
        <f>IF(表1_5310[[#This Row],[配件1]]&lt;&gt;"",_xlfn.XLOOKUP(表1_5310[[#This Row],[配件1]],显卡利益点对照表新[型号],显卡利益点对照表新[可显性],"ERROR"),"")</f>
        <v>GV-R9060XTGAMING-16GD</v>
      </c>
      <c r="N13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13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5" t="str" cm="1">
        <f t="array" ref="Q135">_xlfn.IFS(表1_5310[[#This Row],[配件1]]="","",表1_5310[[#This Row],[文本丨算力丨算力值]]=" ","",表1_5310[[#This Row],[文本丨算力丨算力值]]&lt;&gt;"","算力")</f>
        <v/>
      </c>
    </row>
    <row r="136" spans="2:17" x14ac:dyDescent="0.2">
      <c r="F136" t="str">
        <f>IF(表1_5310[[#This Row],[配件1]]&lt;&gt;"",_xlfn.XLOOKUP(表1_5310[[#This Row],[配件1]],显卡利益点对照表新[型号],显卡利益点对照表新[[芯片组 ]],"ERROR"),"")</f>
        <v/>
      </c>
      <c r="G13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6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6" t="str">
        <f>IF(表1_5310[[#This Row],[配件1]]&lt;&gt;"",_xlfn.XLOOKUP(表1_5310[[#This Row],[配件1]],显卡利益点对照表新[型号],显卡利益点对照表新[利益点1],"ERROR"),"")</f>
        <v/>
      </c>
      <c r="J136" t="str">
        <f>IF(表1_5310[[#This Row],[配件1]]&lt;&gt;"",_xlfn.XLOOKUP(表1_5310[[#This Row],[配件1]],显卡利益点对照表新[型号],显卡利益点对照表新[利益点2],"ERROR"),"")</f>
        <v/>
      </c>
      <c r="K136" t="str">
        <f>IF(表1_5310[[#This Row],[配件1]]&lt;&gt;"",_xlfn.XLOOKUP(表1_5310[[#This Row],[配件1]],显卡利益点对照表新[型号],显卡利益点对照表新[利益点3],"ERROR"),"")</f>
        <v/>
      </c>
      <c r="L136" t="str">
        <f>IF(表1_5310[[#This Row],[配件1]]&lt;&gt;"",_xlfn.XLOOKUP(表1_5310[[#This Row],[配件1]],显卡利益点对照表新[型号],显卡利益点对照表新[算力],"ERROR"),"")</f>
        <v/>
      </c>
      <c r="M136" t="str">
        <f>IF(表1_5310[[#This Row],[配件1]]&lt;&gt;"",_xlfn.XLOOKUP(表1_5310[[#This Row],[配件1]],显卡利益点对照表新[型号],显卡利益点对照表新[可显性],"ERROR"),"")</f>
        <v/>
      </c>
      <c r="N13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6" t="str" cm="1">
        <f t="array" ref="Q136">_xlfn.IFS(表1_5310[[#This Row],[配件1]]="","",表1_5310[[#This Row],[文本丨算力丨算力值]]=" ","",表1_5310[[#This Row],[文本丨算力丨算力值]]&lt;&gt;"","算力")</f>
        <v/>
      </c>
    </row>
    <row r="137" spans="2:17" x14ac:dyDescent="0.2">
      <c r="B137" s="22">
        <v>10169077402819</v>
      </c>
      <c r="C137" t="s">
        <v>426</v>
      </c>
      <c r="D137" t="s">
        <v>468</v>
      </c>
      <c r="F137" t="str">
        <f>IF(表1_5310[[#This Row],[配件1]]&lt;&gt;"",_xlfn.XLOOKUP(表1_5310[[#This Row],[配件1]],显卡利益点对照表新[型号],显卡利益点对照表新[[芯片组 ]],"ERROR"),"")</f>
        <v>RX9070GRE 12G</v>
      </c>
      <c r="G13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3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37" t="str">
        <f>IF(表1_5310[[#This Row],[配件1]]&lt;&gt;"",_xlfn.XLOOKUP(表1_5310[[#This Row],[配件1]],显卡利益点对照表新[型号],显卡利益点对照表新[利益点1],"ERROR"),"")</f>
        <v>双BIOS模式</v>
      </c>
      <c r="J137" t="str">
        <f>IF(表1_5310[[#This Row],[配件1]]&lt;&gt;"",_xlfn.XLOOKUP(表1_5310[[#This Row],[配件1]],显卡利益点对照表新[型号],显卡利益点对照表新[利益点2],"ERROR"),"")</f>
        <v>服务器级导热凝胶</v>
      </c>
      <c r="K137" t="str">
        <f>IF(表1_5310[[#This Row],[配件1]]&lt;&gt;"",_xlfn.XLOOKUP(表1_5310[[#This Row],[配件1]],显卡利益点对照表新[型号],显卡利益点对照表新[利益点3],"ERROR"),"")</f>
        <v>正逆转仿生风扇</v>
      </c>
      <c r="L137" t="str">
        <f>IF(表1_5310[[#This Row],[配件1]]&lt;&gt;"",_xlfn.XLOOKUP(表1_5310[[#This Row],[配件1]],显卡利益点对照表新[型号],显卡利益点对照表新[算力],"ERROR"),"")</f>
        <v xml:space="preserve"> </v>
      </c>
      <c r="M137" t="str">
        <f>IF(表1_5310[[#This Row],[配件1]]&lt;&gt;"",_xlfn.XLOOKUP(表1_5310[[#This Row],[配件1]],显卡利益点对照表新[型号],显卡利益点对照表新[可显性],"ERROR"),"")</f>
        <v>GV-R907GREGAMING OC-12GD</v>
      </c>
      <c r="N13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7" t="str" cm="1">
        <f t="array" ref="Q137">_xlfn.IFS(表1_5310[[#This Row],[配件1]]="","",表1_5310[[#This Row],[文本丨算力丨算力值]]=" ","",表1_5310[[#This Row],[文本丨算力丨算力值]]&lt;&gt;"","算力")</f>
        <v/>
      </c>
    </row>
    <row r="138" spans="2:17" x14ac:dyDescent="0.2">
      <c r="B138" s="22">
        <v>10169077402820</v>
      </c>
      <c r="C138" t="s">
        <v>426</v>
      </c>
      <c r="D138" t="s">
        <v>669</v>
      </c>
      <c r="F138" t="str">
        <f>IF(表1_5310[[#This Row],[配件1]]&lt;&gt;"",_xlfn.XLOOKUP(表1_5310[[#This Row],[配件1]],显卡利益点对照表新[型号],显卡利益点对照表新[[芯片组 ]],"ERROR"),"")</f>
        <v>RX9070GRE 12G</v>
      </c>
      <c r="G13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13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38" t="str">
        <f>IF(表1_5310[[#This Row],[配件1]]&lt;&gt;"",_xlfn.XLOOKUP(表1_5310[[#This Row],[配件1]],显卡利益点对照表新[型号],显卡利益点对照表新[利益点1],"ERROR"),"")</f>
        <v>双BIOS模式</v>
      </c>
      <c r="J138" t="str">
        <f>IF(表1_5310[[#This Row],[配件1]]&lt;&gt;"",_xlfn.XLOOKUP(表1_5310[[#This Row],[配件1]],显卡利益点对照表新[型号],显卡利益点对照表新[利益点2],"ERROR"),"")</f>
        <v>服务器级导热凝胶</v>
      </c>
      <c r="K138" t="str">
        <f>IF(表1_5310[[#This Row],[配件1]]&lt;&gt;"",_xlfn.XLOOKUP(表1_5310[[#This Row],[配件1]],显卡利益点对照表新[型号],显卡利益点对照表新[利益点3],"ERROR"),"")</f>
        <v>正逆转仿生风扇</v>
      </c>
      <c r="L138" t="str">
        <f>IF(表1_5310[[#This Row],[配件1]]&lt;&gt;"",_xlfn.XLOOKUP(表1_5310[[#This Row],[配件1]],显卡利益点对照表新[型号],显卡利益点对照表新[算力],"ERROR"),"")</f>
        <v xml:space="preserve"> </v>
      </c>
      <c r="M138" t="str">
        <f>IF(表1_5310[[#This Row],[配件1]]&lt;&gt;"",_xlfn.XLOOKUP(表1_5310[[#This Row],[配件1]],显卡利益点对照表新[型号],显卡利益点对照表新[可显性],"ERROR"),"")</f>
        <v>GV-R907GREGAMING OC-12GD</v>
      </c>
      <c r="N13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13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8" t="str" cm="1">
        <f t="array" ref="Q138">_xlfn.IFS(表1_5310[[#This Row],[配件1]]="","",表1_5310[[#This Row],[文本丨算力丨算力值]]=" ","",表1_5310[[#This Row],[文本丨算力丨算力值]]&lt;&gt;"","算力")</f>
        <v/>
      </c>
    </row>
    <row r="139" spans="2:17" x14ac:dyDescent="0.2">
      <c r="F139" t="str">
        <f>IF(表1_5310[[#This Row],[配件1]]&lt;&gt;"",_xlfn.XLOOKUP(表1_5310[[#This Row],[配件1]],显卡利益点对照表新[型号],显卡利益点对照表新[[芯片组 ]],"ERROR"),"")</f>
        <v/>
      </c>
      <c r="G13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9" t="str">
        <f>IF(表1_5310[[#This Row],[配件1]]&lt;&gt;"",_xlfn.XLOOKUP(表1_5310[[#This Row],[配件1]],显卡利益点对照表新[型号],显卡利益点对照表新[利益点1],"ERROR"),"")</f>
        <v/>
      </c>
      <c r="J139" t="str">
        <f>IF(表1_5310[[#This Row],[配件1]]&lt;&gt;"",_xlfn.XLOOKUP(表1_5310[[#This Row],[配件1]],显卡利益点对照表新[型号],显卡利益点对照表新[利益点2],"ERROR"),"")</f>
        <v/>
      </c>
      <c r="K139" t="str">
        <f>IF(表1_5310[[#This Row],[配件1]]&lt;&gt;"",_xlfn.XLOOKUP(表1_5310[[#This Row],[配件1]],显卡利益点对照表新[型号],显卡利益点对照表新[利益点3],"ERROR"),"")</f>
        <v/>
      </c>
      <c r="L139" t="str">
        <f>IF(表1_5310[[#This Row],[配件1]]&lt;&gt;"",_xlfn.XLOOKUP(表1_5310[[#This Row],[配件1]],显卡利益点对照表新[型号],显卡利益点对照表新[算力],"ERROR"),"")</f>
        <v/>
      </c>
      <c r="M139" t="str">
        <f>IF(表1_5310[[#This Row],[配件1]]&lt;&gt;"",_xlfn.XLOOKUP(表1_5310[[#This Row],[配件1]],显卡利益点对照表新[型号],显卡利益点对照表新[可显性],"ERROR"),"")</f>
        <v/>
      </c>
      <c r="N13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9" t="str" cm="1">
        <f t="array" ref="Q139">_xlfn.IFS(表1_5310[[#This Row],[配件1]]="","",表1_5310[[#This Row],[文本丨算力丨算力值]]=" ","",表1_5310[[#This Row],[文本丨算力丨算力值]]&lt;&gt;"","算力")</f>
        <v/>
      </c>
    </row>
    <row r="140" spans="2:17" x14ac:dyDescent="0.2">
      <c r="B140" s="22">
        <v>10140743614398</v>
      </c>
      <c r="C140" t="s">
        <v>427</v>
      </c>
      <c r="D140" t="s">
        <v>468</v>
      </c>
      <c r="F140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4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0" t="str">
        <f>IF(表1_5310[[#This Row],[配件1]]&lt;&gt;"",_xlfn.XLOOKUP(表1_5310[[#This Row],[配件1]],显卡利益点对照表新[型号],显卡利益点对照表新[利益点1],"ERROR"),"")</f>
        <v>双BIOS模式</v>
      </c>
      <c r="J140" t="str">
        <f>IF(表1_5310[[#This Row],[配件1]]&lt;&gt;"",_xlfn.XLOOKUP(表1_5310[[#This Row],[配件1]],显卡利益点对照表新[型号],显卡利益点对照表新[利益点2],"ERROR"),"")</f>
        <v>服务器级导热凝胶</v>
      </c>
      <c r="K140" t="str">
        <f>IF(表1_5310[[#This Row],[配件1]]&lt;&gt;"",_xlfn.XLOOKUP(表1_5310[[#This Row],[配件1]],显卡利益点对照表新[型号],显卡利益点对照表新[利益点3],"ERROR"),"")</f>
        <v>正逆转仿生风扇</v>
      </c>
      <c r="L140" t="str">
        <f>IF(表1_5310[[#This Row],[配件1]]&lt;&gt;"",_xlfn.XLOOKUP(表1_5310[[#This Row],[配件1]],显卡利益点对照表新[型号],显卡利益点对照表新[算力],"ERROR"),"")</f>
        <v xml:space="preserve"> </v>
      </c>
      <c r="M140" t="str">
        <f>IF(表1_5310[[#This Row],[配件1]]&lt;&gt;"",_xlfn.XLOOKUP(表1_5310[[#This Row],[配件1]],显卡利益点对照表新[型号],显卡利益点对照表新[可显性],"ERROR"),"")</f>
        <v>GV-R9070GAMING OC</v>
      </c>
      <c r="N14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0" t="str" cm="1">
        <f t="array" ref="Q140">_xlfn.IFS(表1_5310[[#This Row],[配件1]]="","",表1_5310[[#This Row],[文本丨算力丨算力值]]=" ","",表1_5310[[#This Row],[文本丨算力丨算力值]]&lt;&gt;"","算力")</f>
        <v/>
      </c>
    </row>
    <row r="141" spans="2:17" x14ac:dyDescent="0.2">
      <c r="B141" s="22">
        <v>10140743614399</v>
      </c>
      <c r="C141" t="s">
        <v>427</v>
      </c>
      <c r="D141" t="s">
        <v>669</v>
      </c>
      <c r="F141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4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14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41" t="str">
        <f>IF(表1_5310[[#This Row],[配件1]]&lt;&gt;"",_xlfn.XLOOKUP(表1_5310[[#This Row],[配件1]],显卡利益点对照表新[型号],显卡利益点对照表新[利益点1],"ERROR"),"")</f>
        <v>双BIOS模式</v>
      </c>
      <c r="J141" t="str">
        <f>IF(表1_5310[[#This Row],[配件1]]&lt;&gt;"",_xlfn.XLOOKUP(表1_5310[[#This Row],[配件1]],显卡利益点对照表新[型号],显卡利益点对照表新[利益点2],"ERROR"),"")</f>
        <v>服务器级导热凝胶</v>
      </c>
      <c r="K141" t="str">
        <f>IF(表1_5310[[#This Row],[配件1]]&lt;&gt;"",_xlfn.XLOOKUP(表1_5310[[#This Row],[配件1]],显卡利益点对照表新[型号],显卡利益点对照表新[利益点3],"ERROR"),"")</f>
        <v>正逆转仿生风扇</v>
      </c>
      <c r="L141" t="str">
        <f>IF(表1_5310[[#This Row],[配件1]]&lt;&gt;"",_xlfn.XLOOKUP(表1_5310[[#This Row],[配件1]],显卡利益点对照表新[型号],显卡利益点对照表新[算力],"ERROR"),"")</f>
        <v xml:space="preserve"> </v>
      </c>
      <c r="M141" t="str">
        <f>IF(表1_5310[[#This Row],[配件1]]&lt;&gt;"",_xlfn.XLOOKUP(表1_5310[[#This Row],[配件1]],显卡利益点对照表新[型号],显卡利益点对照表新[可显性],"ERROR"),"")</f>
        <v>GV-R9070GAMING OC</v>
      </c>
      <c r="N14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14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1" t="str" cm="1">
        <f t="array" ref="Q141">_xlfn.IFS(表1_5310[[#This Row],[配件1]]="","",表1_5310[[#This Row],[文本丨算力丨算力值]]=" ","",表1_5310[[#This Row],[文本丨算力丨算力值]]&lt;&gt;"","算力")</f>
        <v/>
      </c>
    </row>
    <row r="142" spans="2:17" x14ac:dyDescent="0.2">
      <c r="B142" s="22">
        <v>10140743614400</v>
      </c>
      <c r="C142" t="s">
        <v>428</v>
      </c>
      <c r="D142" t="s">
        <v>468</v>
      </c>
      <c r="F142" t="str">
        <f>IF(表1_5310[[#This Row],[配件1]]&lt;&gt;"",_xlfn.XLOOKUP(表1_5310[[#This Row],[配件1]],显卡利益点对照表新[型号],显卡利益点对照表新[[芯片组 ]],"ERROR"),"")</f>
        <v>RX9070XT 16G</v>
      </c>
      <c r="G14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2" t="str">
        <f>IF(表1_5310[[#This Row],[配件1]]&lt;&gt;"",_xlfn.XLOOKUP(表1_5310[[#This Row],[配件1]],显卡利益点对照表新[型号],显卡利益点对照表新[利益点1],"ERROR"),"")</f>
        <v>双BIOS模式</v>
      </c>
      <c r="J142" t="str">
        <f>IF(表1_5310[[#This Row],[配件1]]&lt;&gt;"",_xlfn.XLOOKUP(表1_5310[[#This Row],[配件1]],显卡利益点对照表新[型号],显卡利益点对照表新[利益点2],"ERROR"),"")</f>
        <v>服务器级导热凝胶</v>
      </c>
      <c r="K142" t="str">
        <f>IF(表1_5310[[#This Row],[配件1]]&lt;&gt;"",_xlfn.XLOOKUP(表1_5310[[#This Row],[配件1]],显卡利益点对照表新[型号],显卡利益点对照表新[利益点3],"ERROR"),"")</f>
        <v>正逆转仿生风扇</v>
      </c>
      <c r="L142" t="str">
        <f>IF(表1_5310[[#This Row],[配件1]]&lt;&gt;"",_xlfn.XLOOKUP(表1_5310[[#This Row],[配件1]],显卡利益点对照表新[型号],显卡利益点对照表新[算力],"ERROR"),"")</f>
        <v xml:space="preserve"> </v>
      </c>
      <c r="M142" t="str">
        <f>IF(表1_5310[[#This Row],[配件1]]&lt;&gt;"",_xlfn.XLOOKUP(表1_5310[[#This Row],[配件1]],显卡利益点对照表新[型号],显卡利益点对照表新[可显性],"ERROR"),"")</f>
        <v>GV-R9070XTGAMING OC</v>
      </c>
      <c r="N14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2" t="str" cm="1">
        <f t="array" ref="Q142">_xlfn.IFS(表1_5310[[#This Row],[配件1]]="","",表1_5310[[#This Row],[文本丨算力丨算力值]]=" ","",表1_5310[[#This Row],[文本丨算力丨算力值]]&lt;&gt;"","算力")</f>
        <v/>
      </c>
    </row>
    <row r="143" spans="2:17" x14ac:dyDescent="0.2">
      <c r="B143" s="22">
        <v>10140743614401</v>
      </c>
      <c r="C143" t="s">
        <v>428</v>
      </c>
      <c r="D143" t="s">
        <v>217</v>
      </c>
      <c r="F143" t="str">
        <f>IF(表1_5310[[#This Row],[配件1]]&lt;&gt;"",_xlfn.XLOOKUP(表1_5310[[#This Row],[配件1]],显卡利益点对照表新[型号],显卡利益点对照表新[[芯片组 ]],"ERROR"),"")</f>
        <v>RX9070XT 16G</v>
      </c>
      <c r="G14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魔鹰+850W模组电源</v>
      </c>
      <c r="H14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43" t="str">
        <f>IF(表1_5310[[#This Row],[配件1]]&lt;&gt;"",_xlfn.XLOOKUP(表1_5310[[#This Row],[配件1]],显卡利益点对照表新[型号],显卡利益点对照表新[利益点1],"ERROR"),"")</f>
        <v>双BIOS模式</v>
      </c>
      <c r="J143" t="str">
        <f>IF(表1_5310[[#This Row],[配件1]]&lt;&gt;"",_xlfn.XLOOKUP(表1_5310[[#This Row],[配件1]],显卡利益点对照表新[型号],显卡利益点对照表新[利益点2],"ERROR"),"")</f>
        <v>服务器级导热凝胶</v>
      </c>
      <c r="K143" t="str">
        <f>IF(表1_5310[[#This Row],[配件1]]&lt;&gt;"",_xlfn.XLOOKUP(表1_5310[[#This Row],[配件1]],显卡利益点对照表新[型号],显卡利益点对照表新[利益点3],"ERROR"),"")</f>
        <v>正逆转仿生风扇</v>
      </c>
      <c r="L143" t="str">
        <f>IF(表1_5310[[#This Row],[配件1]]&lt;&gt;"",_xlfn.XLOOKUP(表1_5310[[#This Row],[配件1]],显卡利益点对照表新[型号],显卡利益点对照表新[算力],"ERROR"),"")</f>
        <v xml:space="preserve"> </v>
      </c>
      <c r="M143" t="str">
        <f>IF(表1_5310[[#This Row],[配件1]]&lt;&gt;"",_xlfn.XLOOKUP(表1_5310[[#This Row],[配件1]],显卡利益点对照表新[型号],显卡利益点对照表新[可显性],"ERROR"),"")</f>
        <v>GV-R9070XTGAMING OC</v>
      </c>
      <c r="N14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</v>
      </c>
      <c r="O14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3" t="str" cm="1">
        <f t="array" ref="Q143">_xlfn.IFS(表1_5310[[#This Row],[配件1]]="","",表1_5310[[#This Row],[文本丨算力丨算力值]]=" ","",表1_5310[[#This Row],[文本丨算力丨算力值]]&lt;&gt;"","算力")</f>
        <v/>
      </c>
    </row>
    <row r="144" spans="2:17" x14ac:dyDescent="0.2">
      <c r="B144" s="22">
        <v>10140743614402</v>
      </c>
      <c r="C144" t="s">
        <v>429</v>
      </c>
      <c r="D144" t="s">
        <v>468</v>
      </c>
      <c r="F144" t="str">
        <f>IF(表1_5310[[#This Row],[配件1]]&lt;&gt;"",_xlfn.XLOOKUP(表1_5310[[#This Row],[配件1]],显卡利益点对照表新[型号],显卡利益点对照表新[[芯片组 ]],"ERROR"),"")</f>
        <v>RX9070XT 16G</v>
      </c>
      <c r="G14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144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144" t="str">
        <f>IF(表1_5310[[#This Row],[配件1]]&lt;&gt;"",_xlfn.XLOOKUP(表1_5310[[#This Row],[配件1]],显卡利益点对照表新[型号],显卡利益点对照表新[利益点1],"ERROR"),"")</f>
        <v>注册4年保/个人送保</v>
      </c>
      <c r="J144" t="str">
        <f>IF(表1_5310[[#This Row],[配件1]]&lt;&gt;"",_xlfn.XLOOKUP(表1_5310[[#This Row],[配件1]],显卡利益点对照表新[型号],显卡利益点对照表新[利益点2],"ERROR"),"")</f>
        <v>服务器级导热凝胶</v>
      </c>
      <c r="K144" t="str">
        <f>IF(表1_5310[[#This Row],[配件1]]&lt;&gt;"",_xlfn.XLOOKUP(表1_5310[[#This Row],[配件1]],显卡利益点对照表新[型号],显卡利益点对照表新[利益点3],"ERROR"),"")</f>
        <v>RGB幻彩光轮</v>
      </c>
      <c r="L144" t="str">
        <f>IF(表1_5310[[#This Row],[配件1]]&lt;&gt;"",_xlfn.XLOOKUP(表1_5310[[#This Row],[配件1]],显卡利益点对照表新[型号],显卡利益点对照表新[算力],"ERROR"),"")</f>
        <v xml:space="preserve"> </v>
      </c>
      <c r="M144" t="str">
        <f>IF(表1_5310[[#This Row],[配件1]]&lt;&gt;"",_xlfn.XLOOKUP(表1_5310[[#This Row],[配件1]],显卡利益点对照表新[型号],显卡利益点对照表新[可显性],"ERROR"),"")</f>
        <v>GV-R9070XTAORUS E</v>
      </c>
      <c r="N14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4" t="str" cm="1">
        <f t="array" ref="Q144">_xlfn.IFS(表1_5310[[#This Row],[配件1]]="","",表1_5310[[#This Row],[文本丨算力丨算力值]]=" ","",表1_5310[[#This Row],[文本丨算力丨算力值]]&lt;&gt;"","算力")</f>
        <v/>
      </c>
    </row>
    <row r="145" spans="2:17" x14ac:dyDescent="0.2">
      <c r="B145" s="22">
        <v>10140743614403</v>
      </c>
      <c r="C145" t="s">
        <v>429</v>
      </c>
      <c r="D145" t="s">
        <v>217</v>
      </c>
      <c r="F145" t="str">
        <f>IF(表1_5310[[#This Row],[配件1]]&lt;&gt;"",_xlfn.XLOOKUP(表1_5310[[#This Row],[配件1]],显卡利益点对照表新[型号],显卡利益点对照表新[[芯片组 ]],"ERROR"),"")</f>
        <v>RX9070XT 16G</v>
      </c>
      <c r="G14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小雕+850W模组电源</v>
      </c>
      <c r="H14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45" t="str">
        <f>IF(表1_5310[[#This Row],[配件1]]&lt;&gt;"",_xlfn.XLOOKUP(表1_5310[[#This Row],[配件1]],显卡利益点对照表新[型号],显卡利益点对照表新[利益点1],"ERROR"),"")</f>
        <v>注册4年保/个人送保</v>
      </c>
      <c r="J145" t="str">
        <f>IF(表1_5310[[#This Row],[配件1]]&lt;&gt;"",_xlfn.XLOOKUP(表1_5310[[#This Row],[配件1]],显卡利益点对照表新[型号],显卡利益点对照表新[利益点2],"ERROR"),"")</f>
        <v>服务器级导热凝胶</v>
      </c>
      <c r="K145" t="str">
        <f>IF(表1_5310[[#This Row],[配件1]]&lt;&gt;"",_xlfn.XLOOKUP(表1_5310[[#This Row],[配件1]],显卡利益点对照表新[型号],显卡利益点对照表新[利益点3],"ERROR"),"")</f>
        <v>RGB幻彩光轮</v>
      </c>
      <c r="L145" t="str">
        <f>IF(表1_5310[[#This Row],[配件1]]&lt;&gt;"",_xlfn.XLOOKUP(表1_5310[[#This Row],[配件1]],显卡利益点对照表新[型号],显卡利益点对照表新[算力],"ERROR"),"")</f>
        <v xml:space="preserve"> </v>
      </c>
      <c r="M145" t="str">
        <f>IF(表1_5310[[#This Row],[配件1]]&lt;&gt;"",_xlfn.XLOOKUP(表1_5310[[#This Row],[配件1]],显卡利益点对照表新[型号],显卡利益点对照表新[可显性],"ERROR"),"")</f>
        <v>GV-R9070XTAORUS E</v>
      </c>
      <c r="N14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</v>
      </c>
      <c r="O14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5" t="str" cm="1">
        <f t="array" ref="Q145">_xlfn.IFS(表1_5310[[#This Row],[配件1]]="","",表1_5310[[#This Row],[文本丨算力丨算力值]]=" ","",表1_5310[[#This Row],[文本丨算力丨算力值]]&lt;&gt;"","算力")</f>
        <v/>
      </c>
    </row>
    <row r="146" spans="2:17" x14ac:dyDescent="0.2">
      <c r="F146" t="str">
        <f>IF(表1_5310[[#This Row],[配件1]]&lt;&gt;"",_xlfn.XLOOKUP(表1_5310[[#This Row],[配件1]],显卡利益点对照表新[型号],显卡利益点对照表新[[芯片组 ]],"ERROR"),"")</f>
        <v/>
      </c>
      <c r="G14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46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46" t="str">
        <f>IF(表1_5310[[#This Row],[配件1]]&lt;&gt;"",_xlfn.XLOOKUP(表1_5310[[#This Row],[配件1]],显卡利益点对照表新[型号],显卡利益点对照表新[利益点1],"ERROR"),"")</f>
        <v/>
      </c>
      <c r="J146" t="str">
        <f>IF(表1_5310[[#This Row],[配件1]]&lt;&gt;"",_xlfn.XLOOKUP(表1_5310[[#This Row],[配件1]],显卡利益点对照表新[型号],显卡利益点对照表新[利益点2],"ERROR"),"")</f>
        <v/>
      </c>
      <c r="K146" t="str">
        <f>IF(表1_5310[[#This Row],[配件1]]&lt;&gt;"",_xlfn.XLOOKUP(表1_5310[[#This Row],[配件1]],显卡利益点对照表新[型号],显卡利益点对照表新[利益点3],"ERROR"),"")</f>
        <v/>
      </c>
      <c r="L146" t="str">
        <f>IF(表1_5310[[#This Row],[配件1]]&lt;&gt;"",_xlfn.XLOOKUP(表1_5310[[#This Row],[配件1]],显卡利益点对照表新[型号],显卡利益点对照表新[算力],"ERROR"),"")</f>
        <v/>
      </c>
      <c r="M146" t="str">
        <f>IF(表1_5310[[#This Row],[配件1]]&lt;&gt;"",_xlfn.XLOOKUP(表1_5310[[#This Row],[配件1]],显卡利益点对照表新[型号],显卡利益点对照表新[可显性],"ERROR"),"")</f>
        <v/>
      </c>
      <c r="N14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6" t="str" cm="1">
        <f t="array" ref="Q146">_xlfn.IFS(表1_5310[[#This Row],[配件1]]="","",表1_5310[[#This Row],[文本丨算力丨算力值]]=" ","",表1_5310[[#This Row],[文本丨算力丨算力值]]&lt;&gt;"","算力")</f>
        <v/>
      </c>
    </row>
    <row r="147" spans="2:17" x14ac:dyDescent="0.2">
      <c r="B147" s="22">
        <v>10108835470278</v>
      </c>
      <c r="C147" t="s">
        <v>430</v>
      </c>
      <c r="D147" t="s">
        <v>468</v>
      </c>
      <c r="F147" t="str">
        <f>IF(表1_5310[[#This Row],[配件1]]&lt;&gt;"",_xlfn.XLOOKUP(表1_5310[[#This Row],[配件1]],显卡利益点对照表新[型号],显卡利益点对照表新[[芯片组 ]],"ERROR"),"")</f>
        <v>RX7650GRE 8G</v>
      </c>
      <c r="G14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7" t="str">
        <f>IF(表1_5310[[#This Row],[配件1]]&lt;&gt;"",_xlfn.XLOOKUP(表1_5310[[#This Row],[配件1]],显卡利益点对照表新[型号],显卡利益点对照表新[利益点1],"ERROR"),"")</f>
        <v>三年质保/个人送保</v>
      </c>
      <c r="J147" t="str">
        <f>IF(表1_5310[[#This Row],[配件1]]&lt;&gt;"",_xlfn.XLOOKUP(表1_5310[[#This Row],[配件1]],显卡利益点对照表新[型号],显卡利益点对照表新[利益点2],"ERROR"),"")</f>
        <v>强化金属背板</v>
      </c>
      <c r="K147" t="str">
        <f>IF(表1_5310[[#This Row],[配件1]]&lt;&gt;"",_xlfn.XLOOKUP(表1_5310[[#This Row],[配件1]],显卡利益点对照表新[型号],显卡利益点对照表新[利益点3],"ERROR"),"")</f>
        <v>刀刃式三风扇</v>
      </c>
      <c r="L147" t="str">
        <f>IF(表1_5310[[#This Row],[配件1]]&lt;&gt;"",_xlfn.XLOOKUP(表1_5310[[#This Row],[配件1]],显卡利益点对照表新[型号],显卡利益点对照表新[算力],"ERROR"),"")</f>
        <v xml:space="preserve"> </v>
      </c>
      <c r="M147" t="str">
        <f>IF(表1_5310[[#This Row],[配件1]]&lt;&gt;"",_xlfn.XLOOKUP(表1_5310[[#This Row],[配件1]],显卡利益点对照表新[型号],显卡利益点对照表新[可显性],"ERROR"),"")</f>
        <v>GV-R765GREGAMING OC-8GD</v>
      </c>
      <c r="N14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47" t="s">
        <v>675</v>
      </c>
      <c r="Q147" t="str" cm="1">
        <f t="array" ref="Q147">_xlfn.IFS(表1_5310[[#This Row],[配件1]]="","",表1_5310[[#This Row],[文本丨算力丨算力值]]=" ","",表1_5310[[#This Row],[文本丨算力丨算力值]]&lt;&gt;"","算力")</f>
        <v/>
      </c>
    </row>
    <row r="148" spans="2:17" x14ac:dyDescent="0.2">
      <c r="B148" s="22">
        <v>10111916202612</v>
      </c>
      <c r="C148" t="s">
        <v>652</v>
      </c>
      <c r="D148" t="s">
        <v>468</v>
      </c>
      <c r="F148" t="str">
        <f>IF(表1_5310[[#This Row],[配件1]]&lt;&gt;"",_xlfn.XLOOKUP(表1_5310[[#This Row],[配件1]],显卡利益点对照表新[型号],显卡利益点对照表新[[芯片组 ]],"ERROR"),"")</f>
        <v>RX7700XT 12G</v>
      </c>
      <c r="G14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8" t="str">
        <f>IF(表1_5310[[#This Row],[配件1]]&lt;&gt;"",_xlfn.XLOOKUP(表1_5310[[#This Row],[配件1]],显卡利益点对照表新[型号],显卡利益点对照表新[利益点1],"ERROR"),"")</f>
        <v>三年质保/个人送保</v>
      </c>
      <c r="J148" t="str">
        <f>IF(表1_5310[[#This Row],[配件1]]&lt;&gt;"",_xlfn.XLOOKUP(表1_5310[[#This Row],[配件1]],显卡利益点对照表新[型号],显卡利益点对照表新[利益点2],"ERROR"),"")</f>
        <v>强化金属背板</v>
      </c>
      <c r="K148" t="str">
        <f>IF(表1_5310[[#This Row],[配件1]]&lt;&gt;"",_xlfn.XLOOKUP(表1_5310[[#This Row],[配件1]],显卡利益点对照表新[型号],显卡利益点对照表新[利益点3],"ERROR"),"")</f>
        <v>刀刃式三风扇</v>
      </c>
      <c r="L148" t="str">
        <f>IF(表1_5310[[#This Row],[配件1]]&lt;&gt;"",_xlfn.XLOOKUP(表1_5310[[#This Row],[配件1]],显卡利益点对照表新[型号],显卡利益点对照表新[算力],"ERROR"),"")</f>
        <v xml:space="preserve"> </v>
      </c>
      <c r="M148" t="str">
        <f>IF(表1_5310[[#This Row],[配件1]]&lt;&gt;"",_xlfn.XLOOKUP(表1_5310[[#This Row],[配件1]],显卡利益点对照表新[型号],显卡利益点对照表新[可显性],"ERROR"),"")</f>
        <v>GV-R77XTGAMING OC-12GD</v>
      </c>
      <c r="N14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48" t="s">
        <v>675</v>
      </c>
      <c r="Q148" t="str" cm="1">
        <f t="array" ref="Q148">_xlfn.IFS(表1_5310[[#This Row],[配件1]]="","",表1_5310[[#This Row],[文本丨算力丨算力值]]=" ","",表1_5310[[#This Row],[文本丨算力丨算力值]]&lt;&gt;"","算力")</f>
        <v/>
      </c>
    </row>
    <row r="149" spans="2:17" x14ac:dyDescent="0.2">
      <c r="B149" s="22">
        <v>10175247254128</v>
      </c>
      <c r="C149" t="s">
        <v>482</v>
      </c>
      <c r="D149" t="s">
        <v>468</v>
      </c>
      <c r="F149" t="str">
        <f>IF(表1_5310[[#This Row],[配件1]]&lt;&gt;"",_xlfn.XLOOKUP(表1_5310[[#This Row],[配件1]],显卡利益点对照表新[型号],显卡利益点对照表新[[芯片组 ]],"ERROR"),"")</f>
        <v>RX9060XT 8G</v>
      </c>
      <c r="G14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9" t="str">
        <f>IF(表1_5310[[#This Row],[配件1]]&lt;&gt;"",_xlfn.XLOOKUP(表1_5310[[#This Row],[配件1]],显卡利益点对照表新[型号],显卡利益点对照表新[利益点1],"ERROR"),"")</f>
        <v>RGB滑动侧板</v>
      </c>
      <c r="J149" t="str">
        <f>IF(表1_5310[[#This Row],[配件1]]&lt;&gt;"",_xlfn.XLOOKUP(表1_5310[[#This Row],[配件1]],显卡利益点对照表新[型号],显卡利益点对照表新[利益点2],"ERROR"),"")</f>
        <v>服务器级导热凝胶</v>
      </c>
      <c r="K149" t="str">
        <f>IF(表1_5310[[#This Row],[配件1]]&lt;&gt;"",_xlfn.XLOOKUP(表1_5310[[#This Row],[配件1]],显卡利益点对照表新[型号],显卡利益点对照表新[利益点3],"ERROR"),"")</f>
        <v>正逆转仿生风扇</v>
      </c>
      <c r="L149" t="str">
        <f>IF(表1_5310[[#This Row],[配件1]]&lt;&gt;"",_xlfn.XLOOKUP(表1_5310[[#This Row],[配件1]],显卡利益点对照表新[型号],显卡利益点对照表新[算力],"ERROR"),"")</f>
        <v xml:space="preserve"> </v>
      </c>
      <c r="M149" t="str">
        <f>IF(表1_5310[[#This Row],[配件1]]&lt;&gt;"",_xlfn.XLOOKUP(表1_5310[[#This Row],[配件1]],显卡利益点对照表新[型号],显卡利益点对照表新[可显性],"ERROR"),"")</f>
        <v>GV-R9060XTGAMING-8GD</v>
      </c>
      <c r="N14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49" t="s">
        <v>675</v>
      </c>
      <c r="Q149" t="str" cm="1">
        <f t="array" ref="Q149">_xlfn.IFS(表1_5310[[#This Row],[配件1]]="","",表1_5310[[#This Row],[文本丨算力丨算力值]]=" ","",表1_5310[[#This Row],[文本丨算力丨算力值]]&lt;&gt;"","算力")</f>
        <v/>
      </c>
    </row>
    <row r="150" spans="2:17" x14ac:dyDescent="0.2">
      <c r="B150" s="22">
        <v>10175247254129</v>
      </c>
      <c r="C150" t="s">
        <v>483</v>
      </c>
      <c r="D150" t="s">
        <v>468</v>
      </c>
      <c r="F150" t="str">
        <f>IF(表1_5310[[#This Row],[配件1]]&lt;&gt;"",_xlfn.XLOOKUP(表1_5310[[#This Row],[配件1]],显卡利益点对照表新[型号],显卡利益点对照表新[[芯片组 ]],"ERROR"),"")</f>
        <v>RX9060XT 16G</v>
      </c>
      <c r="G15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0" t="str">
        <f>IF(表1_5310[[#This Row],[配件1]]&lt;&gt;"",_xlfn.XLOOKUP(表1_5310[[#This Row],[配件1]],显卡利益点对照表新[型号],显卡利益点对照表新[利益点1],"ERROR"),"")</f>
        <v>RGB滑动侧板</v>
      </c>
      <c r="J150" t="str">
        <f>IF(表1_5310[[#This Row],[配件1]]&lt;&gt;"",_xlfn.XLOOKUP(表1_5310[[#This Row],[配件1]],显卡利益点对照表新[型号],显卡利益点对照表新[利益点2],"ERROR"),"")</f>
        <v>服务器级导热凝胶</v>
      </c>
      <c r="K150" t="str">
        <f>IF(表1_5310[[#This Row],[配件1]]&lt;&gt;"",_xlfn.XLOOKUP(表1_5310[[#This Row],[配件1]],显卡利益点对照表新[型号],显卡利益点对照表新[利益点3],"ERROR"),"")</f>
        <v>正逆转仿生风扇</v>
      </c>
      <c r="L150" t="str">
        <f>IF(表1_5310[[#This Row],[配件1]]&lt;&gt;"",_xlfn.XLOOKUP(表1_5310[[#This Row],[配件1]],显卡利益点对照表新[型号],显卡利益点对照表新[算力],"ERROR"),"")</f>
        <v xml:space="preserve"> </v>
      </c>
      <c r="M150" t="str">
        <f>IF(表1_5310[[#This Row],[配件1]]&lt;&gt;"",_xlfn.XLOOKUP(表1_5310[[#This Row],[配件1]],显卡利益点对照表新[型号],显卡利益点对照表新[可显性],"ERROR"),"")</f>
        <v>GV-R9060XTGAMING-16GD</v>
      </c>
      <c r="N15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0" t="s">
        <v>675</v>
      </c>
      <c r="Q150" t="str" cm="1">
        <f t="array" ref="Q150">_xlfn.IFS(表1_5310[[#This Row],[配件1]]="","",表1_5310[[#This Row],[文本丨算力丨算力值]]=" ","",表1_5310[[#This Row],[文本丨算力丨算力值]]&lt;&gt;"","算力")</f>
        <v/>
      </c>
    </row>
    <row r="151" spans="2:17" x14ac:dyDescent="0.2">
      <c r="B151" s="22">
        <v>10111916202613</v>
      </c>
      <c r="C151" t="s">
        <v>426</v>
      </c>
      <c r="D151" t="s">
        <v>468</v>
      </c>
      <c r="F151" t="str">
        <f>IF(表1_5310[[#This Row],[配件1]]&lt;&gt;"",_xlfn.XLOOKUP(表1_5310[[#This Row],[配件1]],显卡利益点对照表新[型号],显卡利益点对照表新[[芯片组 ]],"ERROR"),"")</f>
        <v>RX9070GRE 12G</v>
      </c>
      <c r="G15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1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1" t="str">
        <f>IF(表1_5310[[#This Row],[配件1]]&lt;&gt;"",_xlfn.XLOOKUP(表1_5310[[#This Row],[配件1]],显卡利益点对照表新[型号],显卡利益点对照表新[利益点1],"ERROR"),"")</f>
        <v>双BIOS模式</v>
      </c>
      <c r="J151" t="str">
        <f>IF(表1_5310[[#This Row],[配件1]]&lt;&gt;"",_xlfn.XLOOKUP(表1_5310[[#This Row],[配件1]],显卡利益点对照表新[型号],显卡利益点对照表新[利益点2],"ERROR"),"")</f>
        <v>服务器级导热凝胶</v>
      </c>
      <c r="K151" t="str">
        <f>IF(表1_5310[[#This Row],[配件1]]&lt;&gt;"",_xlfn.XLOOKUP(表1_5310[[#This Row],[配件1]],显卡利益点对照表新[型号],显卡利益点对照表新[利益点3],"ERROR"),"")</f>
        <v>正逆转仿生风扇</v>
      </c>
      <c r="L151" t="str">
        <f>IF(表1_5310[[#This Row],[配件1]]&lt;&gt;"",_xlfn.XLOOKUP(表1_5310[[#This Row],[配件1]],显卡利益点对照表新[型号],显卡利益点对照表新[算力],"ERROR"),"")</f>
        <v xml:space="preserve"> </v>
      </c>
      <c r="M151" t="str">
        <f>IF(表1_5310[[#This Row],[配件1]]&lt;&gt;"",_xlfn.XLOOKUP(表1_5310[[#This Row],[配件1]],显卡利益点对照表新[型号],显卡利益点对照表新[可显性],"ERROR"),"")</f>
        <v>GV-R907GREGAMING OC-12GD</v>
      </c>
      <c r="N15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1" t="s">
        <v>675</v>
      </c>
      <c r="Q151" t="str" cm="1">
        <f t="array" ref="Q151">_xlfn.IFS(表1_5310[[#This Row],[配件1]]="","",表1_5310[[#This Row],[文本丨算力丨算力值]]=" ","",表1_5310[[#This Row],[文本丨算力丨算力值]]&lt;&gt;"","算力")</f>
        <v/>
      </c>
    </row>
    <row r="152" spans="2:17" x14ac:dyDescent="0.2">
      <c r="B152" s="22">
        <v>10142234651568</v>
      </c>
      <c r="C152" t="s">
        <v>427</v>
      </c>
      <c r="D152" t="s">
        <v>468</v>
      </c>
      <c r="F152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5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2" t="str">
        <f>IF(表1_5310[[#This Row],[配件1]]&lt;&gt;"",_xlfn.XLOOKUP(表1_5310[[#This Row],[配件1]],显卡利益点对照表新[型号],显卡利益点对照表新[利益点1],"ERROR"),"")</f>
        <v>双BIOS模式</v>
      </c>
      <c r="J152" t="str">
        <f>IF(表1_5310[[#This Row],[配件1]]&lt;&gt;"",_xlfn.XLOOKUP(表1_5310[[#This Row],[配件1]],显卡利益点对照表新[型号],显卡利益点对照表新[利益点2],"ERROR"),"")</f>
        <v>服务器级导热凝胶</v>
      </c>
      <c r="K152" t="str">
        <f>IF(表1_5310[[#This Row],[配件1]]&lt;&gt;"",_xlfn.XLOOKUP(表1_5310[[#This Row],[配件1]],显卡利益点对照表新[型号],显卡利益点对照表新[利益点3],"ERROR"),"")</f>
        <v>正逆转仿生风扇</v>
      </c>
      <c r="L152" t="str">
        <f>IF(表1_5310[[#This Row],[配件1]]&lt;&gt;"",_xlfn.XLOOKUP(表1_5310[[#This Row],[配件1]],显卡利益点对照表新[型号],显卡利益点对照表新[算力],"ERROR"),"")</f>
        <v xml:space="preserve"> </v>
      </c>
      <c r="M152" t="str">
        <f>IF(表1_5310[[#This Row],[配件1]]&lt;&gt;"",_xlfn.XLOOKUP(表1_5310[[#This Row],[配件1]],显卡利益点对照表新[型号],显卡利益点对照表新[可显性],"ERROR"),"")</f>
        <v>GV-R9070GAMING OC</v>
      </c>
      <c r="N15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2" t="s">
        <v>675</v>
      </c>
      <c r="Q152" t="str" cm="1">
        <f t="array" ref="Q152">_xlfn.IFS(表1_5310[[#This Row],[配件1]]="","",表1_5310[[#This Row],[文本丨算力丨算力值]]=" ","",表1_5310[[#This Row],[文本丨算力丨算力值]]&lt;&gt;"","算力")</f>
        <v/>
      </c>
    </row>
    <row r="153" spans="2:17" x14ac:dyDescent="0.2">
      <c r="B153" s="22">
        <v>10142234651569</v>
      </c>
      <c r="C153" t="s">
        <v>428</v>
      </c>
      <c r="D153" t="s">
        <v>468</v>
      </c>
      <c r="F153" t="str">
        <f>IF(表1_5310[[#This Row],[配件1]]&lt;&gt;"",_xlfn.XLOOKUP(表1_5310[[#This Row],[配件1]],显卡利益点对照表新[型号],显卡利益点对照表新[[芯片组 ]],"ERROR"),"")</f>
        <v>RX9070XT 16G</v>
      </c>
      <c r="G15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3" t="str">
        <f>IF(表1_5310[[#This Row],[配件1]]&lt;&gt;"",_xlfn.XLOOKUP(表1_5310[[#This Row],[配件1]],显卡利益点对照表新[型号],显卡利益点对照表新[利益点1],"ERROR"),"")</f>
        <v>双BIOS模式</v>
      </c>
      <c r="J153" t="str">
        <f>IF(表1_5310[[#This Row],[配件1]]&lt;&gt;"",_xlfn.XLOOKUP(表1_5310[[#This Row],[配件1]],显卡利益点对照表新[型号],显卡利益点对照表新[利益点2],"ERROR"),"")</f>
        <v>服务器级导热凝胶</v>
      </c>
      <c r="K153" t="str">
        <f>IF(表1_5310[[#This Row],[配件1]]&lt;&gt;"",_xlfn.XLOOKUP(表1_5310[[#This Row],[配件1]],显卡利益点对照表新[型号],显卡利益点对照表新[利益点3],"ERROR"),"")</f>
        <v>正逆转仿生风扇</v>
      </c>
      <c r="L153" t="str">
        <f>IF(表1_5310[[#This Row],[配件1]]&lt;&gt;"",_xlfn.XLOOKUP(表1_5310[[#This Row],[配件1]],显卡利益点对照表新[型号],显卡利益点对照表新[算力],"ERROR"),"")</f>
        <v xml:space="preserve"> </v>
      </c>
      <c r="M153" t="str">
        <f>IF(表1_5310[[#This Row],[配件1]]&lt;&gt;"",_xlfn.XLOOKUP(表1_5310[[#This Row],[配件1]],显卡利益点对照表新[型号],显卡利益点对照表新[可显性],"ERROR"),"")</f>
        <v>GV-R9070XTGAMING OC</v>
      </c>
      <c r="N15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3" t="s">
        <v>675</v>
      </c>
      <c r="Q153" t="str" cm="1">
        <f t="array" ref="Q153">_xlfn.IFS(表1_5310[[#This Row],[配件1]]="","",表1_5310[[#This Row],[文本丨算力丨算力值]]=" ","",表1_5310[[#This Row],[文本丨算力丨算力值]]&lt;&gt;"","算力")</f>
        <v/>
      </c>
    </row>
    <row r="154" spans="2:17" x14ac:dyDescent="0.2">
      <c r="B154" s="22">
        <v>10111916202614</v>
      </c>
      <c r="C154" t="s">
        <v>429</v>
      </c>
      <c r="D154" t="s">
        <v>468</v>
      </c>
      <c r="F154" t="str">
        <f>IF(表1_5310[[#This Row],[配件1]]&lt;&gt;"",_xlfn.XLOOKUP(表1_5310[[#This Row],[配件1]],显卡利益点对照表新[型号],显卡利益点对照表新[[芯片组 ]],"ERROR"),"")</f>
        <v>RX9070XT 16G</v>
      </c>
      <c r="G15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154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154" t="str">
        <f>IF(表1_5310[[#This Row],[配件1]]&lt;&gt;"",_xlfn.XLOOKUP(表1_5310[[#This Row],[配件1]],显卡利益点对照表新[型号],显卡利益点对照表新[利益点1],"ERROR"),"")</f>
        <v>注册4年保/个人送保</v>
      </c>
      <c r="J154" t="str">
        <f>IF(表1_5310[[#This Row],[配件1]]&lt;&gt;"",_xlfn.XLOOKUP(表1_5310[[#This Row],[配件1]],显卡利益点对照表新[型号],显卡利益点对照表新[利益点2],"ERROR"),"")</f>
        <v>服务器级导热凝胶</v>
      </c>
      <c r="K154" t="str">
        <f>IF(表1_5310[[#This Row],[配件1]]&lt;&gt;"",_xlfn.XLOOKUP(表1_5310[[#This Row],[配件1]],显卡利益点对照表新[型号],显卡利益点对照表新[利益点3],"ERROR"),"")</f>
        <v>RGB幻彩光轮</v>
      </c>
      <c r="L154" t="str">
        <f>IF(表1_5310[[#This Row],[配件1]]&lt;&gt;"",_xlfn.XLOOKUP(表1_5310[[#This Row],[配件1]],显卡利益点对照表新[型号],显卡利益点对照表新[算力],"ERROR"),"")</f>
        <v xml:space="preserve"> </v>
      </c>
      <c r="M154" t="str">
        <f>IF(表1_5310[[#This Row],[配件1]]&lt;&gt;"",_xlfn.XLOOKUP(表1_5310[[#This Row],[配件1]],显卡利益点对照表新[型号],显卡利益点对照表新[可显性],"ERROR"),"")</f>
        <v>GV-R9070XTAORUS E</v>
      </c>
      <c r="N15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4" t="s">
        <v>675</v>
      </c>
      <c r="Q154" t="str" cm="1">
        <f t="array" ref="Q154">_xlfn.IFS(表1_5310[[#This Row],[配件1]]="","",表1_5310[[#This Row],[文本丨算力丨算力值]]=" ","",表1_5310[[#This Row],[文本丨算力丨算力值]]&lt;&gt;"","算力")</f>
        <v/>
      </c>
    </row>
    <row r="155" spans="2:17" x14ac:dyDescent="0.2">
      <c r="F155" t="str">
        <f>IF(表1_5310[[#This Row],[配件1]]&lt;&gt;"",_xlfn.XLOOKUP(表1_5310[[#This Row],[配件1]],显卡利益点对照表新[型号],显卡利益点对照表新[[芯片组 ]],"ERROR"),"")</f>
        <v/>
      </c>
      <c r="G15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55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55" t="str">
        <f>IF(表1_5310[[#This Row],[配件1]]&lt;&gt;"",_xlfn.XLOOKUP(表1_5310[[#This Row],[配件1]],显卡利益点对照表新[型号],显卡利益点对照表新[利益点1],"ERROR"),"")</f>
        <v/>
      </c>
      <c r="J155" t="str">
        <f>IF(表1_5310[[#This Row],[配件1]]&lt;&gt;"",_xlfn.XLOOKUP(表1_5310[[#This Row],[配件1]],显卡利益点对照表新[型号],显卡利益点对照表新[利益点2],"ERROR"),"")</f>
        <v/>
      </c>
      <c r="K155" t="str">
        <f>IF(表1_5310[[#This Row],[配件1]]&lt;&gt;"",_xlfn.XLOOKUP(表1_5310[[#This Row],[配件1]],显卡利益点对照表新[型号],显卡利益点对照表新[利益点3],"ERROR"),"")</f>
        <v/>
      </c>
      <c r="L155" t="str">
        <f>IF(表1_5310[[#This Row],[配件1]]&lt;&gt;"",_xlfn.XLOOKUP(表1_5310[[#This Row],[配件1]],显卡利益点对照表新[型号],显卡利益点对照表新[算力],"ERROR"),"")</f>
        <v/>
      </c>
      <c r="M155" t="str">
        <f>IF(表1_5310[[#This Row],[配件1]]&lt;&gt;"",_xlfn.XLOOKUP(表1_5310[[#This Row],[配件1]],显卡利益点对照表新[型号],显卡利益点对照表新[可显性],"ERROR"),"")</f>
        <v/>
      </c>
      <c r="N15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55" t="str" cm="1">
        <f t="array" ref="Q155">_xlfn.IFS(表1_5310[[#This Row],[配件1]]="","",表1_5310[[#This Row],[文本丨算力丨算力值]]=" ","",表1_5310[[#This Row],[文本丨算力丨算力值]]&lt;&gt;"","算力")</f>
        <v/>
      </c>
    </row>
    <row r="156" spans="2:17" x14ac:dyDescent="0.2">
      <c r="B156" s="22">
        <v>10111917423210</v>
      </c>
      <c r="C156" t="s">
        <v>430</v>
      </c>
      <c r="D156" t="s">
        <v>468</v>
      </c>
      <c r="F156" t="str">
        <f>IF(表1_5310[[#This Row],[配件1]]&lt;&gt;"",_xlfn.XLOOKUP(表1_5310[[#This Row],[配件1]],显卡利益点对照表新[型号],显卡利益点对照表新[[芯片组 ]],"ERROR"),"")</f>
        <v>RX7650GRE 8G</v>
      </c>
      <c r="G15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6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6" t="str">
        <f>IF(表1_5310[[#This Row],[配件1]]&lt;&gt;"",_xlfn.XLOOKUP(表1_5310[[#This Row],[配件1]],显卡利益点对照表新[型号],显卡利益点对照表新[利益点1],"ERROR"),"")</f>
        <v>三年质保/个人送保</v>
      </c>
      <c r="J156" t="str">
        <f>IF(表1_5310[[#This Row],[配件1]]&lt;&gt;"",_xlfn.XLOOKUP(表1_5310[[#This Row],[配件1]],显卡利益点对照表新[型号],显卡利益点对照表新[利益点2],"ERROR"),"")</f>
        <v>强化金属背板</v>
      </c>
      <c r="K156" t="str">
        <f>IF(表1_5310[[#This Row],[配件1]]&lt;&gt;"",_xlfn.XLOOKUP(表1_5310[[#This Row],[配件1]],显卡利益点对照表新[型号],显卡利益点对照表新[利益点3],"ERROR"),"")</f>
        <v>刀刃式三风扇</v>
      </c>
      <c r="L156" t="str">
        <f>IF(表1_5310[[#This Row],[配件1]]&lt;&gt;"",_xlfn.XLOOKUP(表1_5310[[#This Row],[配件1]],显卡利益点对照表新[型号],显卡利益点对照表新[算力],"ERROR"),"")</f>
        <v xml:space="preserve"> </v>
      </c>
      <c r="M156" t="str">
        <f>IF(表1_5310[[#This Row],[配件1]]&lt;&gt;"",_xlfn.XLOOKUP(表1_5310[[#This Row],[配件1]],显卡利益点对照表新[型号],显卡利益点对照表新[可显性],"ERROR"),"")</f>
        <v>GV-R765GREGAMING OC-8GD</v>
      </c>
      <c r="N15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6" t="s">
        <v>471</v>
      </c>
      <c r="Q156" t="str" cm="1">
        <f t="array" ref="Q156">_xlfn.IFS(表1_5310[[#This Row],[配件1]]="","",表1_5310[[#This Row],[文本丨算力丨算力值]]=" ","",表1_5310[[#This Row],[文本丨算力丨算力值]]&lt;&gt;"","算力")</f>
        <v/>
      </c>
    </row>
    <row r="157" spans="2:17" x14ac:dyDescent="0.2">
      <c r="B157" s="22">
        <v>10111917582011</v>
      </c>
      <c r="C157" t="s">
        <v>652</v>
      </c>
      <c r="D157" t="s">
        <v>468</v>
      </c>
      <c r="F157" t="str">
        <f>IF(表1_5310[[#This Row],[配件1]]&lt;&gt;"",_xlfn.XLOOKUP(表1_5310[[#This Row],[配件1]],显卡利益点对照表新[型号],显卡利益点对照表新[[芯片组 ]],"ERROR"),"")</f>
        <v>RX7700XT 12G</v>
      </c>
      <c r="G15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7" t="str">
        <f>IF(表1_5310[[#This Row],[配件1]]&lt;&gt;"",_xlfn.XLOOKUP(表1_5310[[#This Row],[配件1]],显卡利益点对照表新[型号],显卡利益点对照表新[利益点1],"ERROR"),"")</f>
        <v>三年质保/个人送保</v>
      </c>
      <c r="J157" t="str">
        <f>IF(表1_5310[[#This Row],[配件1]]&lt;&gt;"",_xlfn.XLOOKUP(表1_5310[[#This Row],[配件1]],显卡利益点对照表新[型号],显卡利益点对照表新[利益点2],"ERROR"),"")</f>
        <v>强化金属背板</v>
      </c>
      <c r="K157" t="str">
        <f>IF(表1_5310[[#This Row],[配件1]]&lt;&gt;"",_xlfn.XLOOKUP(表1_5310[[#This Row],[配件1]],显卡利益点对照表新[型号],显卡利益点对照表新[利益点3],"ERROR"),"")</f>
        <v>刀刃式三风扇</v>
      </c>
      <c r="L157" t="str">
        <f>IF(表1_5310[[#This Row],[配件1]]&lt;&gt;"",_xlfn.XLOOKUP(表1_5310[[#This Row],[配件1]],显卡利益点对照表新[型号],显卡利益点对照表新[算力],"ERROR"),"")</f>
        <v xml:space="preserve"> </v>
      </c>
      <c r="M157" t="str">
        <f>IF(表1_5310[[#This Row],[配件1]]&lt;&gt;"",_xlfn.XLOOKUP(表1_5310[[#This Row],[配件1]],显卡利益点对照表新[型号],显卡利益点对照表新[可显性],"ERROR"),"")</f>
        <v>GV-R77XTGAMING OC-12GD</v>
      </c>
      <c r="N15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7" t="s">
        <v>471</v>
      </c>
      <c r="Q157" t="str" cm="1">
        <f t="array" ref="Q157">_xlfn.IFS(表1_5310[[#This Row],[配件1]]="","",表1_5310[[#This Row],[文本丨算力丨算力值]]=" ","",表1_5310[[#This Row],[文本丨算力丨算力值]]&lt;&gt;"","算力")</f>
        <v/>
      </c>
    </row>
    <row r="158" spans="2:17" x14ac:dyDescent="0.2">
      <c r="B158" s="22">
        <v>10175249030504</v>
      </c>
      <c r="C158" t="s">
        <v>482</v>
      </c>
      <c r="D158" t="s">
        <v>468</v>
      </c>
      <c r="F158" t="str">
        <f>IF(表1_5310[[#This Row],[配件1]]&lt;&gt;"",_xlfn.XLOOKUP(表1_5310[[#This Row],[配件1]],显卡利益点对照表新[型号],显卡利益点对照表新[[芯片组 ]],"ERROR"),"")</f>
        <v>RX9060XT 8G</v>
      </c>
      <c r="G15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8" t="str">
        <f>IF(表1_5310[[#This Row],[配件1]]&lt;&gt;"",_xlfn.XLOOKUP(表1_5310[[#This Row],[配件1]],显卡利益点对照表新[型号],显卡利益点对照表新[利益点1],"ERROR"),"")</f>
        <v>RGB滑动侧板</v>
      </c>
      <c r="J158" t="str">
        <f>IF(表1_5310[[#This Row],[配件1]]&lt;&gt;"",_xlfn.XLOOKUP(表1_5310[[#This Row],[配件1]],显卡利益点对照表新[型号],显卡利益点对照表新[利益点2],"ERROR"),"")</f>
        <v>服务器级导热凝胶</v>
      </c>
      <c r="K158" t="str">
        <f>IF(表1_5310[[#This Row],[配件1]]&lt;&gt;"",_xlfn.XLOOKUP(表1_5310[[#This Row],[配件1]],显卡利益点对照表新[型号],显卡利益点对照表新[利益点3],"ERROR"),"")</f>
        <v>正逆转仿生风扇</v>
      </c>
      <c r="L158" t="str">
        <f>IF(表1_5310[[#This Row],[配件1]]&lt;&gt;"",_xlfn.XLOOKUP(表1_5310[[#This Row],[配件1]],显卡利益点对照表新[型号],显卡利益点对照表新[算力],"ERROR"),"")</f>
        <v xml:space="preserve"> </v>
      </c>
      <c r="M158" t="str">
        <f>IF(表1_5310[[#This Row],[配件1]]&lt;&gt;"",_xlfn.XLOOKUP(表1_5310[[#This Row],[配件1]],显卡利益点对照表新[型号],显卡利益点对照表新[可显性],"ERROR"),"")</f>
        <v>GV-R9060XTGAMING-8GD</v>
      </c>
      <c r="N15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8" t="s">
        <v>471</v>
      </c>
      <c r="Q158" t="str" cm="1">
        <f t="array" ref="Q158">_xlfn.IFS(表1_5310[[#This Row],[配件1]]="","",表1_5310[[#This Row],[文本丨算力丨算力值]]=" ","",表1_5310[[#This Row],[文本丨算力丨算力值]]&lt;&gt;"","算力")</f>
        <v/>
      </c>
    </row>
    <row r="159" spans="2:17" x14ac:dyDescent="0.2">
      <c r="B159" s="22">
        <v>10175249030505</v>
      </c>
      <c r="C159" t="s">
        <v>483</v>
      </c>
      <c r="D159" t="s">
        <v>468</v>
      </c>
      <c r="F159" t="str">
        <f>IF(表1_5310[[#This Row],[配件1]]&lt;&gt;"",_xlfn.XLOOKUP(表1_5310[[#This Row],[配件1]],显卡利益点对照表新[型号],显卡利益点对照表新[[芯片组 ]],"ERROR"),"")</f>
        <v>RX9060XT 16G</v>
      </c>
      <c r="G15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9" t="str">
        <f>IF(表1_5310[[#This Row],[配件1]]&lt;&gt;"",_xlfn.XLOOKUP(表1_5310[[#This Row],[配件1]],显卡利益点对照表新[型号],显卡利益点对照表新[利益点1],"ERROR"),"")</f>
        <v>RGB滑动侧板</v>
      </c>
      <c r="J159" t="str">
        <f>IF(表1_5310[[#This Row],[配件1]]&lt;&gt;"",_xlfn.XLOOKUP(表1_5310[[#This Row],[配件1]],显卡利益点对照表新[型号],显卡利益点对照表新[利益点2],"ERROR"),"")</f>
        <v>服务器级导热凝胶</v>
      </c>
      <c r="K159" t="str">
        <f>IF(表1_5310[[#This Row],[配件1]]&lt;&gt;"",_xlfn.XLOOKUP(表1_5310[[#This Row],[配件1]],显卡利益点对照表新[型号],显卡利益点对照表新[利益点3],"ERROR"),"")</f>
        <v>正逆转仿生风扇</v>
      </c>
      <c r="L159" t="str">
        <f>IF(表1_5310[[#This Row],[配件1]]&lt;&gt;"",_xlfn.XLOOKUP(表1_5310[[#This Row],[配件1]],显卡利益点对照表新[型号],显卡利益点对照表新[算力],"ERROR"),"")</f>
        <v xml:space="preserve"> </v>
      </c>
      <c r="M159" t="str">
        <f>IF(表1_5310[[#This Row],[配件1]]&lt;&gt;"",_xlfn.XLOOKUP(表1_5310[[#This Row],[配件1]],显卡利益点对照表新[型号],显卡利益点对照表新[可显性],"ERROR"),"")</f>
        <v>GV-R9060XTGAMING-16GD</v>
      </c>
      <c r="N15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9" t="s">
        <v>471</v>
      </c>
      <c r="Q159" t="str" cm="1">
        <f t="array" ref="Q159">_xlfn.IFS(表1_5310[[#This Row],[配件1]]="","",表1_5310[[#This Row],[文本丨算力丨算力值]]=" ","",表1_5310[[#This Row],[文本丨算力丨算力值]]&lt;&gt;"","算力")</f>
        <v/>
      </c>
    </row>
    <row r="160" spans="2:17" x14ac:dyDescent="0.2">
      <c r="B160" s="22">
        <v>10111917582012</v>
      </c>
      <c r="C160" t="s">
        <v>426</v>
      </c>
      <c r="D160" t="s">
        <v>468</v>
      </c>
      <c r="F160" t="str">
        <f>IF(表1_5310[[#This Row],[配件1]]&lt;&gt;"",_xlfn.XLOOKUP(表1_5310[[#This Row],[配件1]],显卡利益点对照表新[型号],显卡利益点对照表新[[芯片组 ]],"ERROR"),"")</f>
        <v>RX9070GRE 12G</v>
      </c>
      <c r="G16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6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60" t="str">
        <f>IF(表1_5310[[#This Row],[配件1]]&lt;&gt;"",_xlfn.XLOOKUP(表1_5310[[#This Row],[配件1]],显卡利益点对照表新[型号],显卡利益点对照表新[利益点1],"ERROR"),"")</f>
        <v>双BIOS模式</v>
      </c>
      <c r="J160" t="str">
        <f>IF(表1_5310[[#This Row],[配件1]]&lt;&gt;"",_xlfn.XLOOKUP(表1_5310[[#This Row],[配件1]],显卡利益点对照表新[型号],显卡利益点对照表新[利益点2],"ERROR"),"")</f>
        <v>服务器级导热凝胶</v>
      </c>
      <c r="K160" t="str">
        <f>IF(表1_5310[[#This Row],[配件1]]&lt;&gt;"",_xlfn.XLOOKUP(表1_5310[[#This Row],[配件1]],显卡利益点对照表新[型号],显卡利益点对照表新[利益点3],"ERROR"),"")</f>
        <v>正逆转仿生风扇</v>
      </c>
      <c r="L160" t="str">
        <f>IF(表1_5310[[#This Row],[配件1]]&lt;&gt;"",_xlfn.XLOOKUP(表1_5310[[#This Row],[配件1]],显卡利益点对照表新[型号],显卡利益点对照表新[算力],"ERROR"),"")</f>
        <v xml:space="preserve"> </v>
      </c>
      <c r="M160" t="str">
        <f>IF(表1_5310[[#This Row],[配件1]]&lt;&gt;"",_xlfn.XLOOKUP(表1_5310[[#This Row],[配件1]],显卡利益点对照表新[型号],显卡利益点对照表新[可显性],"ERROR"),"")</f>
        <v>GV-R907GREGAMING OC-12GD</v>
      </c>
      <c r="N16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0" t="s">
        <v>471</v>
      </c>
      <c r="Q160" t="str" cm="1">
        <f t="array" ref="Q160">_xlfn.IFS(表1_5310[[#This Row],[配件1]]="","",表1_5310[[#This Row],[文本丨算力丨算力值]]=" ","",表1_5310[[#This Row],[文本丨算力丨算力值]]&lt;&gt;"","算力")</f>
        <v/>
      </c>
    </row>
    <row r="161" spans="2:17" x14ac:dyDescent="0.2">
      <c r="B161" s="22">
        <v>10097997288657</v>
      </c>
      <c r="C161" t="s">
        <v>427</v>
      </c>
      <c r="D161" t="s">
        <v>468</v>
      </c>
      <c r="F161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6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61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61" t="str">
        <f>IF(表1_5310[[#This Row],[配件1]]&lt;&gt;"",_xlfn.XLOOKUP(表1_5310[[#This Row],[配件1]],显卡利益点对照表新[型号],显卡利益点对照表新[利益点1],"ERROR"),"")</f>
        <v>双BIOS模式</v>
      </c>
      <c r="J161" t="str">
        <f>IF(表1_5310[[#This Row],[配件1]]&lt;&gt;"",_xlfn.XLOOKUP(表1_5310[[#This Row],[配件1]],显卡利益点对照表新[型号],显卡利益点对照表新[利益点2],"ERROR"),"")</f>
        <v>服务器级导热凝胶</v>
      </c>
      <c r="K161" t="str">
        <f>IF(表1_5310[[#This Row],[配件1]]&lt;&gt;"",_xlfn.XLOOKUP(表1_5310[[#This Row],[配件1]],显卡利益点对照表新[型号],显卡利益点对照表新[利益点3],"ERROR"),"")</f>
        <v>正逆转仿生风扇</v>
      </c>
      <c r="L161" t="str">
        <f>IF(表1_5310[[#This Row],[配件1]]&lt;&gt;"",_xlfn.XLOOKUP(表1_5310[[#This Row],[配件1]],显卡利益点对照表新[型号],显卡利益点对照表新[算力],"ERROR"),"")</f>
        <v xml:space="preserve"> </v>
      </c>
      <c r="M161" t="str">
        <f>IF(表1_5310[[#This Row],[配件1]]&lt;&gt;"",_xlfn.XLOOKUP(表1_5310[[#This Row],[配件1]],显卡利益点对照表新[型号],显卡利益点对照表新[可显性],"ERROR"),"")</f>
        <v>GV-R9070GAMING OC</v>
      </c>
      <c r="N16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1" t="s">
        <v>471</v>
      </c>
      <c r="Q161" t="str" cm="1">
        <f t="array" ref="Q161">_xlfn.IFS(表1_5310[[#This Row],[配件1]]="","",表1_5310[[#This Row],[文本丨算力丨算力值]]=" ","",表1_5310[[#This Row],[文本丨算力丨算力值]]&lt;&gt;"","算力")</f>
        <v/>
      </c>
    </row>
    <row r="162" spans="2:17" x14ac:dyDescent="0.2">
      <c r="B162" s="22">
        <v>10142237363622</v>
      </c>
      <c r="C162" t="s">
        <v>428</v>
      </c>
      <c r="D162" t="s">
        <v>468</v>
      </c>
      <c r="F162" t="str">
        <f>IF(表1_5310[[#This Row],[配件1]]&lt;&gt;"",_xlfn.XLOOKUP(表1_5310[[#This Row],[配件1]],显卡利益点对照表新[型号],显卡利益点对照表新[[芯片组 ]],"ERROR"),"")</f>
        <v>RX9070XT 16G</v>
      </c>
      <c r="G16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6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62" t="str">
        <f>IF(表1_5310[[#This Row],[配件1]]&lt;&gt;"",_xlfn.XLOOKUP(表1_5310[[#This Row],[配件1]],显卡利益点对照表新[型号],显卡利益点对照表新[利益点1],"ERROR"),"")</f>
        <v>双BIOS模式</v>
      </c>
      <c r="J162" t="str">
        <f>IF(表1_5310[[#This Row],[配件1]]&lt;&gt;"",_xlfn.XLOOKUP(表1_5310[[#This Row],[配件1]],显卡利益点对照表新[型号],显卡利益点对照表新[利益点2],"ERROR"),"")</f>
        <v>服务器级导热凝胶</v>
      </c>
      <c r="K162" t="str">
        <f>IF(表1_5310[[#This Row],[配件1]]&lt;&gt;"",_xlfn.XLOOKUP(表1_5310[[#This Row],[配件1]],显卡利益点对照表新[型号],显卡利益点对照表新[利益点3],"ERROR"),"")</f>
        <v>正逆转仿生风扇</v>
      </c>
      <c r="L162" t="str">
        <f>IF(表1_5310[[#This Row],[配件1]]&lt;&gt;"",_xlfn.XLOOKUP(表1_5310[[#This Row],[配件1]],显卡利益点对照表新[型号],显卡利益点对照表新[算力],"ERROR"),"")</f>
        <v xml:space="preserve"> </v>
      </c>
      <c r="M162" t="str">
        <f>IF(表1_5310[[#This Row],[配件1]]&lt;&gt;"",_xlfn.XLOOKUP(表1_5310[[#This Row],[配件1]],显卡利益点对照表新[型号],显卡利益点对照表新[可显性],"ERROR"),"")</f>
        <v>GV-R9070XTGAMING OC</v>
      </c>
      <c r="N16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2" t="s">
        <v>471</v>
      </c>
      <c r="Q162" t="str" cm="1">
        <f t="array" ref="Q162">_xlfn.IFS(表1_5310[[#This Row],[配件1]]="","",表1_5310[[#This Row],[文本丨算力丨算力值]]=" ","",表1_5310[[#This Row],[文本丨算力丨算力值]]&lt;&gt;"","算力")</f>
        <v/>
      </c>
    </row>
    <row r="163" spans="2:17" x14ac:dyDescent="0.2">
      <c r="B163" s="22">
        <v>10105794092547</v>
      </c>
      <c r="C163" t="s">
        <v>429</v>
      </c>
      <c r="D163" t="s">
        <v>468</v>
      </c>
      <c r="F163" t="str">
        <f>IF(表1_5310[[#This Row],[配件1]]&lt;&gt;"",_xlfn.XLOOKUP(表1_5310[[#This Row],[配件1]],显卡利益点对照表新[型号],显卡利益点对照表新[[芯片组 ]],"ERROR"),"")</f>
        <v>RX9070XT 16G</v>
      </c>
      <c r="G16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163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163" t="str">
        <f>IF(表1_5310[[#This Row],[配件1]]&lt;&gt;"",_xlfn.XLOOKUP(表1_5310[[#This Row],[配件1]],显卡利益点对照表新[型号],显卡利益点对照表新[利益点1],"ERROR"),"")</f>
        <v>注册4年保/个人送保</v>
      </c>
      <c r="J163" t="str">
        <f>IF(表1_5310[[#This Row],[配件1]]&lt;&gt;"",_xlfn.XLOOKUP(表1_5310[[#This Row],[配件1]],显卡利益点对照表新[型号],显卡利益点对照表新[利益点2],"ERROR"),"")</f>
        <v>服务器级导热凝胶</v>
      </c>
      <c r="K163" t="str">
        <f>IF(表1_5310[[#This Row],[配件1]]&lt;&gt;"",_xlfn.XLOOKUP(表1_5310[[#This Row],[配件1]],显卡利益点对照表新[型号],显卡利益点对照表新[利益点3],"ERROR"),"")</f>
        <v>RGB幻彩光轮</v>
      </c>
      <c r="L163" t="str">
        <f>IF(表1_5310[[#This Row],[配件1]]&lt;&gt;"",_xlfn.XLOOKUP(表1_5310[[#This Row],[配件1]],显卡利益点对照表新[型号],显卡利益点对照表新[算力],"ERROR"),"")</f>
        <v xml:space="preserve"> </v>
      </c>
      <c r="M163" t="str">
        <f>IF(表1_5310[[#This Row],[配件1]]&lt;&gt;"",_xlfn.XLOOKUP(表1_5310[[#This Row],[配件1]],显卡利益点对照表新[型号],显卡利益点对照表新[可显性],"ERROR"),"")</f>
        <v>GV-R9070XTAORUS E</v>
      </c>
      <c r="N16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3" t="s">
        <v>471</v>
      </c>
      <c r="Q163" t="str" cm="1">
        <f t="array" ref="Q163">_xlfn.IFS(表1_5310[[#This Row],[配件1]]="","",表1_5310[[#This Row],[文本丨算力丨算力值]]=" ","",表1_5310[[#This Row],[文本丨算力丨算力值]]&lt;&gt;"","算力")</f>
        <v/>
      </c>
    </row>
    <row r="164" spans="2:17" x14ac:dyDescent="0.2">
      <c r="F164" t="str">
        <f>IF(表1_5310[[#This Row],[配件1]]&lt;&gt;"",_xlfn.XLOOKUP(表1_5310[[#This Row],[配件1]],显卡利益点对照表新[型号],显卡利益点对照表新[[芯片组 ]],"ERROR"),"")</f>
        <v/>
      </c>
      <c r="G16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6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64" t="str">
        <f>IF(表1_5310[[#This Row],[配件1]]&lt;&gt;"",_xlfn.XLOOKUP(表1_5310[[#This Row],[配件1]],显卡利益点对照表新[型号],显卡利益点对照表新[利益点1],"ERROR"),"")</f>
        <v/>
      </c>
      <c r="J164" t="str">
        <f>IF(表1_5310[[#This Row],[配件1]]&lt;&gt;"",_xlfn.XLOOKUP(表1_5310[[#This Row],[配件1]],显卡利益点对照表新[型号],显卡利益点对照表新[利益点2],"ERROR"),"")</f>
        <v/>
      </c>
      <c r="K164" t="str">
        <f>IF(表1_5310[[#This Row],[配件1]]&lt;&gt;"",_xlfn.XLOOKUP(表1_5310[[#This Row],[配件1]],显卡利益点对照表新[型号],显卡利益点对照表新[利益点3],"ERROR"),"")</f>
        <v/>
      </c>
      <c r="L164" t="str">
        <f>IF(表1_5310[[#This Row],[配件1]]&lt;&gt;"",_xlfn.XLOOKUP(表1_5310[[#This Row],[配件1]],显卡利益点对照表新[型号],显卡利益点对照表新[算力],"ERROR"),"")</f>
        <v/>
      </c>
      <c r="M164" t="str">
        <f>IF(表1_5310[[#This Row],[配件1]]&lt;&gt;"",_xlfn.XLOOKUP(表1_5310[[#This Row],[配件1]],显卡利益点对照表新[型号],显卡利益点对照表新[可显性],"ERROR"),"")</f>
        <v/>
      </c>
      <c r="N16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64" t="str" cm="1">
        <f t="array" ref="Q164">_xlfn.IFS(表1_5310[[#This Row],[配件1]]="","",表1_5310[[#This Row],[文本丨算力丨算力值]]=" ","",表1_5310[[#This Row],[文本丨算力丨算力值]]&lt;&gt;"","算力")</f>
        <v/>
      </c>
    </row>
    <row r="165" spans="2:17" x14ac:dyDescent="0.2">
      <c r="B165" s="22">
        <v>10106589531457</v>
      </c>
      <c r="C165" t="s">
        <v>544</v>
      </c>
      <c r="D165" t="s">
        <v>468</v>
      </c>
      <c r="F165" t="str">
        <f>IF(表1_5310[[#This Row],[配件1]]&lt;&gt;"",_xlfn.XLOOKUP(表1_5310[[#This Row],[配件1]],显卡利益点对照表新[型号],显卡利益点对照表新[[芯片组 ]],"ERROR"),"")</f>
        <v>RTX5060 8G</v>
      </c>
      <c r="G16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165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165" t="str">
        <f>IF(表1_5310[[#This Row],[配件1]]&lt;&gt;"",_xlfn.XLOOKUP(表1_5310[[#This Row],[配件1]],显卡利益点对照表新[型号],显卡利益点对照表新[利益点1],"ERROR"),"")</f>
        <v>铜板+复合式热管</v>
      </c>
      <c r="J165" t="str">
        <f>IF(表1_5310[[#This Row],[配件1]]&lt;&gt;"",_xlfn.XLOOKUP(表1_5310[[#This Row],[配件1]],显卡利益点对照表新[型号],显卡利益点对照表新[利益点2],"ERROR"),"")</f>
        <v>精巧双风扇</v>
      </c>
      <c r="K165" t="str">
        <f>IF(表1_5310[[#This Row],[配件1]]&lt;&gt;"",_xlfn.XLOOKUP(表1_5310[[#This Row],[配件1]],显卡利益点对照表新[型号],显卡利益点对照表新[利益点3],"ERROR"),"")</f>
        <v>仿生降噪风扇</v>
      </c>
      <c r="L165" t="str">
        <f>IF(表1_5310[[#This Row],[配件1]]&lt;&gt;"",_xlfn.XLOOKUP(表1_5310[[#This Row],[配件1]],显卡利益点对照表新[型号],显卡利益点对照表新[算力],"ERROR"),"")</f>
        <v>AI算力614 TOPS</v>
      </c>
      <c r="M165" t="str">
        <f>IF(表1_5310[[#This Row],[配件1]]&lt;&gt;"",_xlfn.XLOOKUP(表1_5310[[#This Row],[配件1]],显卡利益点对照表新[型号],显卡利益点对照表新[可显性],"ERROR"),"")</f>
        <v>GV-N5060WF2MAX OC-8GD</v>
      </c>
      <c r="N16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5" t="s">
        <v>1092</v>
      </c>
      <c r="Q165" t="str" cm="1">
        <f t="array" ref="Q165">_xlfn.IFS(表1_5310[[#This Row],[配件1]]="","",表1_5310[[#This Row],[文本丨算力丨算力值]]=" ","",表1_5310[[#This Row],[文本丨算力丨算力值]]&lt;&gt;"","算力")</f>
        <v>算力</v>
      </c>
    </row>
    <row r="166" spans="2:17" x14ac:dyDescent="0.2">
      <c r="B166" s="22">
        <v>10158981646631</v>
      </c>
      <c r="C166" t="s">
        <v>462</v>
      </c>
      <c r="D166" t="s">
        <v>468</v>
      </c>
      <c r="F166" t="str">
        <f>IF(表1_5310[[#This Row],[配件1]]&lt;&gt;"",_xlfn.XLOOKUP(表1_5310[[#This Row],[配件1]],显卡利益点对照表新[型号],显卡利益点对照表新[[芯片组 ]],"ERROR"),"")</f>
        <v>RTX5060 8G</v>
      </c>
      <c r="G16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16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166" t="str">
        <f>IF(表1_5310[[#This Row],[配件1]]&lt;&gt;"",_xlfn.XLOOKUP(表1_5310[[#This Row],[配件1]],显卡利益点对照表新[型号],显卡利益点对照表新[利益点1],"ERROR"),"")</f>
        <v>铜板+复合式热管</v>
      </c>
      <c r="J166" t="str">
        <f>IF(表1_5310[[#This Row],[配件1]]&lt;&gt;"",_xlfn.XLOOKUP(表1_5310[[#This Row],[配件1]],显卡利益点对照表新[型号],显卡利益点对照表新[利益点2],"ERROR"),"")</f>
        <v>精巧双风扇</v>
      </c>
      <c r="K166" t="str">
        <f>IF(表1_5310[[#This Row],[配件1]]&lt;&gt;"",_xlfn.XLOOKUP(表1_5310[[#This Row],[配件1]],显卡利益点对照表新[型号],显卡利益点对照表新[利益点3],"ERROR"),"")</f>
        <v>仿生降噪风扇</v>
      </c>
      <c r="L166" t="str">
        <f>IF(表1_5310[[#This Row],[配件1]]&lt;&gt;"",_xlfn.XLOOKUP(表1_5310[[#This Row],[配件1]],显卡利益点对照表新[型号],显卡利益点对照表新[算力],"ERROR"),"")</f>
        <v>AI算力614 TOPS</v>
      </c>
      <c r="M166" t="str">
        <f>IF(表1_5310[[#This Row],[配件1]]&lt;&gt;"",_xlfn.XLOOKUP(表1_5310[[#This Row],[配件1]],显卡利益点对照表新[型号],显卡利益点对照表新[可显性],"ERROR"),"")</f>
        <v>GV-N5060EAGLE OC-8GD</v>
      </c>
      <c r="N16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6" t="s">
        <v>1092</v>
      </c>
      <c r="Q166" t="str" cm="1">
        <f t="array" ref="Q166">_xlfn.IFS(表1_5310[[#This Row],[配件1]]="","",表1_5310[[#This Row],[文本丨算力丨算力值]]=" ","",表1_5310[[#This Row],[文本丨算力丨算力值]]&lt;&gt;"","算力")</f>
        <v>算力</v>
      </c>
    </row>
    <row r="167" spans="2:17" x14ac:dyDescent="0.2">
      <c r="B167" s="22">
        <v>10158981646632</v>
      </c>
      <c r="C167" t="s">
        <v>463</v>
      </c>
      <c r="D167" t="s">
        <v>468</v>
      </c>
      <c r="F167" t="str">
        <f>IF(表1_5310[[#This Row],[配件1]]&lt;&gt;"",_xlfn.XLOOKUP(表1_5310[[#This Row],[配件1]],显卡利益点对照表新[型号],显卡利益点对照表新[[芯片组 ]],"ERROR"),"")</f>
        <v>RTX5060 8G</v>
      </c>
      <c r="G16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167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167" t="str">
        <f>IF(表1_5310[[#This Row],[配件1]]&lt;&gt;"",_xlfn.XLOOKUP(表1_5310[[#This Row],[配件1]],显卡利益点对照表新[型号],显卡利益点对照表新[利益点1],"ERROR"),"")</f>
        <v>铜板+复合式热管</v>
      </c>
      <c r="J167" t="str">
        <f>IF(表1_5310[[#This Row],[配件1]]&lt;&gt;"",_xlfn.XLOOKUP(表1_5310[[#This Row],[配件1]],显卡利益点对照表新[型号],显卡利益点对照表新[利益点2],"ERROR"),"")</f>
        <v>精巧双风扇</v>
      </c>
      <c r="K167" t="str">
        <f>IF(表1_5310[[#This Row],[配件1]]&lt;&gt;"",_xlfn.XLOOKUP(表1_5310[[#This Row],[配件1]],显卡利益点对照表新[型号],显卡利益点对照表新[利益点3],"ERROR"),"")</f>
        <v>仿生降噪风扇</v>
      </c>
      <c r="L167" t="str">
        <f>IF(表1_5310[[#This Row],[配件1]]&lt;&gt;"",_xlfn.XLOOKUP(表1_5310[[#This Row],[配件1]],显卡利益点对照表新[型号],显卡利益点对照表新[算力],"ERROR"),"")</f>
        <v>AI算力614 TOPS</v>
      </c>
      <c r="M167" t="str">
        <f>IF(表1_5310[[#This Row],[配件1]]&lt;&gt;"",_xlfn.XLOOKUP(表1_5310[[#This Row],[配件1]],显卡利益点对照表新[型号],显卡利益点对照表新[可显性],"ERROR"),"")</f>
        <v>GV-N5060EAGLEOC ICE-8GD</v>
      </c>
      <c r="N16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7" t="s">
        <v>1092</v>
      </c>
      <c r="Q167" t="str" cm="1">
        <f t="array" ref="Q167">_xlfn.IFS(表1_5310[[#This Row],[配件1]]="","",表1_5310[[#This Row],[文本丨算力丨算力值]]=" ","",表1_5310[[#This Row],[文本丨算力丨算力值]]&lt;&gt;"","算力")</f>
        <v>算力</v>
      </c>
    </row>
    <row r="168" spans="2:17" x14ac:dyDescent="0.2">
      <c r="B168" s="22">
        <v>10106589531458</v>
      </c>
      <c r="C168" t="s">
        <v>464</v>
      </c>
      <c r="D168" t="s">
        <v>468</v>
      </c>
      <c r="F168" t="str">
        <f>IF(表1_5310[[#This Row],[配件1]]&lt;&gt;"",_xlfn.XLOOKUP(表1_5310[[#This Row],[配件1]],显卡利益点对照表新[型号],显卡利益点对照表新[[芯片组 ]],"ERROR"),"")</f>
        <v>RTX5060 8G</v>
      </c>
      <c r="G16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16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168" t="str">
        <f>IF(表1_5310[[#This Row],[配件1]]&lt;&gt;"",_xlfn.XLOOKUP(表1_5310[[#This Row],[配件1]],显卡利益点对照表新[型号],显卡利益点对照表新[利益点1],"ERROR"),"")</f>
        <v>铜板+复合式热管</v>
      </c>
      <c r="J168" t="str">
        <f>IF(表1_5310[[#This Row],[配件1]]&lt;&gt;"",_xlfn.XLOOKUP(表1_5310[[#This Row],[配件1]],显卡利益点对照表新[型号],显卡利益点对照表新[利益点2],"ERROR"),"")</f>
        <v>RGB滑动侧板</v>
      </c>
      <c r="K168" t="str">
        <f>IF(表1_5310[[#This Row],[配件1]]&lt;&gt;"",_xlfn.XLOOKUP(表1_5310[[#This Row],[配件1]],显卡利益点对照表新[型号],显卡利益点对照表新[利益点3],"ERROR"),"")</f>
        <v>强化金属背板</v>
      </c>
      <c r="L168" t="str">
        <f>IF(表1_5310[[#This Row],[配件1]]&lt;&gt;"",_xlfn.XLOOKUP(表1_5310[[#This Row],[配件1]],显卡利益点对照表新[型号],显卡利益点对照表新[算力],"ERROR"),"")</f>
        <v>AI算力614 TOPS</v>
      </c>
      <c r="M168" t="str">
        <f>IF(表1_5310[[#This Row],[配件1]]&lt;&gt;"",_xlfn.XLOOKUP(表1_5310[[#This Row],[配件1]],显卡利益点对照表新[型号],显卡利益点对照表新[可显性],"ERROR"),"")</f>
        <v>GV-N5060GAMING OC-8GD</v>
      </c>
      <c r="N16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8" t="s">
        <v>1092</v>
      </c>
      <c r="Q168" t="str" cm="1">
        <f t="array" ref="Q168">_xlfn.IFS(表1_5310[[#This Row],[配件1]]="","",表1_5310[[#This Row],[文本丨算力丨算力值]]=" ","",表1_5310[[#This Row],[文本丨算力丨算力值]]&lt;&gt;"","算力")</f>
        <v>算力</v>
      </c>
    </row>
    <row r="169" spans="2:17" x14ac:dyDescent="0.2">
      <c r="B169" s="22">
        <v>10106589531459</v>
      </c>
      <c r="C169" t="s">
        <v>465</v>
      </c>
      <c r="D169" t="s">
        <v>468</v>
      </c>
      <c r="F169" t="str">
        <f>IF(表1_5310[[#This Row],[配件1]]&lt;&gt;"",_xlfn.XLOOKUP(表1_5310[[#This Row],[配件1]],显卡利益点对照表新[型号],显卡利益点对照表新[[芯片组 ]],"ERROR"),"")</f>
        <v>RTX5060 8G</v>
      </c>
      <c r="G16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69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69" t="str">
        <f>IF(表1_5310[[#This Row],[配件1]]&lt;&gt;"",_xlfn.XLOOKUP(表1_5310[[#This Row],[配件1]],显卡利益点对照表新[型号],显卡利益点对照表新[利益点1],"ERROR"),"")</f>
        <v>铜板+复合式热管</v>
      </c>
      <c r="J169" t="str">
        <f>IF(表1_5310[[#This Row],[配件1]]&lt;&gt;"",_xlfn.XLOOKUP(表1_5310[[#This Row],[配件1]],显卡利益点对照表新[型号],显卡利益点对照表新[利益点2],"ERROR"),"")</f>
        <v>银白雪装外观</v>
      </c>
      <c r="K169" t="str">
        <f>IF(表1_5310[[#This Row],[配件1]]&lt;&gt;"",_xlfn.XLOOKUP(表1_5310[[#This Row],[配件1]],显卡利益点对照表新[型号],显卡利益点对照表新[利益点3],"ERROR"),"")</f>
        <v>强化金属背板</v>
      </c>
      <c r="L169" t="str">
        <f>IF(表1_5310[[#This Row],[配件1]]&lt;&gt;"",_xlfn.XLOOKUP(表1_5310[[#This Row],[配件1]],显卡利益点对照表新[型号],显卡利益点对照表新[算力],"ERROR"),"")</f>
        <v>AI算力614 TOPS</v>
      </c>
      <c r="M169" t="str">
        <f>IF(表1_5310[[#This Row],[配件1]]&lt;&gt;"",_xlfn.XLOOKUP(表1_5310[[#This Row],[配件1]],显卡利益点对照表新[型号],显卡利益点对照表新[可显性],"ERROR"),"")</f>
        <v>GV-N5060AERO OC-8GD</v>
      </c>
      <c r="N16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9" t="s">
        <v>1092</v>
      </c>
      <c r="Q169" t="str" cm="1">
        <f t="array" ref="Q169">_xlfn.IFS(表1_5310[[#This Row],[配件1]]="","",表1_5310[[#This Row],[文本丨算力丨算力值]]=" ","",表1_5310[[#This Row],[文本丨算力丨算力值]]&lt;&gt;"","算力")</f>
        <v>算力</v>
      </c>
    </row>
    <row r="170" spans="2:17" x14ac:dyDescent="0.2">
      <c r="B170" s="22">
        <v>10106589531462</v>
      </c>
      <c r="C170" t="s">
        <v>1091</v>
      </c>
      <c r="D170" t="s">
        <v>468</v>
      </c>
      <c r="F170" t="str">
        <f>IF(表1_5310[[#This Row],[配件1]]&lt;&gt;"",_xlfn.XLOOKUP(表1_5310[[#This Row],[配件1]],显卡利益点对照表新[型号],显卡利益点对照表新[[芯片组 ]],"ERROR"),"")</f>
        <v>RTX5060 Ti 8G</v>
      </c>
      <c r="G17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OC</v>
      </c>
      <c r="H170" t="str">
        <f>IF(表1_5310[[#This Row],[配件1]]&lt;&gt;"",IF(表1_5310[[#This Row],[配件2]]&lt;&gt;"无"," ",_xlfn.XLOOKUP(表1_5310[[#This Row],[配件1]],显卡利益点对照表新[型号],显卡利益点对照表新[英文名称],"ERROR")),"")</f>
        <v>WF2 OC</v>
      </c>
      <c r="I170" t="str">
        <f>IF(表1_5310[[#This Row],[配件1]]&lt;&gt;"",_xlfn.XLOOKUP(表1_5310[[#This Row],[配件1]],显卡利益点对照表新[型号],显卡利益点对照表新[利益点1],"ERROR"),"")</f>
        <v>铜板+复合式热管</v>
      </c>
      <c r="J170" t="str">
        <f>IF(表1_5310[[#This Row],[配件1]]&lt;&gt;"",_xlfn.XLOOKUP(表1_5310[[#This Row],[配件1]],显卡利益点对照表新[型号],显卡利益点对照表新[利益点2],"ERROR"),"")</f>
        <v>精巧双风扇</v>
      </c>
      <c r="K170" t="str">
        <f>IF(表1_5310[[#This Row],[配件1]]&lt;&gt;"",_xlfn.XLOOKUP(表1_5310[[#This Row],[配件1]],显卡利益点对照表新[型号],显卡利益点对照表新[利益点3],"ERROR"),"")</f>
        <v>仿生降噪风扇</v>
      </c>
      <c r="L170" t="str">
        <f>IF(表1_5310[[#This Row],[配件1]]&lt;&gt;"",_xlfn.XLOOKUP(表1_5310[[#This Row],[配件1]],显卡利益点对照表新[型号],显卡利益点对照表新[算力],"ERROR"),"")</f>
        <v>AI算力759 TOPS</v>
      </c>
      <c r="M170" t="str">
        <f>IF(表1_5310[[#This Row],[配件1]]&lt;&gt;"",_xlfn.XLOOKUP(表1_5310[[#This Row],[配件1]],显卡利益点对照表新[型号],显卡利益点对照表新[可显性],"ERROR"),"")</f>
        <v>GV-N506TWF2 OC-16GD</v>
      </c>
      <c r="N17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0" t="s">
        <v>1092</v>
      </c>
      <c r="Q170" t="str" cm="1">
        <f t="array" ref="Q170">_xlfn.IFS(表1_5310[[#This Row],[配件1]]="","",表1_5310[[#This Row],[文本丨算力丨算力值]]=" ","",表1_5310[[#This Row],[文本丨算力丨算力值]]&lt;&gt;"","算力")</f>
        <v>算力</v>
      </c>
    </row>
    <row r="171" spans="2:17" x14ac:dyDescent="0.2">
      <c r="B171" s="22">
        <v>10150416102777</v>
      </c>
      <c r="C171" t="s">
        <v>259</v>
      </c>
      <c r="D171" t="s">
        <v>468</v>
      </c>
      <c r="F171" t="str">
        <f>IF(表1_5310[[#This Row],[配件1]]&lt;&gt;"",_xlfn.XLOOKUP(表1_5310[[#This Row],[配件1]],显卡利益点对照表新[型号],显卡利益点对照表新[[芯片组 ]],"ERROR"),"")</f>
        <v>RTX5060 Ti 8G</v>
      </c>
      <c r="G17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17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171" t="str">
        <f>IF(表1_5310[[#This Row],[配件1]]&lt;&gt;"",_xlfn.XLOOKUP(表1_5310[[#This Row],[配件1]],显卡利益点对照表新[型号],显卡利益点对照表新[利益点1],"ERROR"),"")</f>
        <v>铜板+复合式热管</v>
      </c>
      <c r="J171" t="str">
        <f>IF(表1_5310[[#This Row],[配件1]]&lt;&gt;"",_xlfn.XLOOKUP(表1_5310[[#This Row],[配件1]],显卡利益点对照表新[型号],显卡利益点对照表新[利益点2],"ERROR"),"")</f>
        <v>精巧双风扇</v>
      </c>
      <c r="K171" t="str">
        <f>IF(表1_5310[[#This Row],[配件1]]&lt;&gt;"",_xlfn.XLOOKUP(表1_5310[[#This Row],[配件1]],显卡利益点对照表新[型号],显卡利益点对照表新[利益点3],"ERROR"),"")</f>
        <v>仿生降噪风扇</v>
      </c>
      <c r="L171" t="str">
        <f>IF(表1_5310[[#This Row],[配件1]]&lt;&gt;"",_xlfn.XLOOKUP(表1_5310[[#This Row],[配件1]],显卡利益点对照表新[型号],显卡利益点对照表新[算力],"ERROR"),"")</f>
        <v>AI算力759 TOPS</v>
      </c>
      <c r="M171" t="str">
        <f>IF(表1_5310[[#This Row],[配件1]]&lt;&gt;"",_xlfn.XLOOKUP(表1_5310[[#This Row],[配件1]],显卡利益点对照表新[型号],显卡利益点对照表新[可显性],"ERROR"),"")</f>
        <v>GV-N506TEAGLE OC-16GD</v>
      </c>
      <c r="N17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1" t="s">
        <v>1092</v>
      </c>
      <c r="Q171" t="str" cm="1">
        <f t="array" ref="Q171">_xlfn.IFS(表1_5310[[#This Row],[配件1]]="","",表1_5310[[#This Row],[文本丨算力丨算力值]]=" ","",表1_5310[[#This Row],[文本丨算力丨算力值]]&lt;&gt;"","算力")</f>
        <v>算力</v>
      </c>
    </row>
    <row r="172" spans="2:17" x14ac:dyDescent="0.2">
      <c r="B172" s="22">
        <v>10150416102778</v>
      </c>
      <c r="C172" t="s">
        <v>258</v>
      </c>
      <c r="D172" t="s">
        <v>468</v>
      </c>
      <c r="F172" t="str">
        <f>IF(表1_5310[[#This Row],[配件1]]&lt;&gt;"",_xlfn.XLOOKUP(表1_5310[[#This Row],[配件1]],显卡利益点对照表新[型号],显卡利益点对照表新[[芯片组 ]],"ERROR"),"")</f>
        <v>RTX5060 Ti 8G</v>
      </c>
      <c r="G17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17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172" t="str">
        <f>IF(表1_5310[[#This Row],[配件1]]&lt;&gt;"",_xlfn.XLOOKUP(表1_5310[[#This Row],[配件1]],显卡利益点对照表新[型号],显卡利益点对照表新[利益点1],"ERROR"),"")</f>
        <v>铜板+复合式热管</v>
      </c>
      <c r="J172" t="str">
        <f>IF(表1_5310[[#This Row],[配件1]]&lt;&gt;"",_xlfn.XLOOKUP(表1_5310[[#This Row],[配件1]],显卡利益点对照表新[型号],显卡利益点对照表新[利益点2],"ERROR"),"")</f>
        <v>精巧双风扇</v>
      </c>
      <c r="K172" t="str">
        <f>IF(表1_5310[[#This Row],[配件1]]&lt;&gt;"",_xlfn.XLOOKUP(表1_5310[[#This Row],[配件1]],显卡利益点对照表新[型号],显卡利益点对照表新[利益点3],"ERROR"),"")</f>
        <v>仿生降噪风扇</v>
      </c>
      <c r="L172" t="str">
        <f>IF(表1_5310[[#This Row],[配件1]]&lt;&gt;"",_xlfn.XLOOKUP(表1_5310[[#This Row],[配件1]],显卡利益点对照表新[型号],显卡利益点对照表新[算力],"ERROR"),"")</f>
        <v>AI算力759 TOPS</v>
      </c>
      <c r="M172" t="str">
        <f>IF(表1_5310[[#This Row],[配件1]]&lt;&gt;"",_xlfn.XLOOKUP(表1_5310[[#This Row],[配件1]],显卡利益点对照表新[型号],显卡利益点对照表新[可显性],"ERROR"),"")</f>
        <v>GV-N506TEAGLE OC ICE-16GD</v>
      </c>
      <c r="N17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2" t="s">
        <v>1092</v>
      </c>
      <c r="Q172" t="str" cm="1">
        <f t="array" ref="Q172">_xlfn.IFS(表1_5310[[#This Row],[配件1]]="","",表1_5310[[#This Row],[文本丨算力丨算力值]]=" ","",表1_5310[[#This Row],[文本丨算力丨算力值]]&lt;&gt;"","算力")</f>
        <v>算力</v>
      </c>
    </row>
    <row r="173" spans="2:17" x14ac:dyDescent="0.2">
      <c r="B173" s="22">
        <v>10106597703639</v>
      </c>
      <c r="C173" t="s">
        <v>255</v>
      </c>
      <c r="D173" t="s">
        <v>468</v>
      </c>
      <c r="F173" t="str">
        <f>IF(表1_5310[[#This Row],[配件1]]&lt;&gt;"",_xlfn.XLOOKUP(表1_5310[[#This Row],[配件1]],显卡利益点对照表新[型号],显卡利益点对照表新[[芯片组 ]],"ERROR"),"")</f>
        <v>RTX5060 Ti 8G</v>
      </c>
      <c r="G17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17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173" t="str">
        <f>IF(表1_5310[[#This Row],[配件1]]&lt;&gt;"",_xlfn.XLOOKUP(表1_5310[[#This Row],[配件1]],显卡利益点对照表新[型号],显卡利益点对照表新[利益点1],"ERROR"),"")</f>
        <v>铜板+复合式热管</v>
      </c>
      <c r="J173" t="str">
        <f>IF(表1_5310[[#This Row],[配件1]]&lt;&gt;"",_xlfn.XLOOKUP(表1_5310[[#This Row],[配件1]],显卡利益点对照表新[型号],显卡利益点对照表新[利益点2],"ERROR"),"")</f>
        <v>RGB滑动侧板</v>
      </c>
      <c r="K173" t="str">
        <f>IF(表1_5310[[#This Row],[配件1]]&lt;&gt;"",_xlfn.XLOOKUP(表1_5310[[#This Row],[配件1]],显卡利益点对照表新[型号],显卡利益点对照表新[利益点3],"ERROR"),"")</f>
        <v>正逆转三风扇</v>
      </c>
      <c r="L173" t="str">
        <f>IF(表1_5310[[#This Row],[配件1]]&lt;&gt;"",_xlfn.XLOOKUP(表1_5310[[#This Row],[配件1]],显卡利益点对照表新[型号],显卡利益点对照表新[算力],"ERROR"),"")</f>
        <v>AI算力759 TOPS</v>
      </c>
      <c r="M173" t="str">
        <f>IF(表1_5310[[#This Row],[配件1]]&lt;&gt;"",_xlfn.XLOOKUP(表1_5310[[#This Row],[配件1]],显卡利益点对照表新[型号],显卡利益点对照表新[可显性],"ERROR"),"")</f>
        <v>GV-N506TGAMING OC-16GD</v>
      </c>
      <c r="N17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3" t="s">
        <v>1092</v>
      </c>
      <c r="Q173" t="str" cm="1">
        <f t="array" ref="Q173">_xlfn.IFS(表1_5310[[#This Row],[配件1]]="","",表1_5310[[#This Row],[文本丨算力丨算力值]]=" ","",表1_5310[[#This Row],[文本丨算力丨算力值]]&lt;&gt;"","算力")</f>
        <v>算力</v>
      </c>
    </row>
    <row r="174" spans="2:17" x14ac:dyDescent="0.2">
      <c r="B174" s="22">
        <v>10106597703640</v>
      </c>
      <c r="C174" t="s">
        <v>253</v>
      </c>
      <c r="D174" t="s">
        <v>468</v>
      </c>
      <c r="F174" t="str">
        <f>IF(表1_5310[[#This Row],[配件1]]&lt;&gt;"",_xlfn.XLOOKUP(表1_5310[[#This Row],[配件1]],显卡利益点对照表新[型号],显卡利益点对照表新[[芯片组 ]],"ERROR"),"")</f>
        <v>RTX5060 Ti 8G</v>
      </c>
      <c r="G17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74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74" t="str">
        <f>IF(表1_5310[[#This Row],[配件1]]&lt;&gt;"",_xlfn.XLOOKUP(表1_5310[[#This Row],[配件1]],显卡利益点对照表新[型号],显卡利益点对照表新[利益点1],"ERROR"),"")</f>
        <v>铜板+复合式热管</v>
      </c>
      <c r="J174" t="str">
        <f>IF(表1_5310[[#This Row],[配件1]]&lt;&gt;"",_xlfn.XLOOKUP(表1_5310[[#This Row],[配件1]],显卡利益点对照表新[型号],显卡利益点对照表新[利益点2],"ERROR"),"")</f>
        <v>银白雪装外观</v>
      </c>
      <c r="K174" t="str">
        <f>IF(表1_5310[[#This Row],[配件1]]&lt;&gt;"",_xlfn.XLOOKUP(表1_5310[[#This Row],[配件1]],显卡利益点对照表新[型号],显卡利益点对照表新[利益点3],"ERROR"),"")</f>
        <v>正逆转三风扇</v>
      </c>
      <c r="L174" t="str">
        <f>IF(表1_5310[[#This Row],[配件1]]&lt;&gt;"",_xlfn.XLOOKUP(表1_5310[[#This Row],[配件1]],显卡利益点对照表新[型号],显卡利益点对照表新[算力],"ERROR"),"")</f>
        <v>AI算力759 TOPS</v>
      </c>
      <c r="M174" t="str">
        <f>IF(表1_5310[[#This Row],[配件1]]&lt;&gt;"",_xlfn.XLOOKUP(表1_5310[[#This Row],[配件1]],显卡利益点对照表新[型号],显卡利益点对照表新[可显性],"ERROR"),"")</f>
        <v>GV-N506TAERO OC-16GD</v>
      </c>
      <c r="N17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4" t="s">
        <v>1092</v>
      </c>
      <c r="Q174" t="str" cm="1">
        <f t="array" ref="Q174">_xlfn.IFS(表1_5310[[#This Row],[配件1]]="","",表1_5310[[#This Row],[文本丨算力丨算力值]]=" ","",表1_5310[[#This Row],[文本丨算力丨算力值]]&lt;&gt;"","算力")</f>
        <v>算力</v>
      </c>
    </row>
    <row r="175" spans="2:17" x14ac:dyDescent="0.2">
      <c r="B175" s="22">
        <v>10150416102779</v>
      </c>
      <c r="C175" t="s">
        <v>254</v>
      </c>
      <c r="D175" t="s">
        <v>468</v>
      </c>
      <c r="F175" t="str">
        <f>IF(表1_5310[[#This Row],[配件1]]&lt;&gt;"",_xlfn.XLOOKUP(表1_5310[[#This Row],[配件1]],显卡利益点对照表新[型号],显卡利益点对照表新[[芯片组 ]],"ERROR"),"")</f>
        <v>RTX5060 Ti 16G</v>
      </c>
      <c r="G17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175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175" t="str">
        <f>IF(表1_5310[[#This Row],[配件1]]&lt;&gt;"",_xlfn.XLOOKUP(表1_5310[[#This Row],[配件1]],显卡利益点对照表新[型号],显卡利益点对照表新[利益点1],"ERROR"),"")</f>
        <v>铜板+复合式热管</v>
      </c>
      <c r="J175" t="str">
        <f>IF(表1_5310[[#This Row],[配件1]]&lt;&gt;"",_xlfn.XLOOKUP(表1_5310[[#This Row],[配件1]],显卡利益点对照表新[型号],显卡利益点对照表新[利益点2],"ERROR"),"")</f>
        <v>精巧双风扇</v>
      </c>
      <c r="K175" t="str">
        <f>IF(表1_5310[[#This Row],[配件1]]&lt;&gt;"",_xlfn.XLOOKUP(表1_5310[[#This Row],[配件1]],显卡利益点对照表新[型号],显卡利益点对照表新[利益点3],"ERROR"),"")</f>
        <v>16G大显存</v>
      </c>
      <c r="L175" t="str">
        <f>IF(表1_5310[[#This Row],[配件1]]&lt;&gt;"",_xlfn.XLOOKUP(表1_5310[[#This Row],[配件1]],显卡利益点对照表新[型号],显卡利益点对照表新[算力],"ERROR"),"")</f>
        <v>AI算力759 TOPS</v>
      </c>
      <c r="M175" t="str">
        <f>IF(表1_5310[[#This Row],[配件1]]&lt;&gt;"",_xlfn.XLOOKUP(表1_5310[[#This Row],[配件1]],显卡利益点对照表新[型号],显卡利益点对照表新[可显性],"ERROR"),"")</f>
        <v>GV-N506TWF2-16GD</v>
      </c>
      <c r="N17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5" t="s">
        <v>1092</v>
      </c>
      <c r="Q175" t="str" cm="1">
        <f t="array" ref="Q175">_xlfn.IFS(表1_5310[[#This Row],[配件1]]="","",表1_5310[[#This Row],[文本丨算力丨算力值]]=" ","",表1_5310[[#This Row],[文本丨算力丨算力值]]&lt;&gt;"","算力")</f>
        <v>算力</v>
      </c>
    </row>
    <row r="176" spans="2:17" x14ac:dyDescent="0.2">
      <c r="B176" s="22">
        <v>10150416102780</v>
      </c>
      <c r="C176" t="s">
        <v>261</v>
      </c>
      <c r="D176" t="s">
        <v>468</v>
      </c>
      <c r="F176" t="str">
        <f>IF(表1_5310[[#This Row],[配件1]]&lt;&gt;"",_xlfn.XLOOKUP(表1_5310[[#This Row],[配件1]],显卡利益点对照表新[型号],显卡利益点对照表新[[芯片组 ]],"ERROR"),"")</f>
        <v>RTX5060 Ti 8G</v>
      </c>
      <c r="G17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17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176" t="str">
        <f>IF(表1_5310[[#This Row],[配件1]]&lt;&gt;"",_xlfn.XLOOKUP(表1_5310[[#This Row],[配件1]],显卡利益点对照表新[型号],显卡利益点对照表新[利益点1],"ERROR"),"")</f>
        <v>铜板+复合式热管</v>
      </c>
      <c r="J176" t="str">
        <f>IF(表1_5310[[#This Row],[配件1]]&lt;&gt;"",_xlfn.XLOOKUP(表1_5310[[#This Row],[配件1]],显卡利益点对照表新[型号],显卡利益点对照表新[利益点2],"ERROR"),"")</f>
        <v>精巧双风扇</v>
      </c>
      <c r="K176" t="str">
        <f>IF(表1_5310[[#This Row],[配件1]]&lt;&gt;"",_xlfn.XLOOKUP(表1_5310[[#This Row],[配件1]],显卡利益点对照表新[型号],显卡利益点对照表新[利益点3],"ERROR"),"")</f>
        <v>16G大显存</v>
      </c>
      <c r="L176" t="str">
        <f>IF(表1_5310[[#This Row],[配件1]]&lt;&gt;"",_xlfn.XLOOKUP(表1_5310[[#This Row],[配件1]],显卡利益点对照表新[型号],显卡利益点对照表新[算力],"ERROR"),"")</f>
        <v>AI算力759 TOPS</v>
      </c>
      <c r="M176" t="str">
        <f>IF(表1_5310[[#This Row],[配件1]]&lt;&gt;"",_xlfn.XLOOKUP(表1_5310[[#This Row],[配件1]],显卡利益点对照表新[型号],显卡利益点对照表新[可显性],"ERROR"),"")</f>
        <v>GV-N506TEAGLE OC-16GD</v>
      </c>
      <c r="N17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6" t="s">
        <v>1092</v>
      </c>
      <c r="Q176" t="str" cm="1">
        <f t="array" ref="Q176">_xlfn.IFS(表1_5310[[#This Row],[配件1]]="","",表1_5310[[#This Row],[文本丨算力丨算力值]]=" ","",表1_5310[[#This Row],[文本丨算力丨算力值]]&lt;&gt;"","算力")</f>
        <v>算力</v>
      </c>
    </row>
    <row r="177" spans="2:17" x14ac:dyDescent="0.2">
      <c r="B177" s="22">
        <v>10150416102781</v>
      </c>
      <c r="C177" t="s">
        <v>257</v>
      </c>
      <c r="D177" t="s">
        <v>468</v>
      </c>
      <c r="F177" t="str">
        <f>IF(表1_5310[[#This Row],[配件1]]&lt;&gt;"",_xlfn.XLOOKUP(表1_5310[[#This Row],[配件1]],显卡利益点对照表新[型号],显卡利益点对照表新[[芯片组 ]],"ERROR"),"")</f>
        <v>RTX5060 Ti 16G</v>
      </c>
      <c r="G17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177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177" t="str">
        <f>IF(表1_5310[[#This Row],[配件1]]&lt;&gt;"",_xlfn.XLOOKUP(表1_5310[[#This Row],[配件1]],显卡利益点对照表新[型号],显卡利益点对照表新[利益点1],"ERROR"),"")</f>
        <v>铜板+复合式热管</v>
      </c>
      <c r="J177" t="str">
        <f>IF(表1_5310[[#This Row],[配件1]]&lt;&gt;"",_xlfn.XLOOKUP(表1_5310[[#This Row],[配件1]],显卡利益点对照表新[型号],显卡利益点对照表新[利益点2],"ERROR"),"")</f>
        <v>精巧双风扇</v>
      </c>
      <c r="K177" t="str">
        <f>IF(表1_5310[[#This Row],[配件1]]&lt;&gt;"",_xlfn.XLOOKUP(表1_5310[[#This Row],[配件1]],显卡利益点对照表新[型号],显卡利益点对照表新[利益点3],"ERROR"),"")</f>
        <v>16G大显存</v>
      </c>
      <c r="L177" t="str">
        <f>IF(表1_5310[[#This Row],[配件1]]&lt;&gt;"",_xlfn.XLOOKUP(表1_5310[[#This Row],[配件1]],显卡利益点对照表新[型号],显卡利益点对照表新[算力],"ERROR"),"")</f>
        <v>AI算力759 TOPS</v>
      </c>
      <c r="M177" t="str">
        <f>IF(表1_5310[[#This Row],[配件1]]&lt;&gt;"",_xlfn.XLOOKUP(表1_5310[[#This Row],[配件1]],显卡利益点对照表新[型号],显卡利益点对照表新[可显性],"ERROR"),"")</f>
        <v>GV-N506TEAGLE OC ICE-16GD</v>
      </c>
      <c r="N17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7" t="s">
        <v>1092</v>
      </c>
      <c r="Q177" t="str" cm="1">
        <f t="array" ref="Q177">_xlfn.IFS(表1_5310[[#This Row],[配件1]]="","",表1_5310[[#This Row],[文本丨算力丨算力值]]=" ","",表1_5310[[#This Row],[文本丨算力丨算力值]]&lt;&gt;"","算力")</f>
        <v>算力</v>
      </c>
    </row>
    <row r="178" spans="2:17" x14ac:dyDescent="0.2">
      <c r="B178" s="22">
        <v>10150416102782</v>
      </c>
      <c r="C178" t="s">
        <v>256</v>
      </c>
      <c r="D178" t="s">
        <v>468</v>
      </c>
      <c r="F178" t="str">
        <f>IF(表1_5310[[#This Row],[配件1]]&lt;&gt;"",_xlfn.XLOOKUP(表1_5310[[#This Row],[配件1]],显卡利益点对照表新[型号],显卡利益点对照表新[[芯片组 ]],"ERROR"),"")</f>
        <v>RTX5060 Ti 16G</v>
      </c>
      <c r="G17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17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178" t="str">
        <f>IF(表1_5310[[#This Row],[配件1]]&lt;&gt;"",_xlfn.XLOOKUP(表1_5310[[#This Row],[配件1]],显卡利益点对照表新[型号],显卡利益点对照表新[利益点1],"ERROR"),"")</f>
        <v>铜板+复合式热管</v>
      </c>
      <c r="J178" t="str">
        <f>IF(表1_5310[[#This Row],[配件1]]&lt;&gt;"",_xlfn.XLOOKUP(表1_5310[[#This Row],[配件1]],显卡利益点对照表新[型号],显卡利益点对照表新[利益点2],"ERROR"),"")</f>
        <v>RGB滑动侧板</v>
      </c>
      <c r="K178" t="str">
        <f>IF(表1_5310[[#This Row],[配件1]]&lt;&gt;"",_xlfn.XLOOKUP(表1_5310[[#This Row],[配件1]],显卡利益点对照表新[型号],显卡利益点对照表新[利益点3],"ERROR"),"")</f>
        <v>正逆转三风扇</v>
      </c>
      <c r="L178" t="str">
        <f>IF(表1_5310[[#This Row],[配件1]]&lt;&gt;"",_xlfn.XLOOKUP(表1_5310[[#This Row],[配件1]],显卡利益点对照表新[型号],显卡利益点对照表新[算力],"ERROR"),"")</f>
        <v>AI算力759 TOPS</v>
      </c>
      <c r="M178" t="str">
        <f>IF(表1_5310[[#This Row],[配件1]]&lt;&gt;"",_xlfn.XLOOKUP(表1_5310[[#This Row],[配件1]],显卡利益点对照表新[型号],显卡利益点对照表新[可显性],"ERROR"),"")</f>
        <v>GV-N506TGAMING OC-16GD</v>
      </c>
      <c r="N17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8" t="s">
        <v>1092</v>
      </c>
      <c r="Q178" t="str" cm="1">
        <f t="array" ref="Q178">_xlfn.IFS(表1_5310[[#This Row],[配件1]]="","",表1_5310[[#This Row],[文本丨算力丨算力值]]=" ","",表1_5310[[#This Row],[文本丨算力丨算力值]]&lt;&gt;"","算力")</f>
        <v>算力</v>
      </c>
    </row>
    <row r="179" spans="2:17" x14ac:dyDescent="0.2">
      <c r="B179" s="22">
        <v>10150416102783</v>
      </c>
      <c r="C179" t="s">
        <v>252</v>
      </c>
      <c r="D179" t="s">
        <v>468</v>
      </c>
      <c r="F179" t="str">
        <f>IF(表1_5310[[#This Row],[配件1]]&lt;&gt;"",_xlfn.XLOOKUP(表1_5310[[#This Row],[配件1]],显卡利益点对照表新[型号],显卡利益点对照表新[[芯片组 ]],"ERROR"),"")</f>
        <v>RTX5060 Ti 16G</v>
      </c>
      <c r="G17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79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79" t="str">
        <f>IF(表1_5310[[#This Row],[配件1]]&lt;&gt;"",_xlfn.XLOOKUP(表1_5310[[#This Row],[配件1]],显卡利益点对照表新[型号],显卡利益点对照表新[利益点1],"ERROR"),"")</f>
        <v>铜板+复合式热管</v>
      </c>
      <c r="J179" t="str">
        <f>IF(表1_5310[[#This Row],[配件1]]&lt;&gt;"",_xlfn.XLOOKUP(表1_5310[[#This Row],[配件1]],显卡利益点对照表新[型号],显卡利益点对照表新[利益点2],"ERROR"),"")</f>
        <v>银白雪装外观</v>
      </c>
      <c r="K179" t="str">
        <f>IF(表1_5310[[#This Row],[配件1]]&lt;&gt;"",_xlfn.XLOOKUP(表1_5310[[#This Row],[配件1]],显卡利益点对照表新[型号],显卡利益点对照表新[利益点3],"ERROR"),"")</f>
        <v>正逆转三风扇</v>
      </c>
      <c r="L179" t="str">
        <f>IF(表1_5310[[#This Row],[配件1]]&lt;&gt;"",_xlfn.XLOOKUP(表1_5310[[#This Row],[配件1]],显卡利益点对照表新[型号],显卡利益点对照表新[算力],"ERROR"),"")</f>
        <v>AI算力759 TOPS</v>
      </c>
      <c r="M179" t="str">
        <f>IF(表1_5310[[#This Row],[配件1]]&lt;&gt;"",_xlfn.XLOOKUP(表1_5310[[#This Row],[配件1]],显卡利益点对照表新[型号],显卡利益点对照表新[可显性],"ERROR"),"")</f>
        <v>GV-N506TAERO OC-16GD</v>
      </c>
      <c r="N17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9" t="s">
        <v>1092</v>
      </c>
      <c r="Q179" t="str" cm="1">
        <f t="array" ref="Q179">_xlfn.IFS(表1_5310[[#This Row],[配件1]]="","",表1_5310[[#This Row],[文本丨算力丨算力值]]=" ","",表1_5310[[#This Row],[文本丨算力丨算力值]]&lt;&gt;"","算力")</f>
        <v>算力</v>
      </c>
    </row>
    <row r="180" spans="2:17" x14ac:dyDescent="0.2">
      <c r="F180" t="str">
        <f>IF(表1_5310[[#This Row],[配件1]]&lt;&gt;"",_xlfn.XLOOKUP(表1_5310[[#This Row],[配件1]],显卡利益点对照表新[型号],显卡利益点对照表新[[芯片组 ]],"ERROR"),"")</f>
        <v/>
      </c>
      <c r="G18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80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80" t="str">
        <f>IF(表1_5310[[#This Row],[配件1]]&lt;&gt;"",_xlfn.XLOOKUP(表1_5310[[#This Row],[配件1]],显卡利益点对照表新[型号],显卡利益点对照表新[利益点1],"ERROR"),"")</f>
        <v/>
      </c>
      <c r="J180" t="str">
        <f>IF(表1_5310[[#This Row],[配件1]]&lt;&gt;"",_xlfn.XLOOKUP(表1_5310[[#This Row],[配件1]],显卡利益点对照表新[型号],显卡利益点对照表新[利益点2],"ERROR"),"")</f>
        <v/>
      </c>
      <c r="K180" t="str">
        <f>IF(表1_5310[[#This Row],[配件1]]&lt;&gt;"",_xlfn.XLOOKUP(表1_5310[[#This Row],[配件1]],显卡利益点对照表新[型号],显卡利益点对照表新[利益点3],"ERROR"),"")</f>
        <v/>
      </c>
      <c r="L180" t="str">
        <f>IF(表1_5310[[#This Row],[配件1]]&lt;&gt;"",_xlfn.XLOOKUP(表1_5310[[#This Row],[配件1]],显卡利益点对照表新[型号],显卡利益点对照表新[算力],"ERROR"),"")</f>
        <v/>
      </c>
      <c r="M180" t="str">
        <f>IF(表1_5310[[#This Row],[配件1]]&lt;&gt;"",_xlfn.XLOOKUP(表1_5310[[#This Row],[配件1]],显卡利益点对照表新[型号],显卡利益点对照表新[可显性],"ERROR"),"")</f>
        <v/>
      </c>
      <c r="N18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80" t="str" cm="1">
        <f t="array" ref="Q180">_xlfn.IFS(表1_5310[[#This Row],[配件1]]="","",表1_5310[[#This Row],[文本丨算力丨算力值]]=" ","",表1_5310[[#This Row],[文本丨算力丨算力值]]&lt;&gt;"","算力")</f>
        <v/>
      </c>
    </row>
    <row r="181" spans="2:17" x14ac:dyDescent="0.2">
      <c r="B181" s="22">
        <v>10142218032615</v>
      </c>
      <c r="C181" t="s">
        <v>356</v>
      </c>
      <c r="D181" t="s">
        <v>468</v>
      </c>
      <c r="F181" t="str">
        <f>IF(表1_5310[[#This Row],[配件1]]&lt;&gt;"",_xlfn.XLOOKUP(表1_5310[[#This Row],[配件1]],显卡利益点对照表新[型号],显卡利益点对照表新[[芯片组 ]],"ERROR"),"")</f>
        <v>RTX5070 12G</v>
      </c>
      <c r="G18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181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181" t="str">
        <f>IF(表1_5310[[#This Row],[配件1]]&lt;&gt;"",_xlfn.XLOOKUP(表1_5310[[#This Row],[配件1]],显卡利益点对照表新[型号],显卡利益点对照表新[利益点1],"ERROR"),"")</f>
        <v>3D智能启停风扇</v>
      </c>
      <c r="J181" t="str">
        <f>IF(表1_5310[[#This Row],[配件1]]&lt;&gt;"",_xlfn.XLOOKUP(表1_5310[[#This Row],[配件1]],显卡利益点对照表新[型号],显卡利益点对照表新[利益点2],"ERROR"),"")</f>
        <v>SFF小尺寸</v>
      </c>
      <c r="K181" t="str">
        <f>IF(表1_5310[[#This Row],[配件1]]&lt;&gt;"",_xlfn.XLOOKUP(表1_5310[[#This Row],[配件1]],显卡利益点对照表新[型号],显卡利益点对照表新[利益点3],"ERROR"),"")</f>
        <v>四重高效散热</v>
      </c>
      <c r="L181" t="str">
        <f>IF(表1_5310[[#This Row],[配件1]]&lt;&gt;"",_xlfn.XLOOKUP(表1_5310[[#This Row],[配件1]],显卡利益点对照表新[型号],显卡利益点对照表新[算力],"ERROR"),"")</f>
        <v>AI算力988 TOPS</v>
      </c>
      <c r="M181" t="str">
        <f>IF(表1_5310[[#This Row],[配件1]]&lt;&gt;"",_xlfn.XLOOKUP(表1_5310[[#This Row],[配件1]],显卡利益点对照表新[型号],显卡利益点对照表新[可显性],"ERROR"),"")</f>
        <v>GV-N5070WF3-12GD</v>
      </c>
      <c r="N18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1" t="s">
        <v>1092</v>
      </c>
      <c r="Q181" t="str" cm="1">
        <f t="array" ref="Q181">_xlfn.IFS(表1_5310[[#This Row],[配件1]]="","",表1_5310[[#This Row],[文本丨算力丨算力值]]=" ","",表1_5310[[#This Row],[文本丨算力丨算力值]]&lt;&gt;"","算力")</f>
        <v>算力</v>
      </c>
    </row>
    <row r="182" spans="2:17" x14ac:dyDescent="0.2">
      <c r="B182" s="22">
        <v>10142218032616</v>
      </c>
      <c r="C182" t="s">
        <v>57</v>
      </c>
      <c r="D182" t="s">
        <v>468</v>
      </c>
      <c r="F182" t="str">
        <f>IF(表1_5310[[#This Row],[配件1]]&lt;&gt;"",_xlfn.XLOOKUP(表1_5310[[#This Row],[配件1]],显卡利益点对照表新[型号],显卡利益点对照表新[[芯片组 ]],"ERROR"),"")</f>
        <v>RTX5070 12G</v>
      </c>
      <c r="G18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18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182" t="str">
        <f>IF(表1_5310[[#This Row],[配件1]]&lt;&gt;"",_xlfn.XLOOKUP(表1_5310[[#This Row],[配件1]],显卡利益点对照表新[型号],显卡利益点对照表新[利益点1],"ERROR"),"")</f>
        <v>3D智能启停风扇</v>
      </c>
      <c r="J182" t="str">
        <f>IF(表1_5310[[#This Row],[配件1]]&lt;&gt;"",_xlfn.XLOOKUP(表1_5310[[#This Row],[配件1]],显卡利益点对照表新[型号],显卡利益点对照表新[利益点2],"ERROR"),"")</f>
        <v>SFF小尺寸</v>
      </c>
      <c r="K182" t="str">
        <f>IF(表1_5310[[#This Row],[配件1]]&lt;&gt;"",_xlfn.XLOOKUP(表1_5310[[#This Row],[配件1]],显卡利益点对照表新[型号],显卡利益点对照表新[利益点3],"ERROR"),"")</f>
        <v>四重高效散热</v>
      </c>
      <c r="L182" t="str">
        <f>IF(表1_5310[[#This Row],[配件1]]&lt;&gt;"",_xlfn.XLOOKUP(表1_5310[[#This Row],[配件1]],显卡利益点对照表新[型号],显卡利益点对照表新[算力],"ERROR"),"")</f>
        <v>AI算力988 TOPS</v>
      </c>
      <c r="M182" t="str">
        <f>IF(表1_5310[[#This Row],[配件1]]&lt;&gt;"",_xlfn.XLOOKUP(表1_5310[[#This Row],[配件1]],显卡利益点对照表新[型号],显卡利益点对照表新[可显性],"ERROR"),"")</f>
        <v>GV-N5070EAGLE OC-12GD</v>
      </c>
      <c r="N18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2" t="s">
        <v>1092</v>
      </c>
      <c r="Q182" t="str" cm="1">
        <f t="array" ref="Q182">_xlfn.IFS(表1_5310[[#This Row],[配件1]]="","",表1_5310[[#This Row],[文本丨算力丨算力值]]=" ","",表1_5310[[#This Row],[文本丨算力丨算力值]]&lt;&gt;"","算力")</f>
        <v>算力</v>
      </c>
    </row>
    <row r="183" spans="2:17" x14ac:dyDescent="0.2">
      <c r="B183" s="22">
        <v>10142218032617</v>
      </c>
      <c r="C183" t="s">
        <v>60</v>
      </c>
      <c r="D183" t="s">
        <v>468</v>
      </c>
      <c r="F183" t="str">
        <f>IF(表1_5310[[#This Row],[配件1]]&lt;&gt;"",_xlfn.XLOOKUP(表1_5310[[#This Row],[配件1]],显卡利益点对照表新[型号],显卡利益点对照表新[[芯片组 ]],"ERROR"),"")</f>
        <v>RTX5070 12G</v>
      </c>
      <c r="G18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183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183" t="str">
        <f>IF(表1_5310[[#This Row],[配件1]]&lt;&gt;"",_xlfn.XLOOKUP(表1_5310[[#This Row],[配件1]],显卡利益点对照表新[型号],显卡利益点对照表新[利益点1],"ERROR"),"")</f>
        <v>3D智能启停风扇</v>
      </c>
      <c r="J183" t="str">
        <f>IF(表1_5310[[#This Row],[配件1]]&lt;&gt;"",_xlfn.XLOOKUP(表1_5310[[#This Row],[配件1]],显卡利益点对照表新[型号],显卡利益点对照表新[利益点2],"ERROR"),"")</f>
        <v>SFF小尺寸</v>
      </c>
      <c r="K183" t="str">
        <f>IF(表1_5310[[#This Row],[配件1]]&lt;&gt;"",_xlfn.XLOOKUP(表1_5310[[#This Row],[配件1]],显卡利益点对照表新[型号],显卡利益点对照表新[利益点3],"ERROR"),"")</f>
        <v>四重高效散热</v>
      </c>
      <c r="L183" t="str">
        <f>IF(表1_5310[[#This Row],[配件1]]&lt;&gt;"",_xlfn.XLOOKUP(表1_5310[[#This Row],[配件1]],显卡利益点对照表新[型号],显卡利益点对照表新[算力],"ERROR"),"")</f>
        <v>AI算力988 TOPS</v>
      </c>
      <c r="M183" t="str">
        <f>IF(表1_5310[[#This Row],[配件1]]&lt;&gt;"",_xlfn.XLOOKUP(表1_5310[[#This Row],[配件1]],显卡利益点对照表新[型号],显卡利益点对照表新[可显性],"ERROR"),"")</f>
        <v>GV-N5070EAGLEOC ICE-12GD</v>
      </c>
      <c r="N18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3" t="s">
        <v>1092</v>
      </c>
      <c r="Q183" t="str" cm="1">
        <f t="array" ref="Q183">_xlfn.IFS(表1_5310[[#This Row],[配件1]]="","",表1_5310[[#This Row],[文本丨算力丨算力值]]=" ","",表1_5310[[#This Row],[文本丨算力丨算力值]]&lt;&gt;"","算力")</f>
        <v>算力</v>
      </c>
    </row>
    <row r="184" spans="2:17" x14ac:dyDescent="0.2">
      <c r="B184" s="22">
        <v>10142218032618</v>
      </c>
      <c r="C184" t="s">
        <v>61</v>
      </c>
      <c r="D184" t="s">
        <v>468</v>
      </c>
      <c r="F184" t="str">
        <f>IF(表1_5310[[#This Row],[配件1]]&lt;&gt;"",_xlfn.XLOOKUP(表1_5310[[#This Row],[配件1]],显卡利益点对照表新[型号],显卡利益点对照表新[[芯片组 ]],"ERROR"),"")</f>
        <v>RTX5070 12G</v>
      </c>
      <c r="G18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8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84" t="str">
        <f>IF(表1_5310[[#This Row],[配件1]]&lt;&gt;"",_xlfn.XLOOKUP(表1_5310[[#This Row],[配件1]],显卡利益点对照表新[型号],显卡利益点对照表新[利益点1],"ERROR"),"")</f>
        <v>注册4年保/个人送保</v>
      </c>
      <c r="J184" t="str">
        <f>IF(表1_5310[[#This Row],[配件1]]&lt;&gt;"",_xlfn.XLOOKUP(表1_5310[[#This Row],[配件1]],显卡利益点对照表新[型号],显卡利益点对照表新[利益点2],"ERROR"),"")</f>
        <v>RGB幻彩光轮</v>
      </c>
      <c r="K184" t="str">
        <f>IF(表1_5310[[#This Row],[配件1]]&lt;&gt;"",_xlfn.XLOOKUP(表1_5310[[#This Row],[配件1]],显卡利益点对照表新[型号],显卡利益点对照表新[利益点3],"ERROR"),"")</f>
        <v>四重高效散热</v>
      </c>
      <c r="L184" t="str">
        <f>IF(表1_5310[[#This Row],[配件1]]&lt;&gt;"",_xlfn.XLOOKUP(表1_5310[[#This Row],[配件1]],显卡利益点对照表新[型号],显卡利益点对照表新[算力],"ERROR"),"")</f>
        <v>AI算力988 TOPS</v>
      </c>
      <c r="M184" t="str">
        <f>IF(表1_5310[[#This Row],[配件1]]&lt;&gt;"",_xlfn.XLOOKUP(表1_5310[[#This Row],[配件1]],显卡利益点对照表新[型号],显卡利益点对照表新[可显性],"ERROR"),"")</f>
        <v>GV-N5070GAMING OC-12GD</v>
      </c>
      <c r="N18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4" t="s">
        <v>1092</v>
      </c>
      <c r="Q184" t="str" cm="1">
        <f t="array" ref="Q184">_xlfn.IFS(表1_5310[[#This Row],[配件1]]="","",表1_5310[[#This Row],[文本丨算力丨算力值]]=" ","",表1_5310[[#This Row],[文本丨算力丨算力值]]&lt;&gt;"","算力")</f>
        <v>算力</v>
      </c>
    </row>
    <row r="185" spans="2:17" x14ac:dyDescent="0.2">
      <c r="B185" s="22">
        <v>10142218032619</v>
      </c>
      <c r="C185" t="s">
        <v>66</v>
      </c>
      <c r="D185" t="s">
        <v>468</v>
      </c>
      <c r="F185" t="str">
        <f>IF(表1_5310[[#This Row],[配件1]]&lt;&gt;"",_xlfn.XLOOKUP(表1_5310[[#This Row],[配件1]],显卡利益点对照表新[型号],显卡利益点对照表新[[芯片组 ]],"ERROR"),"")</f>
        <v>RTX5070 12G</v>
      </c>
      <c r="G18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8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85" t="str">
        <f>IF(表1_5310[[#This Row],[配件1]]&lt;&gt;"",_xlfn.XLOOKUP(表1_5310[[#This Row],[配件1]],显卡利益点对照表新[型号],显卡利益点对照表新[利益点1],"ERROR"),"")</f>
        <v>注册4年保/个人送保</v>
      </c>
      <c r="J185" t="str">
        <f>IF(表1_5310[[#This Row],[配件1]]&lt;&gt;"",_xlfn.XLOOKUP(表1_5310[[#This Row],[配件1]],显卡利益点对照表新[型号],显卡利益点对照表新[利益点2],"ERROR"),"")</f>
        <v>纯白雪装限定</v>
      </c>
      <c r="K185" t="str">
        <f>IF(表1_5310[[#This Row],[配件1]]&lt;&gt;"",_xlfn.XLOOKUP(表1_5310[[#This Row],[配件1]],显卡利益点对照表新[型号],显卡利益点对照表新[利益点3],"ERROR"),"")</f>
        <v>四重高效散热</v>
      </c>
      <c r="L185" t="str">
        <f>IF(表1_5310[[#This Row],[配件1]]&lt;&gt;"",_xlfn.XLOOKUP(表1_5310[[#This Row],[配件1]],显卡利益点对照表新[型号],显卡利益点对照表新[算力],"ERROR"),"")</f>
        <v>AI算力988 TOPS</v>
      </c>
      <c r="M185" t="str">
        <f>IF(表1_5310[[#This Row],[配件1]]&lt;&gt;"",_xlfn.XLOOKUP(表1_5310[[#This Row],[配件1]],显卡利益点对照表新[型号],显卡利益点对照表新[可显性],"ERROR"),"")</f>
        <v>GV-N5070AERO OC-12GD</v>
      </c>
      <c r="N18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5" t="s">
        <v>1092</v>
      </c>
      <c r="Q185" t="str" cm="1">
        <f t="array" ref="Q185">_xlfn.IFS(表1_5310[[#This Row],[配件1]]="","",表1_5310[[#This Row],[文本丨算力丨算力值]]=" ","",表1_5310[[#This Row],[文本丨算力丨算力值]]&lt;&gt;"","算力")</f>
        <v>算力</v>
      </c>
    </row>
    <row r="186" spans="2:17" x14ac:dyDescent="0.2">
      <c r="B186" s="22">
        <v>10176552586374</v>
      </c>
      <c r="C186" t="s">
        <v>69</v>
      </c>
      <c r="D186" t="s">
        <v>468</v>
      </c>
      <c r="F186" t="str">
        <f>IF(表1_5310[[#This Row],[配件1]]&lt;&gt;"",_xlfn.XLOOKUP(表1_5310[[#This Row],[配件1]],显卡利益点对照表新[型号],显卡利益点对照表新[[芯片组 ]],"ERROR"),"")</f>
        <v>RTX5070 12G</v>
      </c>
      <c r="G18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186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86" t="str">
        <f>IF(表1_5310[[#This Row],[配件1]]&lt;&gt;"",_xlfn.XLOOKUP(表1_5310[[#This Row],[配件1]],显卡利益点对照表新[型号],显卡利益点对照表新[利益点1],"ERROR"),"")</f>
        <v>注册4年保/个人送保</v>
      </c>
      <c r="J186" t="str">
        <f>IF(表1_5310[[#This Row],[配件1]]&lt;&gt;"",_xlfn.XLOOKUP(表1_5310[[#This Row],[配件1]],显卡利益点对照表新[型号],显卡利益点对照表新[利益点2],"ERROR"),"")</f>
        <v>LCD 自定义屏幕</v>
      </c>
      <c r="K186" t="str">
        <f>IF(表1_5310[[#This Row],[配件1]]&lt;&gt;"",_xlfn.XLOOKUP(表1_5310[[#This Row],[配件1]],显卡利益点对照表新[型号],显卡利益点对照表新[利益点3],"ERROR"),"")</f>
        <v>五重高效散热</v>
      </c>
      <c r="L186" t="str">
        <f>IF(表1_5310[[#This Row],[配件1]]&lt;&gt;"",_xlfn.XLOOKUP(表1_5310[[#This Row],[配件1]],显卡利益点对照表新[型号],显卡利益点对照表新[算力],"ERROR"),"")</f>
        <v>AI算力988 TOPS</v>
      </c>
      <c r="M186" t="str">
        <f>IF(表1_5310[[#This Row],[配件1]]&lt;&gt;"",_xlfn.XLOOKUP(表1_5310[[#This Row],[配件1]],显卡利益点对照表新[型号],显卡利益点对照表新[可显性],"ERROR"),"")</f>
        <v>GV-N5070AORUS M-12GD</v>
      </c>
      <c r="N18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6" t="s">
        <v>1092</v>
      </c>
      <c r="Q186" t="str" cm="1">
        <f t="array" ref="Q186">_xlfn.IFS(表1_5310[[#This Row],[配件1]]="","",表1_5310[[#This Row],[文本丨算力丨算力值]]=" ","",表1_5310[[#This Row],[文本丨算力丨算力值]]&lt;&gt;"","算力")</f>
        <v>算力</v>
      </c>
    </row>
    <row r="187" spans="2:17" x14ac:dyDescent="0.2">
      <c r="B187" s="22">
        <v>10142182915924</v>
      </c>
      <c r="C187" t="s">
        <v>1073</v>
      </c>
      <c r="D187" t="s">
        <v>468</v>
      </c>
      <c r="F187" t="str">
        <f>IF(表1_5310[[#This Row],[配件1]]&lt;&gt;"",_xlfn.XLOOKUP(表1_5310[[#This Row],[配件1]],显卡利益点对照表新[型号],显卡利益点对照表新[[芯片组 ]],"ERROR"),"")</f>
        <v>RTX5070Ti 16G</v>
      </c>
      <c r="G18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187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187" t="str">
        <f>IF(表1_5310[[#This Row],[配件1]]&lt;&gt;"",_xlfn.XLOOKUP(表1_5310[[#This Row],[配件1]],显卡利益点对照表新[型号],显卡利益点对照表新[利益点1],"ERROR"),"")</f>
        <v>可调式显卡支架</v>
      </c>
      <c r="J187" t="str">
        <f>IF(表1_5310[[#This Row],[配件1]]&lt;&gt;"",_xlfn.XLOOKUP(表1_5310[[#This Row],[配件1]],显卡利益点对照表新[型号],显卡利益点对照表新[利益点2],"ERROR"),"")</f>
        <v>SFF小尺寸</v>
      </c>
      <c r="K187" t="str">
        <f>IF(表1_5310[[#This Row],[配件1]]&lt;&gt;"",_xlfn.XLOOKUP(表1_5310[[#This Row],[配件1]],显卡利益点对照表新[型号],显卡利益点对照表新[利益点3],"ERROR"),"")</f>
        <v>四重高效散热</v>
      </c>
      <c r="L187" t="str">
        <f>IF(表1_5310[[#This Row],[配件1]]&lt;&gt;"",_xlfn.XLOOKUP(表1_5310[[#This Row],[配件1]],显卡利益点对照表新[型号],显卡利益点对照表新[算力],"ERROR"),"")</f>
        <v>AI算力1406 TOPS</v>
      </c>
      <c r="M187" t="str">
        <f>IF(表1_5310[[#This Row],[配件1]]&lt;&gt;"",_xlfn.XLOOKUP(表1_5310[[#This Row],[配件1]],显卡利益点对照表新[型号],显卡利益点对照表新[可显性],"ERROR"),"")</f>
        <v>GV-N507TWF3-16GD</v>
      </c>
      <c r="N18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7" t="s">
        <v>1092</v>
      </c>
      <c r="Q187" t="str" cm="1">
        <f t="array" ref="Q187">_xlfn.IFS(表1_5310[[#This Row],[配件1]]="","",表1_5310[[#This Row],[文本丨算力丨算力值]]=" ","",表1_5310[[#This Row],[文本丨算力丨算力值]]&lt;&gt;"","算力")</f>
        <v>算力</v>
      </c>
    </row>
    <row r="188" spans="2:17" x14ac:dyDescent="0.2">
      <c r="B188" s="22">
        <v>10142182915928</v>
      </c>
      <c r="C188" t="s">
        <v>79</v>
      </c>
      <c r="D188" t="s">
        <v>468</v>
      </c>
      <c r="F188" t="str">
        <f>IF(表1_5310[[#This Row],[配件1]]&lt;&gt;"",_xlfn.XLOOKUP(表1_5310[[#This Row],[配件1]],显卡利益点对照表新[型号],显卡利益点对照表新[[芯片组 ]],"ERROR"),"")</f>
        <v>RTX5070Ti 16G</v>
      </c>
      <c r="G18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188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188" t="str">
        <f>IF(表1_5310[[#This Row],[配件1]]&lt;&gt;"",_xlfn.XLOOKUP(表1_5310[[#This Row],[配件1]],显卡利益点对照表新[型号],显卡利益点对照表新[利益点1],"ERROR"),"")</f>
        <v>可调式显卡支架</v>
      </c>
      <c r="J188" t="str">
        <f>IF(表1_5310[[#This Row],[配件1]]&lt;&gt;"",_xlfn.XLOOKUP(表1_5310[[#This Row],[配件1]],显卡利益点对照表新[型号],显卡利益点对照表新[利益点2],"ERROR"),"")</f>
        <v>SFF小尺寸</v>
      </c>
      <c r="K188" t="str">
        <f>IF(表1_5310[[#This Row],[配件1]]&lt;&gt;"",_xlfn.XLOOKUP(表1_5310[[#This Row],[配件1]],显卡利益点对照表新[型号],显卡利益点对照表新[利益点3],"ERROR"),"")</f>
        <v>四重高效散热</v>
      </c>
      <c r="L188" t="str">
        <f>IF(表1_5310[[#This Row],[配件1]]&lt;&gt;"",_xlfn.XLOOKUP(表1_5310[[#This Row],[配件1]],显卡利益点对照表新[型号],显卡利益点对照表新[算力],"ERROR"),"")</f>
        <v>AI算力1406 TOPS</v>
      </c>
      <c r="M188" t="str">
        <f>IF(表1_5310[[#This Row],[配件1]]&lt;&gt;"",_xlfn.XLOOKUP(表1_5310[[#This Row],[配件1]],显卡利益点对照表新[型号],显卡利益点对照表新[可显性],"ERROR"),"")</f>
        <v>GV-N507TEAGLE OC-16GD</v>
      </c>
      <c r="N18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8" t="s">
        <v>1092</v>
      </c>
      <c r="Q188" t="str" cm="1">
        <f t="array" ref="Q188">_xlfn.IFS(表1_5310[[#This Row],[配件1]]="","",表1_5310[[#This Row],[文本丨算力丨算力值]]=" ","",表1_5310[[#This Row],[文本丨算力丨算力值]]&lt;&gt;"","算力")</f>
        <v>算力</v>
      </c>
    </row>
    <row r="189" spans="2:17" x14ac:dyDescent="0.2">
      <c r="B189" s="22">
        <v>10142182915932</v>
      </c>
      <c r="C189" t="s">
        <v>80</v>
      </c>
      <c r="D189" t="s">
        <v>468</v>
      </c>
      <c r="F189" t="str">
        <f>IF(表1_5310[[#This Row],[配件1]]&lt;&gt;"",_xlfn.XLOOKUP(表1_5310[[#This Row],[配件1]],显卡利益点对照表新[型号],显卡利益点对照表新[[芯片组 ]],"ERROR"),"")</f>
        <v>RTX5070Ti 16G</v>
      </c>
      <c r="G18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189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189" t="str">
        <f>IF(表1_5310[[#This Row],[配件1]]&lt;&gt;"",_xlfn.XLOOKUP(表1_5310[[#This Row],[配件1]],显卡利益点对照表新[型号],显卡利益点对照表新[利益点1],"ERROR"),"")</f>
        <v>可调式显卡支架</v>
      </c>
      <c r="J189" t="str">
        <f>IF(表1_5310[[#This Row],[配件1]]&lt;&gt;"",_xlfn.XLOOKUP(表1_5310[[#This Row],[配件1]],显卡利益点对照表新[型号],显卡利益点对照表新[利益点2],"ERROR"),"")</f>
        <v>SFF小尺寸</v>
      </c>
      <c r="K189" t="str">
        <f>IF(表1_5310[[#This Row],[配件1]]&lt;&gt;"",_xlfn.XLOOKUP(表1_5310[[#This Row],[配件1]],显卡利益点对照表新[型号],显卡利益点对照表新[利益点3],"ERROR"),"")</f>
        <v>四重高效散热</v>
      </c>
      <c r="L189" t="str">
        <f>IF(表1_5310[[#This Row],[配件1]]&lt;&gt;"",_xlfn.XLOOKUP(表1_5310[[#This Row],[配件1]],显卡利益点对照表新[型号],显卡利益点对照表新[算力],"ERROR"),"")</f>
        <v>AI算力1406 TOPS</v>
      </c>
      <c r="M189" t="str">
        <f>IF(表1_5310[[#This Row],[配件1]]&lt;&gt;"",_xlfn.XLOOKUP(表1_5310[[#This Row],[配件1]],显卡利益点对照表新[型号],显卡利益点对照表新[可显性],"ERROR"),"")</f>
        <v>GV-N507TEAGLE OC ICE-16GD</v>
      </c>
      <c r="N18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9" t="s">
        <v>1092</v>
      </c>
      <c r="Q189" t="str" cm="1">
        <f t="array" ref="Q189">_xlfn.IFS(表1_5310[[#This Row],[配件1]]="","",表1_5310[[#This Row],[文本丨算力丨算力值]]=" ","",表1_5310[[#This Row],[文本丨算力丨算力值]]&lt;&gt;"","算力")</f>
        <v>算力</v>
      </c>
    </row>
    <row r="190" spans="2:17" x14ac:dyDescent="0.2">
      <c r="B190" s="22">
        <v>10142182915936</v>
      </c>
      <c r="C190" t="s">
        <v>82</v>
      </c>
      <c r="D190" t="s">
        <v>468</v>
      </c>
      <c r="F190" t="str">
        <f>IF(表1_5310[[#This Row],[配件1]]&lt;&gt;"",_xlfn.XLOOKUP(表1_5310[[#This Row],[配件1]],显卡利益点对照表新[型号],显卡利益点对照表新[[芯片组 ]],"ERROR"),"")</f>
        <v>RTX5070Ti 16G</v>
      </c>
      <c r="G19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9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90" t="str">
        <f>IF(表1_5310[[#This Row],[配件1]]&lt;&gt;"",_xlfn.XLOOKUP(表1_5310[[#This Row],[配件1]],显卡利益点对照表新[型号],显卡利益点对照表新[利益点1],"ERROR"),"")</f>
        <v>注册4年保/个人送保</v>
      </c>
      <c r="J190" t="str">
        <f>IF(表1_5310[[#This Row],[配件1]]&lt;&gt;"",_xlfn.XLOOKUP(表1_5310[[#This Row],[配件1]],显卡利益点对照表新[型号],显卡利益点对照表新[利益点2],"ERROR"),"")</f>
        <v>RGB幻彩光轮</v>
      </c>
      <c r="K190" t="str">
        <f>IF(表1_5310[[#This Row],[配件1]]&lt;&gt;"",_xlfn.XLOOKUP(表1_5310[[#This Row],[配件1]],显卡利益点对照表新[型号],显卡利益点对照表新[利益点3],"ERROR"),"")</f>
        <v>四重高效散热</v>
      </c>
      <c r="L190" t="str">
        <f>IF(表1_5310[[#This Row],[配件1]]&lt;&gt;"",_xlfn.XLOOKUP(表1_5310[[#This Row],[配件1]],显卡利益点对照表新[型号],显卡利益点对照表新[算力],"ERROR"),"")</f>
        <v>AI算力1406 TOPS</v>
      </c>
      <c r="M190" t="str">
        <f>IF(表1_5310[[#This Row],[配件1]]&lt;&gt;"",_xlfn.XLOOKUP(表1_5310[[#This Row],[配件1]],显卡利益点对照表新[型号],显卡利益点对照表新[可显性],"ERROR"),"")</f>
        <v>GV-N507TGAMING OC-16GD</v>
      </c>
      <c r="N19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0" t="s">
        <v>1092</v>
      </c>
      <c r="Q190" t="str" cm="1">
        <f t="array" ref="Q190">_xlfn.IFS(表1_5310[[#This Row],[配件1]]="","",表1_5310[[#This Row],[文本丨算力丨算力值]]=" ","",表1_5310[[#This Row],[文本丨算力丨算力值]]&lt;&gt;"","算力")</f>
        <v>算力</v>
      </c>
    </row>
    <row r="191" spans="2:17" x14ac:dyDescent="0.2">
      <c r="B191" s="22">
        <v>10142182915940</v>
      </c>
      <c r="C191" t="s">
        <v>85</v>
      </c>
      <c r="D191" t="s">
        <v>468</v>
      </c>
      <c r="F191" t="str">
        <f>IF(表1_5310[[#This Row],[配件1]]&lt;&gt;"",_xlfn.XLOOKUP(表1_5310[[#This Row],[配件1]],显卡利益点对照表新[型号],显卡利益点对照表新[[芯片组 ]],"ERROR"),"")</f>
        <v>RTX5070Ti 16G</v>
      </c>
      <c r="G19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91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91" t="str">
        <f>IF(表1_5310[[#This Row],[配件1]]&lt;&gt;"",_xlfn.XLOOKUP(表1_5310[[#This Row],[配件1]],显卡利益点对照表新[型号],显卡利益点对照表新[利益点1],"ERROR"),"")</f>
        <v>注册4年保/个人送保</v>
      </c>
      <c r="J191" t="str">
        <f>IF(表1_5310[[#This Row],[配件1]]&lt;&gt;"",_xlfn.XLOOKUP(表1_5310[[#This Row],[配件1]],显卡利益点对照表新[型号],显卡利益点对照表新[利益点2],"ERROR"),"")</f>
        <v>纯白雪装限定</v>
      </c>
      <c r="K191" t="str">
        <f>IF(表1_5310[[#This Row],[配件1]]&lt;&gt;"",_xlfn.XLOOKUP(表1_5310[[#This Row],[配件1]],显卡利益点对照表新[型号],显卡利益点对照表新[利益点3],"ERROR"),"")</f>
        <v>四重高效散热</v>
      </c>
      <c r="L191" t="str">
        <f>IF(表1_5310[[#This Row],[配件1]]&lt;&gt;"",_xlfn.XLOOKUP(表1_5310[[#This Row],[配件1]],显卡利益点对照表新[型号],显卡利益点对照表新[算力],"ERROR"),"")</f>
        <v>AI算力1406 TOPS</v>
      </c>
      <c r="M191" t="str">
        <f>IF(表1_5310[[#This Row],[配件1]]&lt;&gt;"",_xlfn.XLOOKUP(表1_5310[[#This Row],[配件1]],显卡利益点对照表新[型号],显卡利益点对照表新[可显性],"ERROR"),"")</f>
        <v>GV-N507TAERO OC-16GD</v>
      </c>
      <c r="N19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1" t="s">
        <v>1092</v>
      </c>
      <c r="Q191" t="str" cm="1">
        <f t="array" ref="Q191">_xlfn.IFS(表1_5310[[#This Row],[配件1]]="","",表1_5310[[#This Row],[文本丨算力丨算力值]]=" ","",表1_5310[[#This Row],[文本丨算力丨算力值]]&lt;&gt;"","算力")</f>
        <v>算力</v>
      </c>
    </row>
    <row r="192" spans="2:17" x14ac:dyDescent="0.2">
      <c r="B192" s="22">
        <v>10176595636688</v>
      </c>
      <c r="C192" t="s">
        <v>86</v>
      </c>
      <c r="D192" t="s">
        <v>468</v>
      </c>
      <c r="F192" t="str">
        <f>IF(表1_5310[[#This Row],[配件1]]&lt;&gt;"",_xlfn.XLOOKUP(表1_5310[[#This Row],[配件1]],显卡利益点对照表新[型号],显卡利益点对照表新[[芯片组 ]],"ERROR"),"")</f>
        <v>RTX5070Ti 16G</v>
      </c>
      <c r="G19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19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92" t="str">
        <f>IF(表1_5310[[#This Row],[配件1]]&lt;&gt;"",_xlfn.XLOOKUP(表1_5310[[#This Row],[配件1]],显卡利益点对照表新[型号],显卡利益点对照表新[利益点1],"ERROR"),"")</f>
        <v>注册4年保/个人送保</v>
      </c>
      <c r="J192" t="str">
        <f>IF(表1_5310[[#This Row],[配件1]]&lt;&gt;"",_xlfn.XLOOKUP(表1_5310[[#This Row],[配件1]],显卡利益点对照表新[型号],显卡利益点对照表新[利益点2],"ERROR"),"")</f>
        <v>LCD 自定义屏幕</v>
      </c>
      <c r="K192" t="str">
        <f>IF(表1_5310[[#This Row],[配件1]]&lt;&gt;"",_xlfn.XLOOKUP(表1_5310[[#This Row],[配件1]],显卡利益点对照表新[型号],显卡利益点对照表新[利益点3],"ERROR"),"")</f>
        <v>五重高效散热</v>
      </c>
      <c r="L192" t="str">
        <f>IF(表1_5310[[#This Row],[配件1]]&lt;&gt;"",_xlfn.XLOOKUP(表1_5310[[#This Row],[配件1]],显卡利益点对照表新[型号],显卡利益点对照表新[算力],"ERROR"),"")</f>
        <v>AI算力1406 TOPS</v>
      </c>
      <c r="M192" t="str">
        <f>IF(表1_5310[[#This Row],[配件1]]&lt;&gt;"",_xlfn.XLOOKUP(表1_5310[[#This Row],[配件1]],显卡利益点对照表新[型号],显卡利益点对照表新[可显性],"ERROR"),"")</f>
        <v>GV-N507TAORUS M-16GD</v>
      </c>
      <c r="N19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2" t="s">
        <v>1092</v>
      </c>
      <c r="Q192" t="str" cm="1">
        <f t="array" ref="Q192">_xlfn.IFS(表1_5310[[#This Row],[配件1]]="","",表1_5310[[#This Row],[文本丨算力丨算力值]]=" ","",表1_5310[[#This Row],[文本丨算力丨算力值]]&lt;&gt;"","算力")</f>
        <v>算力</v>
      </c>
    </row>
    <row r="193" spans="2:17" x14ac:dyDescent="0.2">
      <c r="F193" t="str">
        <f>IF(表1_5310[[#This Row],[配件1]]&lt;&gt;"",_xlfn.XLOOKUP(表1_5310[[#This Row],[配件1]],显卡利益点对照表新[型号],显卡利益点对照表新[[芯片组 ]],"ERROR"),"")</f>
        <v/>
      </c>
      <c r="G19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93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93" t="str">
        <f>IF(表1_5310[[#This Row],[配件1]]&lt;&gt;"",_xlfn.XLOOKUP(表1_5310[[#This Row],[配件1]],显卡利益点对照表新[型号],显卡利益点对照表新[利益点1],"ERROR"),"")</f>
        <v/>
      </c>
      <c r="J193" t="str">
        <f>IF(表1_5310[[#This Row],[配件1]]&lt;&gt;"",_xlfn.XLOOKUP(表1_5310[[#This Row],[配件1]],显卡利益点对照表新[型号],显卡利益点对照表新[利益点2],"ERROR"),"")</f>
        <v/>
      </c>
      <c r="K193" t="str">
        <f>IF(表1_5310[[#This Row],[配件1]]&lt;&gt;"",_xlfn.XLOOKUP(表1_5310[[#This Row],[配件1]],显卡利益点对照表新[型号],显卡利益点对照表新[利益点3],"ERROR"),"")</f>
        <v/>
      </c>
      <c r="L193" t="str">
        <f>IF(表1_5310[[#This Row],[配件1]]&lt;&gt;"",_xlfn.XLOOKUP(表1_5310[[#This Row],[配件1]],显卡利益点对照表新[型号],显卡利益点对照表新[算力],"ERROR"),"")</f>
        <v/>
      </c>
      <c r="M193" t="str">
        <f>IF(表1_5310[[#This Row],[配件1]]&lt;&gt;"",_xlfn.XLOOKUP(表1_5310[[#This Row],[配件1]],显卡利益点对照表新[型号],显卡利益点对照表新[可显性],"ERROR"),"")</f>
        <v/>
      </c>
      <c r="N19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93" t="str" cm="1">
        <f t="array" ref="Q193">_xlfn.IFS(表1_5310[[#This Row],[配件1]]="","",表1_5310[[#This Row],[文本丨算力丨算力值]]=" ","",表1_5310[[#This Row],[文本丨算力丨算力值]]&lt;&gt;"","算力")</f>
        <v/>
      </c>
    </row>
    <row r="194" spans="2:17" x14ac:dyDescent="0.2">
      <c r="B194" s="22">
        <v>10107860879182</v>
      </c>
      <c r="C194" t="s">
        <v>96</v>
      </c>
      <c r="D194" t="s">
        <v>468</v>
      </c>
      <c r="F194" t="str">
        <f>IF(表1_5310[[#This Row],[配件1]]&lt;&gt;"",_xlfn.XLOOKUP(表1_5310[[#This Row],[配件1]],显卡利益点对照表新[型号],显卡利益点对照表新[[芯片组 ]],"ERROR"),"")</f>
        <v>RTX5080 16G</v>
      </c>
      <c r="G19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GAMING OC</v>
      </c>
      <c r="H19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94" t="str">
        <f>IF(表1_5310[[#This Row],[配件1]]&lt;&gt;"",_xlfn.XLOOKUP(表1_5310[[#This Row],[配件1]],显卡利益点对照表新[型号],显卡利益点对照表新[利益点1],"ERROR"),"")</f>
        <v>注册4年保/个人送保</v>
      </c>
      <c r="J194" t="str">
        <f>IF(表1_5310[[#This Row],[配件1]]&lt;&gt;"",_xlfn.XLOOKUP(表1_5310[[#This Row],[配件1]],显卡利益点对照表新[型号],显卡利益点对照表新[利益点2],"ERROR"),"")</f>
        <v>RGB幻彩光轮</v>
      </c>
      <c r="K194" t="str">
        <f>IF(表1_5310[[#This Row],[配件1]]&lt;&gt;"",_xlfn.XLOOKUP(表1_5310[[#This Row],[配件1]],显卡利益点对照表新[型号],显卡利益点对照表新[利益点3],"ERROR"),"")</f>
        <v>四重高效散热</v>
      </c>
      <c r="L194" t="str">
        <f>IF(表1_5310[[#This Row],[配件1]]&lt;&gt;"",_xlfn.XLOOKUP(表1_5310[[#This Row],[配件1]],显卡利益点对照表新[型号],显卡利益点对照表新[算力],"ERROR"),"")</f>
        <v>AI算力1801 TOPS</v>
      </c>
      <c r="M194" t="str">
        <f>IF(表1_5310[[#This Row],[配件1]]&lt;&gt;"",_xlfn.XLOOKUP(表1_5310[[#This Row],[配件1]],显卡利益点对照表新[型号],显卡利益点对照表新[可显性],"ERROR"),"")</f>
        <v>GV-N5080GAMING OC-16GD</v>
      </c>
      <c r="N19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4" t="s">
        <v>1092</v>
      </c>
      <c r="Q194" t="str" cm="1">
        <f t="array" ref="Q194">_xlfn.IFS(表1_5310[[#This Row],[配件1]]="","",表1_5310[[#This Row],[文本丨算力丨算力值]]=" ","",表1_5310[[#This Row],[文本丨算力丨算力值]]&lt;&gt;"","算力")</f>
        <v>算力</v>
      </c>
    </row>
    <row r="195" spans="2:17" x14ac:dyDescent="0.2">
      <c r="B195" s="22">
        <v>10107860879183</v>
      </c>
      <c r="C195" t="s">
        <v>98</v>
      </c>
      <c r="D195" t="s">
        <v>468</v>
      </c>
      <c r="F195" t="str">
        <f>IF(表1_5310[[#This Row],[配件1]]&lt;&gt;"",_xlfn.XLOOKUP(表1_5310[[#This Row],[配件1]],显卡利益点对照表新[型号],显卡利益点对照表新[[芯片组 ]],"ERROR"),"")</f>
        <v>RTX5080 16G</v>
      </c>
      <c r="G19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AERO OC</v>
      </c>
      <c r="H19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95" t="str">
        <f>IF(表1_5310[[#This Row],[配件1]]&lt;&gt;"",_xlfn.XLOOKUP(表1_5310[[#This Row],[配件1]],显卡利益点对照表新[型号],显卡利益点对照表新[利益点1],"ERROR"),"")</f>
        <v>注册4年保/个人送保</v>
      </c>
      <c r="J195" t="str">
        <f>IF(表1_5310[[#This Row],[配件1]]&lt;&gt;"",_xlfn.XLOOKUP(表1_5310[[#This Row],[配件1]],显卡利益点对照表新[型号],显卡利益点对照表新[利益点2],"ERROR"),"")</f>
        <v>纯白雪装限定</v>
      </c>
      <c r="K195" t="str">
        <f>IF(表1_5310[[#This Row],[配件1]]&lt;&gt;"",_xlfn.XLOOKUP(表1_5310[[#This Row],[配件1]],显卡利益点对照表新[型号],显卡利益点对照表新[利益点3],"ERROR"),"")</f>
        <v>四重高效散热</v>
      </c>
      <c r="L195" t="str">
        <f>IF(表1_5310[[#This Row],[配件1]]&lt;&gt;"",_xlfn.XLOOKUP(表1_5310[[#This Row],[配件1]],显卡利益点对照表新[型号],显卡利益点对照表新[算力],"ERROR"),"")</f>
        <v>AI算力1801 TOPS</v>
      </c>
      <c r="M195" t="str">
        <f>IF(表1_5310[[#This Row],[配件1]]&lt;&gt;"",_xlfn.XLOOKUP(表1_5310[[#This Row],[配件1]],显卡利益点对照表新[型号],显卡利益点对照表新[可显性],"ERROR"),"")</f>
        <v>GV-N5080AERO OC-16GD</v>
      </c>
      <c r="N19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5" t="s">
        <v>1092</v>
      </c>
      <c r="Q195" t="str" cm="1">
        <f t="array" ref="Q195">_xlfn.IFS(表1_5310[[#This Row],[配件1]]="","",表1_5310[[#This Row],[文本丨算力丨算力值]]=" ","",表1_5310[[#This Row],[文本丨算力丨算力值]]&lt;&gt;"","算力")</f>
        <v>算力</v>
      </c>
    </row>
    <row r="196" spans="2:17" x14ac:dyDescent="0.2">
      <c r="B196" s="22">
        <v>10107860879184</v>
      </c>
      <c r="C196" t="s">
        <v>99</v>
      </c>
      <c r="D196" t="s">
        <v>468</v>
      </c>
      <c r="F196" t="str">
        <f>IF(表1_5310[[#This Row],[配件1]]&lt;&gt;"",_xlfn.XLOOKUP(表1_5310[[#This Row],[配件1]],显卡利益点对照表新[型号],显卡利益点对照表新[[芯片组 ]],"ERROR"),"")</f>
        <v>RTX5080 16G</v>
      </c>
      <c r="G19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MASTER OC</v>
      </c>
      <c r="H196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96" t="str">
        <f>IF(表1_5310[[#This Row],[配件1]]&lt;&gt;"",_xlfn.XLOOKUP(表1_5310[[#This Row],[配件1]],显卡利益点对照表新[型号],显卡利益点对照表新[利益点1],"ERROR"),"")</f>
        <v>注册4年保/个人送保</v>
      </c>
      <c r="J196" t="str">
        <f>IF(表1_5310[[#This Row],[配件1]]&lt;&gt;"",_xlfn.XLOOKUP(表1_5310[[#This Row],[配件1]],显卡利益点对照表新[型号],显卡利益点对照表新[利益点2],"ERROR"),"")</f>
        <v>LCD 自定义屏幕</v>
      </c>
      <c r="K196" t="str">
        <f>IF(表1_5310[[#This Row],[配件1]]&lt;&gt;"",_xlfn.XLOOKUP(表1_5310[[#This Row],[配件1]],显卡利益点对照表新[型号],显卡利益点对照表新[利益点3],"ERROR"),"")</f>
        <v>五重高效散热</v>
      </c>
      <c r="L196" t="str">
        <f>IF(表1_5310[[#This Row],[配件1]]&lt;&gt;"",_xlfn.XLOOKUP(表1_5310[[#This Row],[配件1]],显卡利益点对照表新[型号],显卡利益点对照表新[算力],"ERROR"),"")</f>
        <v>AI算力1801 TOPS</v>
      </c>
      <c r="M196" t="str">
        <f>IF(表1_5310[[#This Row],[配件1]]&lt;&gt;"",_xlfn.XLOOKUP(表1_5310[[#This Row],[配件1]],显卡利益点对照表新[型号],显卡利益点对照表新[可显性],"ERROR"),"")</f>
        <v>GV-N5080AORUS M-16GD</v>
      </c>
      <c r="N19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6" t="s">
        <v>1092</v>
      </c>
      <c r="Q196" t="str" cm="1">
        <f t="array" ref="Q196">_xlfn.IFS(表1_5310[[#This Row],[配件1]]="","",表1_5310[[#This Row],[文本丨算力丨算力值]]=" ","",表1_5310[[#This Row],[文本丨算力丨算力值]]&lt;&gt;"","算力")</f>
        <v>算力</v>
      </c>
    </row>
    <row r="197" spans="2:17" x14ac:dyDescent="0.2">
      <c r="B197" s="22">
        <v>10139326056387</v>
      </c>
      <c r="C197" t="s">
        <v>101</v>
      </c>
      <c r="D197" t="s">
        <v>468</v>
      </c>
      <c r="F197" t="str">
        <f>IF(表1_5310[[#This Row],[配件1]]&lt;&gt;"",_xlfn.XLOOKUP(表1_5310[[#This Row],[配件1]],显卡利益点对照表新[型号],显卡利益点对照表新[[芯片组 ]],"ERROR"),"")</f>
        <v>RTX5080 16G</v>
      </c>
      <c r="G19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MASTER ICE</v>
      </c>
      <c r="H197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97" t="str">
        <f>IF(表1_5310[[#This Row],[配件1]]&lt;&gt;"",_xlfn.XLOOKUP(表1_5310[[#This Row],[配件1]],显卡利益点对照表新[型号],显卡利益点对照表新[利益点1],"ERROR"),"")</f>
        <v>注册4年保/个人送保</v>
      </c>
      <c r="J197" t="str">
        <f>IF(表1_5310[[#This Row],[配件1]]&lt;&gt;"",_xlfn.XLOOKUP(表1_5310[[#This Row],[配件1]],显卡利益点对照表新[型号],显卡利益点对照表新[利益点2],"ERROR"),"")</f>
        <v>LCD 自定义屏幕</v>
      </c>
      <c r="K197" t="str">
        <f>IF(表1_5310[[#This Row],[配件1]]&lt;&gt;"",_xlfn.XLOOKUP(表1_5310[[#This Row],[配件1]],显卡利益点对照表新[型号],显卡利益点对照表新[利益点3],"ERROR"),"")</f>
        <v>五重高效散热</v>
      </c>
      <c r="L197" t="str">
        <f>IF(表1_5310[[#This Row],[配件1]]&lt;&gt;"",_xlfn.XLOOKUP(表1_5310[[#This Row],[配件1]],显卡利益点对照表新[型号],显卡利益点对照表新[算力],"ERROR"),"")</f>
        <v>AI算力1801 TOPS</v>
      </c>
      <c r="M197" t="str">
        <f>IF(表1_5310[[#This Row],[配件1]]&lt;&gt;"",_xlfn.XLOOKUP(表1_5310[[#This Row],[配件1]],显卡利益点对照表新[型号],显卡利益点对照表新[可显性],"ERROR"),"")</f>
        <v>GV-N5080AORUSM ICE-16GD</v>
      </c>
      <c r="N19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7" t="s">
        <v>1092</v>
      </c>
      <c r="Q197" t="str" cm="1">
        <f t="array" ref="Q197">_xlfn.IFS(表1_5310[[#This Row],[配件1]]="","",表1_5310[[#This Row],[文本丨算力丨算力值]]=" ","",表1_5310[[#This Row],[文本丨算力丨算力值]]&lt;&gt;"","算力")</f>
        <v>算力</v>
      </c>
    </row>
    <row r="198" spans="2:17" x14ac:dyDescent="0.2">
      <c r="B198" s="22">
        <v>10147793329688</v>
      </c>
      <c r="C198" t="s">
        <v>103</v>
      </c>
      <c r="D198" t="s">
        <v>468</v>
      </c>
      <c r="F198" t="str">
        <f>IF(表1_5310[[#This Row],[配件1]]&lt;&gt;"",_xlfn.XLOOKUP(表1_5310[[#This Row],[配件1]],显卡利益点对照表新[型号],显卡利益点对照表新[[芯片组 ]],"ERROR"),"")</f>
        <v>RTX5080 16G</v>
      </c>
      <c r="G19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198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198" t="str">
        <f>IF(表1_5310[[#This Row],[配件1]]&lt;&gt;"",_xlfn.XLOOKUP(表1_5310[[#This Row],[配件1]],显卡利益点对照表新[型号],显卡利益点对照表新[利益点1],"ERROR"),"")</f>
        <v>注册4年保/个人送保</v>
      </c>
      <c r="J198" t="str">
        <f>IF(表1_5310[[#This Row],[配件1]]&lt;&gt;"",_xlfn.XLOOKUP(表1_5310[[#This Row],[配件1]],显卡利益点对照表新[型号],显卡利益点对照表新[利益点2],"ERROR"),"")</f>
        <v>RGB幻彩光轮</v>
      </c>
      <c r="K198" t="str">
        <f>IF(表1_5310[[#This Row],[配件1]]&lt;&gt;"",_xlfn.XLOOKUP(表1_5310[[#This Row],[配件1]],显卡利益点对照表新[型号],显卡利益点对照表新[利益点3],"ERROR"),"")</f>
        <v>水之力散热系统</v>
      </c>
      <c r="L198" t="str">
        <f>IF(表1_5310[[#This Row],[配件1]]&lt;&gt;"",_xlfn.XLOOKUP(表1_5310[[#This Row],[配件1]],显卡利益点对照表新[型号],显卡利益点对照表新[算力],"ERROR"),"")</f>
        <v>AI算力1801 TOPS</v>
      </c>
      <c r="M198" t="str">
        <f>IF(表1_5310[[#This Row],[配件1]]&lt;&gt;"",_xlfn.XLOOKUP(表1_5310[[#This Row],[配件1]],显卡利益点对照表新[型号],显卡利益点对照表新[可显性],"ERROR"),"")</f>
        <v>GV-N5080AORUSX W-16GD</v>
      </c>
      <c r="N19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8" t="s">
        <v>1092</v>
      </c>
      <c r="Q198" t="str" cm="1">
        <f t="array" ref="Q198">_xlfn.IFS(表1_5310[[#This Row],[配件1]]="","",表1_5310[[#This Row],[文本丨算力丨算力值]]=" ","",表1_5310[[#This Row],[文本丨算力丨算力值]]&lt;&gt;"","算力")</f>
        <v>算力</v>
      </c>
    </row>
    <row r="199" spans="2:17" x14ac:dyDescent="0.2">
      <c r="B199" s="22">
        <v>10147793329689</v>
      </c>
      <c r="C199" t="s">
        <v>816</v>
      </c>
      <c r="D199" t="s">
        <v>468</v>
      </c>
      <c r="F199" t="str">
        <f>IF(表1_5310[[#This Row],[配件1]]&lt;&gt;"",_xlfn.XLOOKUP(表1_5310[[#This Row],[配件1]],显卡利益点对照表新[型号],显卡利益点对照表新[[芯片组 ]],"ERROR"),"")</f>
        <v>RTX5090D V2</v>
      </c>
      <c r="G19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9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99" t="str">
        <f>IF(表1_5310[[#This Row],[配件1]]&lt;&gt;"",_xlfn.XLOOKUP(表1_5310[[#This Row],[配件1]],显卡利益点对照表新[型号],显卡利益点对照表新[利益点1],"ERROR"),"")</f>
        <v>注册4年保/个人送保</v>
      </c>
      <c r="J199" t="str">
        <f>IF(表1_5310[[#This Row],[配件1]]&lt;&gt;"",_xlfn.XLOOKUP(表1_5310[[#This Row],[配件1]],显卡利益点对照表新[型号],显卡利益点对照表新[利益点2],"ERROR"),"")</f>
        <v>RGB幻彩光轮</v>
      </c>
      <c r="K199" t="str">
        <f>IF(表1_5310[[#This Row],[配件1]]&lt;&gt;"",_xlfn.XLOOKUP(表1_5310[[#This Row],[配件1]],显卡利益点对照表新[型号],显卡利益点对照表新[利益点3],"ERROR"),"")</f>
        <v>四重高效散热</v>
      </c>
      <c r="L199" t="str">
        <f>IF(表1_5310[[#This Row],[配件1]]&lt;&gt;"",_xlfn.XLOOKUP(表1_5310[[#This Row],[配件1]],显卡利益点对照表新[型号],显卡利益点对照表新[算力],"ERROR"),"")</f>
        <v>AI算力2375 TOPS</v>
      </c>
      <c r="M199" t="str">
        <f>IF(表1_5310[[#This Row],[配件1]]&lt;&gt;"",_xlfn.XLOOKUP(表1_5310[[#This Row],[配件1]],显卡利益点对照表新[型号],显卡利益点对照表新[可显性],"ERROR"),"")</f>
        <v>GV-N509DGAMING OC-24GD</v>
      </c>
      <c r="N19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9" t="s">
        <v>1092</v>
      </c>
      <c r="Q199" t="str" cm="1">
        <f t="array" ref="Q199">_xlfn.IFS(表1_5310[[#This Row],[配件1]]="","",表1_5310[[#This Row],[文本丨算力丨算力值]]=" ","",表1_5310[[#This Row],[文本丨算力丨算力值]]&lt;&gt;"","算力")</f>
        <v>算力</v>
      </c>
    </row>
    <row r="200" spans="2:17" x14ac:dyDescent="0.2">
      <c r="B200" s="22">
        <v>10147793329690</v>
      </c>
      <c r="C200" t="s">
        <v>817</v>
      </c>
      <c r="D200" t="s">
        <v>468</v>
      </c>
      <c r="F200" t="str">
        <f>IF(表1_5310[[#This Row],[配件1]]&lt;&gt;"",_xlfn.XLOOKUP(表1_5310[[#This Row],[配件1]],显卡利益点对照表新[型号],显卡利益点对照表新[[芯片组 ]],"ERROR"),"")</f>
        <v>RTX5090D V2</v>
      </c>
      <c r="G20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00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00" t="str">
        <f>IF(表1_5310[[#This Row],[配件1]]&lt;&gt;"",_xlfn.XLOOKUP(表1_5310[[#This Row],[配件1]],显卡利益点对照表新[型号],显卡利益点对照表新[利益点1],"ERROR"),"")</f>
        <v>注册4年保/个人送保</v>
      </c>
      <c r="J200" t="str">
        <f>IF(表1_5310[[#This Row],[配件1]]&lt;&gt;"",_xlfn.XLOOKUP(表1_5310[[#This Row],[配件1]],显卡利益点对照表新[型号],显卡利益点对照表新[利益点2],"ERROR"),"")</f>
        <v>LCD自定义屏幕</v>
      </c>
      <c r="K200" t="str">
        <f>IF(表1_5310[[#This Row],[配件1]]&lt;&gt;"",_xlfn.XLOOKUP(表1_5310[[#This Row],[配件1]],显卡利益点对照表新[型号],显卡利益点对照表新[利益点3],"ERROR"),"")</f>
        <v>五重高效散热</v>
      </c>
      <c r="L200" t="str">
        <f>IF(表1_5310[[#This Row],[配件1]]&lt;&gt;"",_xlfn.XLOOKUP(表1_5310[[#This Row],[配件1]],显卡利益点对照表新[型号],显卡利益点对照表新[算力],"ERROR"),"")</f>
        <v>AI算力2375 TOPS</v>
      </c>
      <c r="M200" t="str">
        <f>IF(表1_5310[[#This Row],[配件1]]&lt;&gt;"",_xlfn.XLOOKUP(表1_5310[[#This Row],[配件1]],显卡利益点对照表新[型号],显卡利益点对照表新[可显性],"ERROR"),"")</f>
        <v>GV-N509DAORUS M-24GD</v>
      </c>
      <c r="N20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0" t="s">
        <v>1092</v>
      </c>
      <c r="Q200" t="str" cm="1">
        <f t="array" ref="Q200">_xlfn.IFS(表1_5310[[#This Row],[配件1]]="","",表1_5310[[#This Row],[文本丨算力丨算力值]]=" ","",表1_5310[[#This Row],[文本丨算力丨算力值]]&lt;&gt;"","算力")</f>
        <v>算力</v>
      </c>
    </row>
    <row r="201" spans="2:17" x14ac:dyDescent="0.2">
      <c r="B201" s="22">
        <v>10147793329691</v>
      </c>
      <c r="C201" t="s">
        <v>818</v>
      </c>
      <c r="D201" t="s">
        <v>468</v>
      </c>
      <c r="F201" t="str">
        <f>IF(表1_5310[[#This Row],[配件1]]&lt;&gt;"",_xlfn.XLOOKUP(表1_5310[[#This Row],[配件1]],显卡利益点对照表新[型号],显卡利益点对照表新[[芯片组 ]],"ERROR"),"")</f>
        <v>RTX5090D V2</v>
      </c>
      <c r="G20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20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01" t="str">
        <f>IF(表1_5310[[#This Row],[配件1]]&lt;&gt;"",_xlfn.XLOOKUP(表1_5310[[#This Row],[配件1]],显卡利益点对照表新[型号],显卡利益点对照表新[利益点1],"ERROR"),"")</f>
        <v>注册4年保/个人送保</v>
      </c>
      <c r="J201" t="str">
        <f>IF(表1_5310[[#This Row],[配件1]]&lt;&gt;"",_xlfn.XLOOKUP(表1_5310[[#This Row],[配件1]],显卡利益点对照表新[型号],显卡利益点对照表新[利益点2],"ERROR"),"")</f>
        <v>LCD自定义屏幕</v>
      </c>
      <c r="K201" t="str">
        <f>IF(表1_5310[[#This Row],[配件1]]&lt;&gt;"",_xlfn.XLOOKUP(表1_5310[[#This Row],[配件1]],显卡利益点对照表新[型号],显卡利益点对照表新[利益点3],"ERROR"),"")</f>
        <v>五重高效散热</v>
      </c>
      <c r="L201" t="str">
        <f>IF(表1_5310[[#This Row],[配件1]]&lt;&gt;"",_xlfn.XLOOKUP(表1_5310[[#This Row],[配件1]],显卡利益点对照表新[型号],显卡利益点对照表新[算力],"ERROR"),"")</f>
        <v>AI算力2375 TOPS</v>
      </c>
      <c r="M201" t="str">
        <f>IF(表1_5310[[#This Row],[配件1]]&lt;&gt;"",_xlfn.XLOOKUP(表1_5310[[#This Row],[配件1]],显卡利益点对照表新[型号],显卡利益点对照表新[可显性],"ERROR"),"")</f>
        <v>GV-N509DAORUSM ICE-24GD</v>
      </c>
      <c r="N20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1" t="s">
        <v>1092</v>
      </c>
      <c r="Q201" t="str" cm="1">
        <f t="array" ref="Q201">_xlfn.IFS(表1_5310[[#This Row],[配件1]]="","",表1_5310[[#This Row],[文本丨算力丨算力值]]=" ","",表1_5310[[#This Row],[文本丨算力丨算力值]]&lt;&gt;"","算力")</f>
        <v>算力</v>
      </c>
    </row>
    <row r="202" spans="2:17" x14ac:dyDescent="0.2">
      <c r="B202" s="22">
        <v>10147793329692</v>
      </c>
      <c r="C202" t="s">
        <v>1013</v>
      </c>
      <c r="D202" t="s">
        <v>468</v>
      </c>
      <c r="F202" t="str">
        <f>IF(表1_5310[[#This Row],[配件1]]&lt;&gt;"",_xlfn.XLOOKUP(表1_5310[[#This Row],[配件1]],显卡利益点对照表新[型号],显卡利益点对照表新[[芯片组 ]],"ERROR"),"")</f>
        <v>RTX5090D 32G</v>
      </c>
      <c r="G20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202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202" t="str">
        <f>IF(表1_5310[[#This Row],[配件1]]&lt;&gt;"",_xlfn.XLOOKUP(表1_5310[[#This Row],[配件1]],显卡利益点对照表新[型号],显卡利益点对照表新[利益点1],"ERROR"),"")</f>
        <v>注册4年保/个人送保</v>
      </c>
      <c r="J202" t="str">
        <f>IF(表1_5310[[#This Row],[配件1]]&lt;&gt;"",_xlfn.XLOOKUP(表1_5310[[#This Row],[配件1]],显卡利益点对照表新[型号],显卡利益点对照表新[利益点2],"ERROR"),"")</f>
        <v>RGB幻彩光轮</v>
      </c>
      <c r="K202" t="str">
        <f>IF(表1_5310[[#This Row],[配件1]]&lt;&gt;"",_xlfn.XLOOKUP(表1_5310[[#This Row],[配件1]],显卡利益点对照表新[型号],显卡利益点对照表新[利益点3],"ERROR"),"")</f>
        <v>水之力散热系统</v>
      </c>
      <c r="L202" t="str">
        <f>IF(表1_5310[[#This Row],[配件1]]&lt;&gt;"",_xlfn.XLOOKUP(表1_5310[[#This Row],[配件1]],显卡利益点对照表新[型号],显卡利益点对照表新[算力],"ERROR"),"")</f>
        <v>AI算力2375 TOPS</v>
      </c>
      <c r="M202" t="str">
        <f>IF(表1_5310[[#This Row],[配件1]]&lt;&gt;"",_xlfn.XLOOKUP(表1_5310[[#This Row],[配件1]],显卡利益点对照表新[型号],显卡利益点对照表新[可显性],"ERROR"),"")</f>
        <v>GV-N509DAORUSX W-32GD</v>
      </c>
      <c r="N20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2" t="s">
        <v>1092</v>
      </c>
      <c r="Q202" t="str" cm="1">
        <f t="array" ref="Q202">_xlfn.IFS(表1_5310[[#This Row],[配件1]]="","",表1_5310[[#This Row],[文本丨算力丨算力值]]=" ","",表1_5310[[#This Row],[文本丨算力丨算力值]]&lt;&gt;"","算力")</f>
        <v>算力</v>
      </c>
    </row>
    <row r="203" spans="2:17" x14ac:dyDescent="0.2">
      <c r="F203" t="str">
        <f>IF(表1_5310[[#This Row],[配件1]]&lt;&gt;"",_xlfn.XLOOKUP(表1_5310[[#This Row],[配件1]],显卡利益点对照表新[型号],显卡利益点对照表新[[芯片组 ]],"ERROR"),"")</f>
        <v/>
      </c>
      <c r="G20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03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03" t="str">
        <f>IF(表1_5310[[#This Row],[配件1]]&lt;&gt;"",_xlfn.XLOOKUP(表1_5310[[#This Row],[配件1]],显卡利益点对照表新[型号],显卡利益点对照表新[利益点1],"ERROR"),"")</f>
        <v/>
      </c>
      <c r="J203" t="str">
        <f>IF(表1_5310[[#This Row],[配件1]]&lt;&gt;"",_xlfn.XLOOKUP(表1_5310[[#This Row],[配件1]],显卡利益点对照表新[型号],显卡利益点对照表新[利益点2],"ERROR"),"")</f>
        <v/>
      </c>
      <c r="K203" t="str">
        <f>IF(表1_5310[[#This Row],[配件1]]&lt;&gt;"",_xlfn.XLOOKUP(表1_5310[[#This Row],[配件1]],显卡利益点对照表新[型号],显卡利益点对照表新[利益点3],"ERROR"),"")</f>
        <v/>
      </c>
      <c r="L203" t="str">
        <f>IF(表1_5310[[#This Row],[配件1]]&lt;&gt;"",_xlfn.XLOOKUP(表1_5310[[#This Row],[配件1]],显卡利益点对照表新[型号],显卡利益点对照表新[算力],"ERROR"),"")</f>
        <v/>
      </c>
      <c r="M203" t="str">
        <f>IF(表1_5310[[#This Row],[配件1]]&lt;&gt;"",_xlfn.XLOOKUP(表1_5310[[#This Row],[配件1]],显卡利益点对照表新[型号],显卡利益点对照表新[可显性],"ERROR"),"")</f>
        <v/>
      </c>
      <c r="N20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03" t="str" cm="1">
        <f t="array" ref="Q203">_xlfn.IFS(表1_5310[[#This Row],[配件1]]="","",表1_5310[[#This Row],[文本丨算力丨算力值]]=" ","",表1_5310[[#This Row],[文本丨算力丨算力值]]&lt;&gt;"","算力")</f>
        <v/>
      </c>
    </row>
    <row r="204" spans="2:17" x14ac:dyDescent="0.2">
      <c r="B204" s="22">
        <v>10094642114069</v>
      </c>
      <c r="C204" t="s">
        <v>544</v>
      </c>
      <c r="D204" t="s">
        <v>468</v>
      </c>
      <c r="F204" t="str">
        <f>IF(表1_5310[[#This Row],[配件1]]&lt;&gt;"",_xlfn.XLOOKUP(表1_5310[[#This Row],[配件1]],显卡利益点对照表新[型号],显卡利益点对照表新[[芯片组 ]],"ERROR"),"")</f>
        <v>RTX5060 8G</v>
      </c>
      <c r="G20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204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204" t="str">
        <f>IF(表1_5310[[#This Row],[配件1]]&lt;&gt;"",_xlfn.XLOOKUP(表1_5310[[#This Row],[配件1]],显卡利益点对照表新[型号],显卡利益点对照表新[利益点1],"ERROR"),"")</f>
        <v>铜板+复合式热管</v>
      </c>
      <c r="J204" t="str">
        <f>IF(表1_5310[[#This Row],[配件1]]&lt;&gt;"",_xlfn.XLOOKUP(表1_5310[[#This Row],[配件1]],显卡利益点对照表新[型号],显卡利益点对照表新[利益点2],"ERROR"),"")</f>
        <v>精巧双风扇</v>
      </c>
      <c r="K204" t="str">
        <f>IF(表1_5310[[#This Row],[配件1]]&lt;&gt;"",_xlfn.XLOOKUP(表1_5310[[#This Row],[配件1]],显卡利益点对照表新[型号],显卡利益点对照表新[利益点3],"ERROR"),"")</f>
        <v>仿生降噪风扇</v>
      </c>
      <c r="L204" t="str">
        <f>IF(表1_5310[[#This Row],[配件1]]&lt;&gt;"",_xlfn.XLOOKUP(表1_5310[[#This Row],[配件1]],显卡利益点对照表新[型号],显卡利益点对照表新[算力],"ERROR"),"")</f>
        <v>AI算力614 TOPS</v>
      </c>
      <c r="M204" t="str">
        <f>IF(表1_5310[[#This Row],[配件1]]&lt;&gt;"",_xlfn.XLOOKUP(表1_5310[[#This Row],[配件1]],显卡利益点对照表新[型号],显卡利益点对照表新[可显性],"ERROR"),"")</f>
        <v>GV-N5060WF2MAX OC-8GD</v>
      </c>
      <c r="N20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4" t="s">
        <v>674</v>
      </c>
      <c r="Q204" t="str" cm="1">
        <f t="array" ref="Q204">_xlfn.IFS(表1_5310[[#This Row],[配件1]]="","",表1_5310[[#This Row],[文本丨算力丨算力值]]=" ","",表1_5310[[#This Row],[文本丨算力丨算力值]]&lt;&gt;"","算力")</f>
        <v>算力</v>
      </c>
    </row>
    <row r="205" spans="2:17" x14ac:dyDescent="0.2">
      <c r="B205" s="22">
        <v>10094642114070</v>
      </c>
      <c r="C205" t="s">
        <v>462</v>
      </c>
      <c r="D205" t="s">
        <v>468</v>
      </c>
      <c r="F205" t="str">
        <f>IF(表1_5310[[#This Row],[配件1]]&lt;&gt;"",_xlfn.XLOOKUP(表1_5310[[#This Row],[配件1]],显卡利益点对照表新[型号],显卡利益点对照表新[[芯片组 ]],"ERROR"),"")</f>
        <v>RTX5060 8G</v>
      </c>
      <c r="G20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205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205" t="str">
        <f>IF(表1_5310[[#This Row],[配件1]]&lt;&gt;"",_xlfn.XLOOKUP(表1_5310[[#This Row],[配件1]],显卡利益点对照表新[型号],显卡利益点对照表新[利益点1],"ERROR"),"")</f>
        <v>铜板+复合式热管</v>
      </c>
      <c r="J205" t="str">
        <f>IF(表1_5310[[#This Row],[配件1]]&lt;&gt;"",_xlfn.XLOOKUP(表1_5310[[#This Row],[配件1]],显卡利益点对照表新[型号],显卡利益点对照表新[利益点2],"ERROR"),"")</f>
        <v>精巧双风扇</v>
      </c>
      <c r="K205" t="str">
        <f>IF(表1_5310[[#This Row],[配件1]]&lt;&gt;"",_xlfn.XLOOKUP(表1_5310[[#This Row],[配件1]],显卡利益点对照表新[型号],显卡利益点对照表新[利益点3],"ERROR"),"")</f>
        <v>仿生降噪风扇</v>
      </c>
      <c r="L205" t="str">
        <f>IF(表1_5310[[#This Row],[配件1]]&lt;&gt;"",_xlfn.XLOOKUP(表1_5310[[#This Row],[配件1]],显卡利益点对照表新[型号],显卡利益点对照表新[算力],"ERROR"),"")</f>
        <v>AI算力614 TOPS</v>
      </c>
      <c r="M205" t="str">
        <f>IF(表1_5310[[#This Row],[配件1]]&lt;&gt;"",_xlfn.XLOOKUP(表1_5310[[#This Row],[配件1]],显卡利益点对照表新[型号],显卡利益点对照表新[可显性],"ERROR"),"")</f>
        <v>GV-N5060EAGLE OC-8GD</v>
      </c>
      <c r="N20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5" t="s">
        <v>674</v>
      </c>
      <c r="Q205" t="str" cm="1">
        <f t="array" ref="Q205">_xlfn.IFS(表1_5310[[#This Row],[配件1]]="","",表1_5310[[#This Row],[文本丨算力丨算力值]]=" ","",表1_5310[[#This Row],[文本丨算力丨算力值]]&lt;&gt;"","算力")</f>
        <v>算力</v>
      </c>
    </row>
    <row r="206" spans="2:17" x14ac:dyDescent="0.2">
      <c r="B206" s="22">
        <v>10158984435988</v>
      </c>
      <c r="C206" t="s">
        <v>463</v>
      </c>
      <c r="D206" t="s">
        <v>468</v>
      </c>
      <c r="F206" t="str">
        <f>IF(表1_5310[[#This Row],[配件1]]&lt;&gt;"",_xlfn.XLOOKUP(表1_5310[[#This Row],[配件1]],显卡利益点对照表新[型号],显卡利益点对照表新[[芯片组 ]],"ERROR"),"")</f>
        <v>RTX5060 8G</v>
      </c>
      <c r="G20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20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206" t="str">
        <f>IF(表1_5310[[#This Row],[配件1]]&lt;&gt;"",_xlfn.XLOOKUP(表1_5310[[#This Row],[配件1]],显卡利益点对照表新[型号],显卡利益点对照表新[利益点1],"ERROR"),"")</f>
        <v>铜板+复合式热管</v>
      </c>
      <c r="J206" t="str">
        <f>IF(表1_5310[[#This Row],[配件1]]&lt;&gt;"",_xlfn.XLOOKUP(表1_5310[[#This Row],[配件1]],显卡利益点对照表新[型号],显卡利益点对照表新[利益点2],"ERROR"),"")</f>
        <v>精巧双风扇</v>
      </c>
      <c r="K206" t="str">
        <f>IF(表1_5310[[#This Row],[配件1]]&lt;&gt;"",_xlfn.XLOOKUP(表1_5310[[#This Row],[配件1]],显卡利益点对照表新[型号],显卡利益点对照表新[利益点3],"ERROR"),"")</f>
        <v>仿生降噪风扇</v>
      </c>
      <c r="L206" t="str">
        <f>IF(表1_5310[[#This Row],[配件1]]&lt;&gt;"",_xlfn.XLOOKUP(表1_5310[[#This Row],[配件1]],显卡利益点对照表新[型号],显卡利益点对照表新[算力],"ERROR"),"")</f>
        <v>AI算力614 TOPS</v>
      </c>
      <c r="M206" t="str">
        <f>IF(表1_5310[[#This Row],[配件1]]&lt;&gt;"",_xlfn.XLOOKUP(表1_5310[[#This Row],[配件1]],显卡利益点对照表新[型号],显卡利益点对照表新[可显性],"ERROR"),"")</f>
        <v>GV-N5060EAGLEOC ICE-8GD</v>
      </c>
      <c r="N20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6" t="s">
        <v>674</v>
      </c>
      <c r="Q206" t="str" cm="1">
        <f t="array" ref="Q206">_xlfn.IFS(表1_5310[[#This Row],[配件1]]="","",表1_5310[[#This Row],[文本丨算力丨算力值]]=" ","",表1_5310[[#This Row],[文本丨算力丨算力值]]&lt;&gt;"","算力")</f>
        <v>算力</v>
      </c>
    </row>
    <row r="207" spans="2:17" x14ac:dyDescent="0.2">
      <c r="B207" s="22">
        <v>10094642114071</v>
      </c>
      <c r="C207" t="s">
        <v>464</v>
      </c>
      <c r="D207" t="s">
        <v>468</v>
      </c>
      <c r="F207" t="str">
        <f>IF(表1_5310[[#This Row],[配件1]]&lt;&gt;"",_xlfn.XLOOKUP(表1_5310[[#This Row],[配件1]],显卡利益点对照表新[型号],显卡利益点对照表新[[芯片组 ]],"ERROR"),"")</f>
        <v>RTX5060 8G</v>
      </c>
      <c r="G20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20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207" t="str">
        <f>IF(表1_5310[[#This Row],[配件1]]&lt;&gt;"",_xlfn.XLOOKUP(表1_5310[[#This Row],[配件1]],显卡利益点对照表新[型号],显卡利益点对照表新[利益点1],"ERROR"),"")</f>
        <v>铜板+复合式热管</v>
      </c>
      <c r="J207" t="str">
        <f>IF(表1_5310[[#This Row],[配件1]]&lt;&gt;"",_xlfn.XLOOKUP(表1_5310[[#This Row],[配件1]],显卡利益点对照表新[型号],显卡利益点对照表新[利益点2],"ERROR"),"")</f>
        <v>RGB滑动侧板</v>
      </c>
      <c r="K207" t="str">
        <f>IF(表1_5310[[#This Row],[配件1]]&lt;&gt;"",_xlfn.XLOOKUP(表1_5310[[#This Row],[配件1]],显卡利益点对照表新[型号],显卡利益点对照表新[利益点3],"ERROR"),"")</f>
        <v>强化金属背板</v>
      </c>
      <c r="L207" t="str">
        <f>IF(表1_5310[[#This Row],[配件1]]&lt;&gt;"",_xlfn.XLOOKUP(表1_5310[[#This Row],[配件1]],显卡利益点对照表新[型号],显卡利益点对照表新[算力],"ERROR"),"")</f>
        <v>AI算力614 TOPS</v>
      </c>
      <c r="M207" t="str">
        <f>IF(表1_5310[[#This Row],[配件1]]&lt;&gt;"",_xlfn.XLOOKUP(表1_5310[[#This Row],[配件1]],显卡利益点对照表新[型号],显卡利益点对照表新[可显性],"ERROR"),"")</f>
        <v>GV-N5060GAMING OC-8GD</v>
      </c>
      <c r="N20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7" t="s">
        <v>674</v>
      </c>
      <c r="Q207" t="str" cm="1">
        <f t="array" ref="Q207">_xlfn.IFS(表1_5310[[#This Row],[配件1]]="","",表1_5310[[#This Row],[文本丨算力丨算力值]]=" ","",表1_5310[[#This Row],[文本丨算力丨算力值]]&lt;&gt;"","算力")</f>
        <v>算力</v>
      </c>
    </row>
    <row r="208" spans="2:17" x14ac:dyDescent="0.2">
      <c r="B208" s="22">
        <v>10094642114072</v>
      </c>
      <c r="C208" t="s">
        <v>465</v>
      </c>
      <c r="D208" t="s">
        <v>468</v>
      </c>
      <c r="F208" t="str">
        <f>IF(表1_5310[[#This Row],[配件1]]&lt;&gt;"",_xlfn.XLOOKUP(表1_5310[[#This Row],[配件1]],显卡利益点对照表新[型号],显卡利益点对照表新[[芯片组 ]],"ERROR"),"")</f>
        <v>RTX5060 8G</v>
      </c>
      <c r="G20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08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08" t="str">
        <f>IF(表1_5310[[#This Row],[配件1]]&lt;&gt;"",_xlfn.XLOOKUP(表1_5310[[#This Row],[配件1]],显卡利益点对照表新[型号],显卡利益点对照表新[利益点1],"ERROR"),"")</f>
        <v>铜板+复合式热管</v>
      </c>
      <c r="J208" t="str">
        <f>IF(表1_5310[[#This Row],[配件1]]&lt;&gt;"",_xlfn.XLOOKUP(表1_5310[[#This Row],[配件1]],显卡利益点对照表新[型号],显卡利益点对照表新[利益点2],"ERROR"),"")</f>
        <v>银白雪装外观</v>
      </c>
      <c r="K208" t="str">
        <f>IF(表1_5310[[#This Row],[配件1]]&lt;&gt;"",_xlfn.XLOOKUP(表1_5310[[#This Row],[配件1]],显卡利益点对照表新[型号],显卡利益点对照表新[利益点3],"ERROR"),"")</f>
        <v>强化金属背板</v>
      </c>
      <c r="L208" t="str">
        <f>IF(表1_5310[[#This Row],[配件1]]&lt;&gt;"",_xlfn.XLOOKUP(表1_5310[[#This Row],[配件1]],显卡利益点对照表新[型号],显卡利益点对照表新[算力],"ERROR"),"")</f>
        <v>AI算力614 TOPS</v>
      </c>
      <c r="M208" t="str">
        <f>IF(表1_5310[[#This Row],[配件1]]&lt;&gt;"",_xlfn.XLOOKUP(表1_5310[[#This Row],[配件1]],显卡利益点对照表新[型号],显卡利益点对照表新[可显性],"ERROR"),"")</f>
        <v>GV-N5060AERO OC-8GD</v>
      </c>
      <c r="N20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8" t="s">
        <v>674</v>
      </c>
      <c r="Q208" t="str" cm="1">
        <f t="array" ref="Q208">_xlfn.IFS(表1_5310[[#This Row],[配件1]]="","",表1_5310[[#This Row],[文本丨算力丨算力值]]=" ","",表1_5310[[#This Row],[文本丨算力丨算力值]]&lt;&gt;"","算力")</f>
        <v>算力</v>
      </c>
    </row>
    <row r="209" spans="2:17" x14ac:dyDescent="0.2">
      <c r="B209" s="22">
        <v>10094642114073</v>
      </c>
      <c r="C209" t="s">
        <v>1091</v>
      </c>
      <c r="D209" t="s">
        <v>468</v>
      </c>
      <c r="F209" t="str">
        <f>IF(表1_5310[[#This Row],[配件1]]&lt;&gt;"",_xlfn.XLOOKUP(表1_5310[[#This Row],[配件1]],显卡利益点对照表新[型号],显卡利益点对照表新[[芯片组 ]],"ERROR"),"")</f>
        <v>RTX5060 Ti 8G</v>
      </c>
      <c r="G20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OC</v>
      </c>
      <c r="H209" t="str">
        <f>IF(表1_5310[[#This Row],[配件1]]&lt;&gt;"",IF(表1_5310[[#This Row],[配件2]]&lt;&gt;"无"," ",_xlfn.XLOOKUP(表1_5310[[#This Row],[配件1]],显卡利益点对照表新[型号],显卡利益点对照表新[英文名称],"ERROR")),"")</f>
        <v>WF2 OC</v>
      </c>
      <c r="I209" t="str">
        <f>IF(表1_5310[[#This Row],[配件1]]&lt;&gt;"",_xlfn.XLOOKUP(表1_5310[[#This Row],[配件1]],显卡利益点对照表新[型号],显卡利益点对照表新[利益点1],"ERROR"),"")</f>
        <v>铜板+复合式热管</v>
      </c>
      <c r="J209" t="str">
        <f>IF(表1_5310[[#This Row],[配件1]]&lt;&gt;"",_xlfn.XLOOKUP(表1_5310[[#This Row],[配件1]],显卡利益点对照表新[型号],显卡利益点对照表新[利益点2],"ERROR"),"")</f>
        <v>精巧双风扇</v>
      </c>
      <c r="K209" t="str">
        <f>IF(表1_5310[[#This Row],[配件1]]&lt;&gt;"",_xlfn.XLOOKUP(表1_5310[[#This Row],[配件1]],显卡利益点对照表新[型号],显卡利益点对照表新[利益点3],"ERROR"),"")</f>
        <v>仿生降噪风扇</v>
      </c>
      <c r="L209" t="str">
        <f>IF(表1_5310[[#This Row],[配件1]]&lt;&gt;"",_xlfn.XLOOKUP(表1_5310[[#This Row],[配件1]],显卡利益点对照表新[型号],显卡利益点对照表新[算力],"ERROR"),"")</f>
        <v>AI算力759 TOPS</v>
      </c>
      <c r="M209" t="str">
        <f>IF(表1_5310[[#This Row],[配件1]]&lt;&gt;"",_xlfn.XLOOKUP(表1_5310[[#This Row],[配件1]],显卡利益点对照表新[型号],显卡利益点对照表新[可显性],"ERROR"),"")</f>
        <v>GV-N506TWF2 OC-16GD</v>
      </c>
      <c r="N20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9" t="s">
        <v>674</v>
      </c>
      <c r="Q209" t="str" cm="1">
        <f t="array" ref="Q209">_xlfn.IFS(表1_5310[[#This Row],[配件1]]="","",表1_5310[[#This Row],[文本丨算力丨算力值]]=" ","",表1_5310[[#This Row],[文本丨算力丨算力值]]&lt;&gt;"","算力")</f>
        <v>算力</v>
      </c>
    </row>
    <row r="210" spans="2:17" x14ac:dyDescent="0.2">
      <c r="B210" s="22">
        <v>10094642114074</v>
      </c>
      <c r="C210" t="s">
        <v>259</v>
      </c>
      <c r="D210" t="s">
        <v>468</v>
      </c>
      <c r="F210" t="str">
        <f>IF(表1_5310[[#This Row],[配件1]]&lt;&gt;"",_xlfn.XLOOKUP(表1_5310[[#This Row],[配件1]],显卡利益点对照表新[型号],显卡利益点对照表新[[芯片组 ]],"ERROR"),"")</f>
        <v>RTX5060 Ti 8G</v>
      </c>
      <c r="G21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210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210" t="str">
        <f>IF(表1_5310[[#This Row],[配件1]]&lt;&gt;"",_xlfn.XLOOKUP(表1_5310[[#This Row],[配件1]],显卡利益点对照表新[型号],显卡利益点对照表新[利益点1],"ERROR"),"")</f>
        <v>铜板+复合式热管</v>
      </c>
      <c r="J210" t="str">
        <f>IF(表1_5310[[#This Row],[配件1]]&lt;&gt;"",_xlfn.XLOOKUP(表1_5310[[#This Row],[配件1]],显卡利益点对照表新[型号],显卡利益点对照表新[利益点2],"ERROR"),"")</f>
        <v>精巧双风扇</v>
      </c>
      <c r="K210" t="str">
        <f>IF(表1_5310[[#This Row],[配件1]]&lt;&gt;"",_xlfn.XLOOKUP(表1_5310[[#This Row],[配件1]],显卡利益点对照表新[型号],显卡利益点对照表新[利益点3],"ERROR"),"")</f>
        <v>仿生降噪风扇</v>
      </c>
      <c r="L210" t="str">
        <f>IF(表1_5310[[#This Row],[配件1]]&lt;&gt;"",_xlfn.XLOOKUP(表1_5310[[#This Row],[配件1]],显卡利益点对照表新[型号],显卡利益点对照表新[算力],"ERROR"),"")</f>
        <v>AI算力759 TOPS</v>
      </c>
      <c r="M210" t="str">
        <f>IF(表1_5310[[#This Row],[配件1]]&lt;&gt;"",_xlfn.XLOOKUP(表1_5310[[#This Row],[配件1]],显卡利益点对照表新[型号],显卡利益点对照表新[可显性],"ERROR"),"")</f>
        <v>GV-N506TEAGLE OC-16GD</v>
      </c>
      <c r="N21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0" t="s">
        <v>674</v>
      </c>
      <c r="Q210" t="str" cm="1">
        <f t="array" ref="Q210">_xlfn.IFS(表1_5310[[#This Row],[配件1]]="","",表1_5310[[#This Row],[文本丨算力丨算力值]]=" ","",表1_5310[[#This Row],[文本丨算力丨算力值]]&lt;&gt;"","算力")</f>
        <v>算力</v>
      </c>
    </row>
    <row r="211" spans="2:17" x14ac:dyDescent="0.2">
      <c r="B211" s="22">
        <v>10150421749906</v>
      </c>
      <c r="C211" t="s">
        <v>258</v>
      </c>
      <c r="D211" t="s">
        <v>468</v>
      </c>
      <c r="F211" t="str">
        <f>IF(表1_5310[[#This Row],[配件1]]&lt;&gt;"",_xlfn.XLOOKUP(表1_5310[[#This Row],[配件1]],显卡利益点对照表新[型号],显卡利益点对照表新[[芯片组 ]],"ERROR"),"")</f>
        <v>RTX5060 Ti 8G</v>
      </c>
      <c r="G21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21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211" t="str">
        <f>IF(表1_5310[[#This Row],[配件1]]&lt;&gt;"",_xlfn.XLOOKUP(表1_5310[[#This Row],[配件1]],显卡利益点对照表新[型号],显卡利益点对照表新[利益点1],"ERROR"),"")</f>
        <v>铜板+复合式热管</v>
      </c>
      <c r="J211" t="str">
        <f>IF(表1_5310[[#This Row],[配件1]]&lt;&gt;"",_xlfn.XLOOKUP(表1_5310[[#This Row],[配件1]],显卡利益点对照表新[型号],显卡利益点对照表新[利益点2],"ERROR"),"")</f>
        <v>精巧双风扇</v>
      </c>
      <c r="K211" t="str">
        <f>IF(表1_5310[[#This Row],[配件1]]&lt;&gt;"",_xlfn.XLOOKUP(表1_5310[[#This Row],[配件1]],显卡利益点对照表新[型号],显卡利益点对照表新[利益点3],"ERROR"),"")</f>
        <v>仿生降噪风扇</v>
      </c>
      <c r="L211" t="str">
        <f>IF(表1_5310[[#This Row],[配件1]]&lt;&gt;"",_xlfn.XLOOKUP(表1_5310[[#This Row],[配件1]],显卡利益点对照表新[型号],显卡利益点对照表新[算力],"ERROR"),"")</f>
        <v>AI算力759 TOPS</v>
      </c>
      <c r="M211" t="str">
        <f>IF(表1_5310[[#This Row],[配件1]]&lt;&gt;"",_xlfn.XLOOKUP(表1_5310[[#This Row],[配件1]],显卡利益点对照表新[型号],显卡利益点对照表新[可显性],"ERROR"),"")</f>
        <v>GV-N506TEAGLE OC ICE-16GD</v>
      </c>
      <c r="N21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1" t="s">
        <v>674</v>
      </c>
      <c r="Q211" t="str" cm="1">
        <f t="array" ref="Q211">_xlfn.IFS(表1_5310[[#This Row],[配件1]]="","",表1_5310[[#This Row],[文本丨算力丨算力值]]=" ","",表1_5310[[#This Row],[文本丨算力丨算力值]]&lt;&gt;"","算力")</f>
        <v>算力</v>
      </c>
    </row>
    <row r="212" spans="2:17" x14ac:dyDescent="0.2">
      <c r="B212" s="22">
        <v>10094640757403</v>
      </c>
      <c r="C212" t="s">
        <v>255</v>
      </c>
      <c r="D212" t="s">
        <v>468</v>
      </c>
      <c r="F212" t="str">
        <f>IF(表1_5310[[#This Row],[配件1]]&lt;&gt;"",_xlfn.XLOOKUP(表1_5310[[#This Row],[配件1]],显卡利益点对照表新[型号],显卡利益点对照表新[[芯片组 ]],"ERROR"),"")</f>
        <v>RTX5060 Ti 8G</v>
      </c>
      <c r="G21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21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212" t="str">
        <f>IF(表1_5310[[#This Row],[配件1]]&lt;&gt;"",_xlfn.XLOOKUP(表1_5310[[#This Row],[配件1]],显卡利益点对照表新[型号],显卡利益点对照表新[利益点1],"ERROR"),"")</f>
        <v>铜板+复合式热管</v>
      </c>
      <c r="J212" t="str">
        <f>IF(表1_5310[[#This Row],[配件1]]&lt;&gt;"",_xlfn.XLOOKUP(表1_5310[[#This Row],[配件1]],显卡利益点对照表新[型号],显卡利益点对照表新[利益点2],"ERROR"),"")</f>
        <v>RGB滑动侧板</v>
      </c>
      <c r="K212" t="str">
        <f>IF(表1_5310[[#This Row],[配件1]]&lt;&gt;"",_xlfn.XLOOKUP(表1_5310[[#This Row],[配件1]],显卡利益点对照表新[型号],显卡利益点对照表新[利益点3],"ERROR"),"")</f>
        <v>正逆转三风扇</v>
      </c>
      <c r="L212" t="str">
        <f>IF(表1_5310[[#This Row],[配件1]]&lt;&gt;"",_xlfn.XLOOKUP(表1_5310[[#This Row],[配件1]],显卡利益点对照表新[型号],显卡利益点对照表新[算力],"ERROR"),"")</f>
        <v>AI算力759 TOPS</v>
      </c>
      <c r="M212" t="str">
        <f>IF(表1_5310[[#This Row],[配件1]]&lt;&gt;"",_xlfn.XLOOKUP(表1_5310[[#This Row],[配件1]],显卡利益点对照表新[型号],显卡利益点对照表新[可显性],"ERROR"),"")</f>
        <v>GV-N506TGAMING OC-16GD</v>
      </c>
      <c r="N21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2" t="s">
        <v>674</v>
      </c>
      <c r="Q212" t="str" cm="1">
        <f t="array" ref="Q212">_xlfn.IFS(表1_5310[[#This Row],[配件1]]="","",表1_5310[[#This Row],[文本丨算力丨算力值]]=" ","",表1_5310[[#This Row],[文本丨算力丨算力值]]&lt;&gt;"","算力")</f>
        <v>算力</v>
      </c>
    </row>
    <row r="213" spans="2:17" x14ac:dyDescent="0.2">
      <c r="B213" s="22">
        <v>10094640757404</v>
      </c>
      <c r="C213" t="s">
        <v>253</v>
      </c>
      <c r="D213" t="s">
        <v>468</v>
      </c>
      <c r="F213" t="str">
        <f>IF(表1_5310[[#This Row],[配件1]]&lt;&gt;"",_xlfn.XLOOKUP(表1_5310[[#This Row],[配件1]],显卡利益点对照表新[型号],显卡利益点对照表新[[芯片组 ]],"ERROR"),"")</f>
        <v>RTX5060 Ti 8G</v>
      </c>
      <c r="G21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13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13" t="str">
        <f>IF(表1_5310[[#This Row],[配件1]]&lt;&gt;"",_xlfn.XLOOKUP(表1_5310[[#This Row],[配件1]],显卡利益点对照表新[型号],显卡利益点对照表新[利益点1],"ERROR"),"")</f>
        <v>铜板+复合式热管</v>
      </c>
      <c r="J213" t="str">
        <f>IF(表1_5310[[#This Row],[配件1]]&lt;&gt;"",_xlfn.XLOOKUP(表1_5310[[#This Row],[配件1]],显卡利益点对照表新[型号],显卡利益点对照表新[利益点2],"ERROR"),"")</f>
        <v>银白雪装外观</v>
      </c>
      <c r="K213" t="str">
        <f>IF(表1_5310[[#This Row],[配件1]]&lt;&gt;"",_xlfn.XLOOKUP(表1_5310[[#This Row],[配件1]],显卡利益点对照表新[型号],显卡利益点对照表新[利益点3],"ERROR"),"")</f>
        <v>正逆转三风扇</v>
      </c>
      <c r="L213" t="str">
        <f>IF(表1_5310[[#This Row],[配件1]]&lt;&gt;"",_xlfn.XLOOKUP(表1_5310[[#This Row],[配件1]],显卡利益点对照表新[型号],显卡利益点对照表新[算力],"ERROR"),"")</f>
        <v>AI算力759 TOPS</v>
      </c>
      <c r="M213" t="str">
        <f>IF(表1_5310[[#This Row],[配件1]]&lt;&gt;"",_xlfn.XLOOKUP(表1_5310[[#This Row],[配件1]],显卡利益点对照表新[型号],显卡利益点对照表新[可显性],"ERROR"),"")</f>
        <v>GV-N506TAERO OC-16GD</v>
      </c>
      <c r="N21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3" t="s">
        <v>674</v>
      </c>
      <c r="Q213" t="str" cm="1">
        <f t="array" ref="Q213">_xlfn.IFS(表1_5310[[#This Row],[配件1]]="","",表1_5310[[#This Row],[文本丨算力丨算力值]]=" ","",表1_5310[[#This Row],[文本丨算力丨算力值]]&lt;&gt;"","算力")</f>
        <v>算力</v>
      </c>
    </row>
    <row r="214" spans="2:17" x14ac:dyDescent="0.2">
      <c r="B214" s="22">
        <v>10094642114075</v>
      </c>
      <c r="C214" t="s">
        <v>254</v>
      </c>
      <c r="D214" t="s">
        <v>468</v>
      </c>
      <c r="F214" t="str">
        <f>IF(表1_5310[[#This Row],[配件1]]&lt;&gt;"",_xlfn.XLOOKUP(表1_5310[[#This Row],[配件1]],显卡利益点对照表新[型号],显卡利益点对照表新[[芯片组 ]],"ERROR"),"")</f>
        <v>RTX5060 Ti 16G</v>
      </c>
      <c r="G21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214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214" t="str">
        <f>IF(表1_5310[[#This Row],[配件1]]&lt;&gt;"",_xlfn.XLOOKUP(表1_5310[[#This Row],[配件1]],显卡利益点对照表新[型号],显卡利益点对照表新[利益点1],"ERROR"),"")</f>
        <v>铜板+复合式热管</v>
      </c>
      <c r="J214" t="str">
        <f>IF(表1_5310[[#This Row],[配件1]]&lt;&gt;"",_xlfn.XLOOKUP(表1_5310[[#This Row],[配件1]],显卡利益点对照表新[型号],显卡利益点对照表新[利益点2],"ERROR"),"")</f>
        <v>精巧双风扇</v>
      </c>
      <c r="K214" t="str">
        <f>IF(表1_5310[[#This Row],[配件1]]&lt;&gt;"",_xlfn.XLOOKUP(表1_5310[[#This Row],[配件1]],显卡利益点对照表新[型号],显卡利益点对照表新[利益点3],"ERROR"),"")</f>
        <v>16G大显存</v>
      </c>
      <c r="L214" t="str">
        <f>IF(表1_5310[[#This Row],[配件1]]&lt;&gt;"",_xlfn.XLOOKUP(表1_5310[[#This Row],[配件1]],显卡利益点对照表新[型号],显卡利益点对照表新[算力],"ERROR"),"")</f>
        <v>AI算力759 TOPS</v>
      </c>
      <c r="M214" t="str">
        <f>IF(表1_5310[[#This Row],[配件1]]&lt;&gt;"",_xlfn.XLOOKUP(表1_5310[[#This Row],[配件1]],显卡利益点对照表新[型号],显卡利益点对照表新[可显性],"ERROR"),"")</f>
        <v>GV-N506TWF2-16GD</v>
      </c>
      <c r="N21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4" t="s">
        <v>674</v>
      </c>
      <c r="Q214" t="str" cm="1">
        <f t="array" ref="Q214">_xlfn.IFS(表1_5310[[#This Row],[配件1]]="","",表1_5310[[#This Row],[文本丨算力丨算力值]]=" ","",表1_5310[[#This Row],[文本丨算力丨算力值]]&lt;&gt;"","算力")</f>
        <v>算力</v>
      </c>
    </row>
    <row r="215" spans="2:17" x14ac:dyDescent="0.2">
      <c r="B215" s="22">
        <v>10150421749907</v>
      </c>
      <c r="C215" t="s">
        <v>261</v>
      </c>
      <c r="D215" t="s">
        <v>468</v>
      </c>
      <c r="F215" t="str">
        <f>IF(表1_5310[[#This Row],[配件1]]&lt;&gt;"",_xlfn.XLOOKUP(表1_5310[[#This Row],[配件1]],显卡利益点对照表新[型号],显卡利益点对照表新[[芯片组 ]],"ERROR"),"")</f>
        <v>RTX5060 Ti 8G</v>
      </c>
      <c r="G21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215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215" t="str">
        <f>IF(表1_5310[[#This Row],[配件1]]&lt;&gt;"",_xlfn.XLOOKUP(表1_5310[[#This Row],[配件1]],显卡利益点对照表新[型号],显卡利益点对照表新[利益点1],"ERROR"),"")</f>
        <v>铜板+复合式热管</v>
      </c>
      <c r="J215" t="str">
        <f>IF(表1_5310[[#This Row],[配件1]]&lt;&gt;"",_xlfn.XLOOKUP(表1_5310[[#This Row],[配件1]],显卡利益点对照表新[型号],显卡利益点对照表新[利益点2],"ERROR"),"")</f>
        <v>精巧双风扇</v>
      </c>
      <c r="K215" t="str">
        <f>IF(表1_5310[[#This Row],[配件1]]&lt;&gt;"",_xlfn.XLOOKUP(表1_5310[[#This Row],[配件1]],显卡利益点对照表新[型号],显卡利益点对照表新[利益点3],"ERROR"),"")</f>
        <v>16G大显存</v>
      </c>
      <c r="L215" t="str">
        <f>IF(表1_5310[[#This Row],[配件1]]&lt;&gt;"",_xlfn.XLOOKUP(表1_5310[[#This Row],[配件1]],显卡利益点对照表新[型号],显卡利益点对照表新[算力],"ERROR"),"")</f>
        <v>AI算力759 TOPS</v>
      </c>
      <c r="M215" t="str">
        <f>IF(表1_5310[[#This Row],[配件1]]&lt;&gt;"",_xlfn.XLOOKUP(表1_5310[[#This Row],[配件1]],显卡利益点对照表新[型号],显卡利益点对照表新[可显性],"ERROR"),"")</f>
        <v>GV-N506TEAGLE OC-16GD</v>
      </c>
      <c r="N2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5" t="s">
        <v>674</v>
      </c>
      <c r="Q215" t="str" cm="1">
        <f t="array" ref="Q215">_xlfn.IFS(表1_5310[[#This Row],[配件1]]="","",表1_5310[[#This Row],[文本丨算力丨算力值]]=" ","",表1_5310[[#This Row],[文本丨算力丨算力值]]&lt;&gt;"","算力")</f>
        <v>算力</v>
      </c>
    </row>
    <row r="216" spans="2:17" x14ac:dyDescent="0.2">
      <c r="B216" s="22">
        <v>10150421749908</v>
      </c>
      <c r="C216" t="s">
        <v>257</v>
      </c>
      <c r="D216" t="s">
        <v>468</v>
      </c>
      <c r="F216" t="str">
        <f>IF(表1_5310[[#This Row],[配件1]]&lt;&gt;"",_xlfn.XLOOKUP(表1_5310[[#This Row],[配件1]],显卡利益点对照表新[型号],显卡利益点对照表新[[芯片组 ]],"ERROR"),"")</f>
        <v>RTX5060 Ti 16G</v>
      </c>
      <c r="G21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21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216" t="str">
        <f>IF(表1_5310[[#This Row],[配件1]]&lt;&gt;"",_xlfn.XLOOKUP(表1_5310[[#This Row],[配件1]],显卡利益点对照表新[型号],显卡利益点对照表新[利益点1],"ERROR"),"")</f>
        <v>铜板+复合式热管</v>
      </c>
      <c r="J216" t="str">
        <f>IF(表1_5310[[#This Row],[配件1]]&lt;&gt;"",_xlfn.XLOOKUP(表1_5310[[#This Row],[配件1]],显卡利益点对照表新[型号],显卡利益点对照表新[利益点2],"ERROR"),"")</f>
        <v>精巧双风扇</v>
      </c>
      <c r="K216" t="str">
        <f>IF(表1_5310[[#This Row],[配件1]]&lt;&gt;"",_xlfn.XLOOKUP(表1_5310[[#This Row],[配件1]],显卡利益点对照表新[型号],显卡利益点对照表新[利益点3],"ERROR"),"")</f>
        <v>16G大显存</v>
      </c>
      <c r="L216" t="str">
        <f>IF(表1_5310[[#This Row],[配件1]]&lt;&gt;"",_xlfn.XLOOKUP(表1_5310[[#This Row],[配件1]],显卡利益点对照表新[型号],显卡利益点对照表新[算力],"ERROR"),"")</f>
        <v>AI算力759 TOPS</v>
      </c>
      <c r="M216" t="str">
        <f>IF(表1_5310[[#This Row],[配件1]]&lt;&gt;"",_xlfn.XLOOKUP(表1_5310[[#This Row],[配件1]],显卡利益点对照表新[型号],显卡利益点对照表新[可显性],"ERROR"),"")</f>
        <v>GV-N506TEAGLE OC ICE-16GD</v>
      </c>
      <c r="N21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6" t="s">
        <v>674</v>
      </c>
      <c r="Q216" t="str" cm="1">
        <f t="array" ref="Q216">_xlfn.IFS(表1_5310[[#This Row],[配件1]]="","",表1_5310[[#This Row],[文本丨算力丨算力值]]=" ","",表1_5310[[#This Row],[文本丨算力丨算力值]]&lt;&gt;"","算力")</f>
        <v>算力</v>
      </c>
    </row>
    <row r="217" spans="2:17" x14ac:dyDescent="0.2">
      <c r="B217" s="22">
        <v>10150421749909</v>
      </c>
      <c r="C217" t="s">
        <v>256</v>
      </c>
      <c r="D217" t="s">
        <v>468</v>
      </c>
      <c r="F217" t="str">
        <f>IF(表1_5310[[#This Row],[配件1]]&lt;&gt;"",_xlfn.XLOOKUP(表1_5310[[#This Row],[配件1]],显卡利益点对照表新[型号],显卡利益点对照表新[[芯片组 ]],"ERROR"),"")</f>
        <v>RTX5060 Ti 16G</v>
      </c>
      <c r="G21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21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217" t="str">
        <f>IF(表1_5310[[#This Row],[配件1]]&lt;&gt;"",_xlfn.XLOOKUP(表1_5310[[#This Row],[配件1]],显卡利益点对照表新[型号],显卡利益点对照表新[利益点1],"ERROR"),"")</f>
        <v>铜板+复合式热管</v>
      </c>
      <c r="J217" t="str">
        <f>IF(表1_5310[[#This Row],[配件1]]&lt;&gt;"",_xlfn.XLOOKUP(表1_5310[[#This Row],[配件1]],显卡利益点对照表新[型号],显卡利益点对照表新[利益点2],"ERROR"),"")</f>
        <v>RGB滑动侧板</v>
      </c>
      <c r="K217" t="str">
        <f>IF(表1_5310[[#This Row],[配件1]]&lt;&gt;"",_xlfn.XLOOKUP(表1_5310[[#This Row],[配件1]],显卡利益点对照表新[型号],显卡利益点对照表新[利益点3],"ERROR"),"")</f>
        <v>正逆转三风扇</v>
      </c>
      <c r="L217" t="str">
        <f>IF(表1_5310[[#This Row],[配件1]]&lt;&gt;"",_xlfn.XLOOKUP(表1_5310[[#This Row],[配件1]],显卡利益点对照表新[型号],显卡利益点对照表新[算力],"ERROR"),"")</f>
        <v>AI算力759 TOPS</v>
      </c>
      <c r="M217" t="str">
        <f>IF(表1_5310[[#This Row],[配件1]]&lt;&gt;"",_xlfn.XLOOKUP(表1_5310[[#This Row],[配件1]],显卡利益点对照表新[型号],显卡利益点对照表新[可显性],"ERROR"),"")</f>
        <v>GV-N506TGAMING OC-16GD</v>
      </c>
      <c r="N21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7" t="s">
        <v>674</v>
      </c>
      <c r="Q217" t="str" cm="1">
        <f t="array" ref="Q217">_xlfn.IFS(表1_5310[[#This Row],[配件1]]="","",表1_5310[[#This Row],[文本丨算力丨算力值]]=" ","",表1_5310[[#This Row],[文本丨算力丨算力值]]&lt;&gt;"","算力")</f>
        <v>算力</v>
      </c>
    </row>
    <row r="218" spans="2:17" x14ac:dyDescent="0.2">
      <c r="B218" s="22">
        <v>10150421749910</v>
      </c>
      <c r="C218" t="s">
        <v>252</v>
      </c>
      <c r="D218" t="s">
        <v>468</v>
      </c>
      <c r="F218" t="str">
        <f>IF(表1_5310[[#This Row],[配件1]]&lt;&gt;"",_xlfn.XLOOKUP(表1_5310[[#This Row],[配件1]],显卡利益点对照表新[型号],显卡利益点对照表新[[芯片组 ]],"ERROR"),"")</f>
        <v>RTX5060 Ti 16G</v>
      </c>
      <c r="G21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18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18" t="str">
        <f>IF(表1_5310[[#This Row],[配件1]]&lt;&gt;"",_xlfn.XLOOKUP(表1_5310[[#This Row],[配件1]],显卡利益点对照表新[型号],显卡利益点对照表新[利益点1],"ERROR"),"")</f>
        <v>铜板+复合式热管</v>
      </c>
      <c r="J218" t="str">
        <f>IF(表1_5310[[#This Row],[配件1]]&lt;&gt;"",_xlfn.XLOOKUP(表1_5310[[#This Row],[配件1]],显卡利益点对照表新[型号],显卡利益点对照表新[利益点2],"ERROR"),"")</f>
        <v>银白雪装外观</v>
      </c>
      <c r="K218" t="str">
        <f>IF(表1_5310[[#This Row],[配件1]]&lt;&gt;"",_xlfn.XLOOKUP(表1_5310[[#This Row],[配件1]],显卡利益点对照表新[型号],显卡利益点对照表新[利益点3],"ERROR"),"")</f>
        <v>正逆转三风扇</v>
      </c>
      <c r="L218" t="str">
        <f>IF(表1_5310[[#This Row],[配件1]]&lt;&gt;"",_xlfn.XLOOKUP(表1_5310[[#This Row],[配件1]],显卡利益点对照表新[型号],显卡利益点对照表新[算力],"ERROR"),"")</f>
        <v>AI算力759 TOPS</v>
      </c>
      <c r="M218" t="str">
        <f>IF(表1_5310[[#This Row],[配件1]]&lt;&gt;"",_xlfn.XLOOKUP(表1_5310[[#This Row],[配件1]],显卡利益点对照表新[型号],显卡利益点对照表新[可显性],"ERROR"),"")</f>
        <v>GV-N506TAERO OC-16GD</v>
      </c>
      <c r="N21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8" t="s">
        <v>674</v>
      </c>
      <c r="Q218" t="str" cm="1">
        <f t="array" ref="Q218">_xlfn.IFS(表1_5310[[#This Row],[配件1]]="","",表1_5310[[#This Row],[文本丨算力丨算力值]]=" ","",表1_5310[[#This Row],[文本丨算力丨算力值]]&lt;&gt;"","算力")</f>
        <v>算力</v>
      </c>
    </row>
    <row r="219" spans="2:17" x14ac:dyDescent="0.2">
      <c r="F219" t="str">
        <f>IF(表1_5310[[#This Row],[配件1]]&lt;&gt;"",_xlfn.XLOOKUP(表1_5310[[#This Row],[配件1]],显卡利益点对照表新[型号],显卡利益点对照表新[[芯片组 ]],"ERROR"),"")</f>
        <v/>
      </c>
      <c r="G21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1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19" t="str">
        <f>IF(表1_5310[[#This Row],[配件1]]&lt;&gt;"",_xlfn.XLOOKUP(表1_5310[[#This Row],[配件1]],显卡利益点对照表新[型号],显卡利益点对照表新[利益点1],"ERROR"),"")</f>
        <v/>
      </c>
      <c r="J219" t="str">
        <f>IF(表1_5310[[#This Row],[配件1]]&lt;&gt;"",_xlfn.XLOOKUP(表1_5310[[#This Row],[配件1]],显卡利益点对照表新[型号],显卡利益点对照表新[利益点2],"ERROR"),"")</f>
        <v/>
      </c>
      <c r="K219" t="str">
        <f>IF(表1_5310[[#This Row],[配件1]]&lt;&gt;"",_xlfn.XLOOKUP(表1_5310[[#This Row],[配件1]],显卡利益点对照表新[型号],显卡利益点对照表新[利益点3],"ERROR"),"")</f>
        <v/>
      </c>
      <c r="L219" t="str">
        <f>IF(表1_5310[[#This Row],[配件1]]&lt;&gt;"",_xlfn.XLOOKUP(表1_5310[[#This Row],[配件1]],显卡利益点对照表新[型号],显卡利益点对照表新[算力],"ERROR"),"")</f>
        <v/>
      </c>
      <c r="M219" t="str">
        <f>IF(表1_5310[[#This Row],[配件1]]&lt;&gt;"",_xlfn.XLOOKUP(表1_5310[[#This Row],[配件1]],显卡利益点对照表新[型号],显卡利益点对照表新[可显性],"ERROR"),"")</f>
        <v/>
      </c>
      <c r="N21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19" t="str" cm="1">
        <f t="array" ref="Q219">_xlfn.IFS(表1_5310[[#This Row],[配件1]]="","",表1_5310[[#This Row],[文本丨算力丨算力值]]=" ","",表1_5310[[#This Row],[文本丨算力丨算力值]]&lt;&gt;"","算力")</f>
        <v/>
      </c>
    </row>
    <row r="220" spans="2:17" x14ac:dyDescent="0.2">
      <c r="B220" s="22">
        <v>10095866838024</v>
      </c>
      <c r="C220" t="s">
        <v>356</v>
      </c>
      <c r="D220" t="s">
        <v>468</v>
      </c>
      <c r="F220" t="str">
        <f>IF(表1_5310[[#This Row],[配件1]]&lt;&gt;"",_xlfn.XLOOKUP(表1_5310[[#This Row],[配件1]],显卡利益点对照表新[型号],显卡利益点对照表新[[芯片组 ]],"ERROR"),"")</f>
        <v>RTX5070 12G</v>
      </c>
      <c r="G22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220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220" t="str">
        <f>IF(表1_5310[[#This Row],[配件1]]&lt;&gt;"",_xlfn.XLOOKUP(表1_5310[[#This Row],[配件1]],显卡利益点对照表新[型号],显卡利益点对照表新[利益点1],"ERROR"),"")</f>
        <v>3D智能启停风扇</v>
      </c>
      <c r="J220" t="str">
        <f>IF(表1_5310[[#This Row],[配件1]]&lt;&gt;"",_xlfn.XLOOKUP(表1_5310[[#This Row],[配件1]],显卡利益点对照表新[型号],显卡利益点对照表新[利益点2],"ERROR"),"")</f>
        <v>SFF小尺寸</v>
      </c>
      <c r="K220" t="str">
        <f>IF(表1_5310[[#This Row],[配件1]]&lt;&gt;"",_xlfn.XLOOKUP(表1_5310[[#This Row],[配件1]],显卡利益点对照表新[型号],显卡利益点对照表新[利益点3],"ERROR"),"")</f>
        <v>四重高效散热</v>
      </c>
      <c r="L220" t="str">
        <f>IF(表1_5310[[#This Row],[配件1]]&lt;&gt;"",_xlfn.XLOOKUP(表1_5310[[#This Row],[配件1]],显卡利益点对照表新[型号],显卡利益点对照表新[算力],"ERROR"),"")</f>
        <v>AI算力988 TOPS</v>
      </c>
      <c r="M220" t="str">
        <f>IF(表1_5310[[#This Row],[配件1]]&lt;&gt;"",_xlfn.XLOOKUP(表1_5310[[#This Row],[配件1]],显卡利益点对照表新[型号],显卡利益点对照表新[可显性],"ERROR"),"")</f>
        <v>GV-N5070WF3-12GD</v>
      </c>
      <c r="N22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0" t="s">
        <v>674</v>
      </c>
      <c r="Q220" t="str" cm="1">
        <f t="array" ref="Q220">_xlfn.IFS(表1_5310[[#This Row],[配件1]]="","",表1_5310[[#This Row],[文本丨算力丨算力值]]=" ","",表1_5310[[#This Row],[文本丨算力丨算力值]]&lt;&gt;"","算力")</f>
        <v>算力</v>
      </c>
    </row>
    <row r="221" spans="2:17" x14ac:dyDescent="0.2">
      <c r="B221" s="22">
        <v>10095866838025</v>
      </c>
      <c r="C221" t="s">
        <v>57</v>
      </c>
      <c r="D221" t="s">
        <v>468</v>
      </c>
      <c r="F221" t="str">
        <f>IF(表1_5310[[#This Row],[配件1]]&lt;&gt;"",_xlfn.XLOOKUP(表1_5310[[#This Row],[配件1]],显卡利益点对照表新[型号],显卡利益点对照表新[[芯片组 ]],"ERROR"),"")</f>
        <v>RTX5070 12G</v>
      </c>
      <c r="G22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22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221" t="str">
        <f>IF(表1_5310[[#This Row],[配件1]]&lt;&gt;"",_xlfn.XLOOKUP(表1_5310[[#This Row],[配件1]],显卡利益点对照表新[型号],显卡利益点对照表新[利益点1],"ERROR"),"")</f>
        <v>3D智能启停风扇</v>
      </c>
      <c r="J221" t="str">
        <f>IF(表1_5310[[#This Row],[配件1]]&lt;&gt;"",_xlfn.XLOOKUP(表1_5310[[#This Row],[配件1]],显卡利益点对照表新[型号],显卡利益点对照表新[利益点2],"ERROR"),"")</f>
        <v>SFF小尺寸</v>
      </c>
      <c r="K221" t="str">
        <f>IF(表1_5310[[#This Row],[配件1]]&lt;&gt;"",_xlfn.XLOOKUP(表1_5310[[#This Row],[配件1]],显卡利益点对照表新[型号],显卡利益点对照表新[利益点3],"ERROR"),"")</f>
        <v>四重高效散热</v>
      </c>
      <c r="L221" t="str">
        <f>IF(表1_5310[[#This Row],[配件1]]&lt;&gt;"",_xlfn.XLOOKUP(表1_5310[[#This Row],[配件1]],显卡利益点对照表新[型号],显卡利益点对照表新[算力],"ERROR"),"")</f>
        <v>AI算力988 TOPS</v>
      </c>
      <c r="M221" t="str">
        <f>IF(表1_5310[[#This Row],[配件1]]&lt;&gt;"",_xlfn.XLOOKUP(表1_5310[[#This Row],[配件1]],显卡利益点对照表新[型号],显卡利益点对照表新[可显性],"ERROR"),"")</f>
        <v>GV-N5070EAGLE OC-12GD</v>
      </c>
      <c r="N22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1" t="s">
        <v>674</v>
      </c>
      <c r="Q221" t="str" cm="1">
        <f t="array" ref="Q221">_xlfn.IFS(表1_5310[[#This Row],[配件1]]="","",表1_5310[[#This Row],[文本丨算力丨算力值]]=" ","",表1_5310[[#This Row],[文本丨算力丨算力值]]&lt;&gt;"","算力")</f>
        <v>算力</v>
      </c>
    </row>
    <row r="222" spans="2:17" x14ac:dyDescent="0.2">
      <c r="B222" s="22">
        <v>10142228399717</v>
      </c>
      <c r="C222" t="s">
        <v>60</v>
      </c>
      <c r="D222" t="s">
        <v>468</v>
      </c>
      <c r="F222" t="str">
        <f>IF(表1_5310[[#This Row],[配件1]]&lt;&gt;"",_xlfn.XLOOKUP(表1_5310[[#This Row],[配件1]],显卡利益点对照表新[型号],显卡利益点对照表新[[芯片组 ]],"ERROR"),"")</f>
        <v>RTX5070 12G</v>
      </c>
      <c r="G22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22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222" t="str">
        <f>IF(表1_5310[[#This Row],[配件1]]&lt;&gt;"",_xlfn.XLOOKUP(表1_5310[[#This Row],[配件1]],显卡利益点对照表新[型号],显卡利益点对照表新[利益点1],"ERROR"),"")</f>
        <v>3D智能启停风扇</v>
      </c>
      <c r="J222" t="str">
        <f>IF(表1_5310[[#This Row],[配件1]]&lt;&gt;"",_xlfn.XLOOKUP(表1_5310[[#This Row],[配件1]],显卡利益点对照表新[型号],显卡利益点对照表新[利益点2],"ERROR"),"")</f>
        <v>SFF小尺寸</v>
      </c>
      <c r="K222" t="str">
        <f>IF(表1_5310[[#This Row],[配件1]]&lt;&gt;"",_xlfn.XLOOKUP(表1_5310[[#This Row],[配件1]],显卡利益点对照表新[型号],显卡利益点对照表新[利益点3],"ERROR"),"")</f>
        <v>四重高效散热</v>
      </c>
      <c r="L222" t="str">
        <f>IF(表1_5310[[#This Row],[配件1]]&lt;&gt;"",_xlfn.XLOOKUP(表1_5310[[#This Row],[配件1]],显卡利益点对照表新[型号],显卡利益点对照表新[算力],"ERROR"),"")</f>
        <v>AI算力988 TOPS</v>
      </c>
      <c r="M222" t="str">
        <f>IF(表1_5310[[#This Row],[配件1]]&lt;&gt;"",_xlfn.XLOOKUP(表1_5310[[#This Row],[配件1]],显卡利益点对照表新[型号],显卡利益点对照表新[可显性],"ERROR"),"")</f>
        <v>GV-N5070EAGLEOC ICE-12GD</v>
      </c>
      <c r="N22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2" t="s">
        <v>674</v>
      </c>
      <c r="Q222" t="str" cm="1">
        <f t="array" ref="Q222">_xlfn.IFS(表1_5310[[#This Row],[配件1]]="","",表1_5310[[#This Row],[文本丨算力丨算力值]]=" ","",表1_5310[[#This Row],[文本丨算力丨算力值]]&lt;&gt;"","算力")</f>
        <v>算力</v>
      </c>
    </row>
    <row r="223" spans="2:17" x14ac:dyDescent="0.2">
      <c r="B223" s="22">
        <v>10095866838026</v>
      </c>
      <c r="C223" t="s">
        <v>61</v>
      </c>
      <c r="D223" t="s">
        <v>468</v>
      </c>
      <c r="F223" t="str">
        <f>IF(表1_5310[[#This Row],[配件1]]&lt;&gt;"",_xlfn.XLOOKUP(表1_5310[[#This Row],[配件1]],显卡利益点对照表新[型号],显卡利益点对照表新[[芯片组 ]],"ERROR"),"")</f>
        <v>RTX5070 12G</v>
      </c>
      <c r="G22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22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23" t="str">
        <f>IF(表1_5310[[#This Row],[配件1]]&lt;&gt;"",_xlfn.XLOOKUP(表1_5310[[#This Row],[配件1]],显卡利益点对照表新[型号],显卡利益点对照表新[利益点1],"ERROR"),"")</f>
        <v>注册4年保/个人送保</v>
      </c>
      <c r="J223" t="str">
        <f>IF(表1_5310[[#This Row],[配件1]]&lt;&gt;"",_xlfn.XLOOKUP(表1_5310[[#This Row],[配件1]],显卡利益点对照表新[型号],显卡利益点对照表新[利益点2],"ERROR"),"")</f>
        <v>RGB幻彩光轮</v>
      </c>
      <c r="K223" t="str">
        <f>IF(表1_5310[[#This Row],[配件1]]&lt;&gt;"",_xlfn.XLOOKUP(表1_5310[[#This Row],[配件1]],显卡利益点对照表新[型号],显卡利益点对照表新[利益点3],"ERROR"),"")</f>
        <v>四重高效散热</v>
      </c>
      <c r="L223" t="str">
        <f>IF(表1_5310[[#This Row],[配件1]]&lt;&gt;"",_xlfn.XLOOKUP(表1_5310[[#This Row],[配件1]],显卡利益点对照表新[型号],显卡利益点对照表新[算力],"ERROR"),"")</f>
        <v>AI算力988 TOPS</v>
      </c>
      <c r="M223" t="str">
        <f>IF(表1_5310[[#This Row],[配件1]]&lt;&gt;"",_xlfn.XLOOKUP(表1_5310[[#This Row],[配件1]],显卡利益点对照表新[型号],显卡利益点对照表新[可显性],"ERROR"),"")</f>
        <v>GV-N5070GAMING OC-12GD</v>
      </c>
      <c r="N22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3" t="s">
        <v>674</v>
      </c>
      <c r="Q223" t="str" cm="1">
        <f t="array" ref="Q223">_xlfn.IFS(表1_5310[[#This Row],[配件1]]="","",表1_5310[[#This Row],[文本丨算力丨算力值]]=" ","",表1_5310[[#This Row],[文本丨算力丨算力值]]&lt;&gt;"","算力")</f>
        <v>算力</v>
      </c>
    </row>
    <row r="224" spans="2:17" x14ac:dyDescent="0.2">
      <c r="B224" s="22">
        <v>10095866838027</v>
      </c>
      <c r="C224" t="s">
        <v>66</v>
      </c>
      <c r="D224" t="s">
        <v>468</v>
      </c>
      <c r="F224" t="str">
        <f>IF(表1_5310[[#This Row],[配件1]]&lt;&gt;"",_xlfn.XLOOKUP(表1_5310[[#This Row],[配件1]],显卡利益点对照表新[型号],显卡利益点对照表新[[芯片组 ]],"ERROR"),"")</f>
        <v>RTX5070 12G</v>
      </c>
      <c r="G22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24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24" t="str">
        <f>IF(表1_5310[[#This Row],[配件1]]&lt;&gt;"",_xlfn.XLOOKUP(表1_5310[[#This Row],[配件1]],显卡利益点对照表新[型号],显卡利益点对照表新[利益点1],"ERROR"),"")</f>
        <v>注册4年保/个人送保</v>
      </c>
      <c r="J224" t="str">
        <f>IF(表1_5310[[#This Row],[配件1]]&lt;&gt;"",_xlfn.XLOOKUP(表1_5310[[#This Row],[配件1]],显卡利益点对照表新[型号],显卡利益点对照表新[利益点2],"ERROR"),"")</f>
        <v>纯白雪装限定</v>
      </c>
      <c r="K224" t="str">
        <f>IF(表1_5310[[#This Row],[配件1]]&lt;&gt;"",_xlfn.XLOOKUP(表1_5310[[#This Row],[配件1]],显卡利益点对照表新[型号],显卡利益点对照表新[利益点3],"ERROR"),"")</f>
        <v>四重高效散热</v>
      </c>
      <c r="L224" t="str">
        <f>IF(表1_5310[[#This Row],[配件1]]&lt;&gt;"",_xlfn.XLOOKUP(表1_5310[[#This Row],[配件1]],显卡利益点对照表新[型号],显卡利益点对照表新[算力],"ERROR"),"")</f>
        <v>AI算力988 TOPS</v>
      </c>
      <c r="M224" t="str">
        <f>IF(表1_5310[[#This Row],[配件1]]&lt;&gt;"",_xlfn.XLOOKUP(表1_5310[[#This Row],[配件1]],显卡利益点对照表新[型号],显卡利益点对照表新[可显性],"ERROR"),"")</f>
        <v>GV-N5070AERO OC-12GD</v>
      </c>
      <c r="N22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4" t="s">
        <v>674</v>
      </c>
      <c r="Q224" t="str" cm="1">
        <f t="array" ref="Q224">_xlfn.IFS(表1_5310[[#This Row],[配件1]]="","",表1_5310[[#This Row],[文本丨算力丨算力值]]=" ","",表1_5310[[#This Row],[文本丨算力丨算力值]]&lt;&gt;"","算力")</f>
        <v>算力</v>
      </c>
    </row>
    <row r="225" spans="2:17" x14ac:dyDescent="0.2">
      <c r="B225" s="22">
        <v>10176553805463</v>
      </c>
      <c r="C225" t="s">
        <v>69</v>
      </c>
      <c r="D225" t="s">
        <v>468</v>
      </c>
      <c r="F225" t="str">
        <f>IF(表1_5310[[#This Row],[配件1]]&lt;&gt;"",_xlfn.XLOOKUP(表1_5310[[#This Row],[配件1]],显卡利益点对照表新[型号],显卡利益点对照表新[[芯片组 ]],"ERROR"),"")</f>
        <v>RTX5070 12G</v>
      </c>
      <c r="G22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25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25" t="str">
        <f>IF(表1_5310[[#This Row],[配件1]]&lt;&gt;"",_xlfn.XLOOKUP(表1_5310[[#This Row],[配件1]],显卡利益点对照表新[型号],显卡利益点对照表新[利益点1],"ERROR"),"")</f>
        <v>注册4年保/个人送保</v>
      </c>
      <c r="J225" t="str">
        <f>IF(表1_5310[[#This Row],[配件1]]&lt;&gt;"",_xlfn.XLOOKUP(表1_5310[[#This Row],[配件1]],显卡利益点对照表新[型号],显卡利益点对照表新[利益点2],"ERROR"),"")</f>
        <v>LCD 自定义屏幕</v>
      </c>
      <c r="K225" t="str">
        <f>IF(表1_5310[[#This Row],[配件1]]&lt;&gt;"",_xlfn.XLOOKUP(表1_5310[[#This Row],[配件1]],显卡利益点对照表新[型号],显卡利益点对照表新[利益点3],"ERROR"),"")</f>
        <v>五重高效散热</v>
      </c>
      <c r="L225" t="str">
        <f>IF(表1_5310[[#This Row],[配件1]]&lt;&gt;"",_xlfn.XLOOKUP(表1_5310[[#This Row],[配件1]],显卡利益点对照表新[型号],显卡利益点对照表新[算力],"ERROR"),"")</f>
        <v>AI算力988 TOPS</v>
      </c>
      <c r="M225" t="str">
        <f>IF(表1_5310[[#This Row],[配件1]]&lt;&gt;"",_xlfn.XLOOKUP(表1_5310[[#This Row],[配件1]],显卡利益点对照表新[型号],显卡利益点对照表新[可显性],"ERROR"),"")</f>
        <v>GV-N5070AORUS M-12GD</v>
      </c>
      <c r="N22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5" t="s">
        <v>674</v>
      </c>
      <c r="Q225" t="str" cm="1">
        <f t="array" ref="Q225">_xlfn.IFS(表1_5310[[#This Row],[配件1]]="","",表1_5310[[#This Row],[文本丨算力丨算力值]]=" ","",表1_5310[[#This Row],[文本丨算力丨算力值]]&lt;&gt;"","算力")</f>
        <v>算力</v>
      </c>
    </row>
    <row r="226" spans="2:17" x14ac:dyDescent="0.2">
      <c r="B226" s="22">
        <v>10096240644746</v>
      </c>
      <c r="C226" t="s">
        <v>1073</v>
      </c>
      <c r="D226" t="s">
        <v>468</v>
      </c>
      <c r="F226" t="str">
        <f>IF(表1_5310[[#This Row],[配件1]]&lt;&gt;"",_xlfn.XLOOKUP(表1_5310[[#This Row],[配件1]],显卡利益点对照表新[型号],显卡利益点对照表新[[芯片组 ]],"ERROR"),"")</f>
        <v>RTX5070Ti 16G</v>
      </c>
      <c r="G22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226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226" t="str">
        <f>IF(表1_5310[[#This Row],[配件1]]&lt;&gt;"",_xlfn.XLOOKUP(表1_5310[[#This Row],[配件1]],显卡利益点对照表新[型号],显卡利益点对照表新[利益点1],"ERROR"),"")</f>
        <v>可调式显卡支架</v>
      </c>
      <c r="J226" t="str">
        <f>IF(表1_5310[[#This Row],[配件1]]&lt;&gt;"",_xlfn.XLOOKUP(表1_5310[[#This Row],[配件1]],显卡利益点对照表新[型号],显卡利益点对照表新[利益点2],"ERROR"),"")</f>
        <v>SFF小尺寸</v>
      </c>
      <c r="K226" t="str">
        <f>IF(表1_5310[[#This Row],[配件1]]&lt;&gt;"",_xlfn.XLOOKUP(表1_5310[[#This Row],[配件1]],显卡利益点对照表新[型号],显卡利益点对照表新[利益点3],"ERROR"),"")</f>
        <v>四重高效散热</v>
      </c>
      <c r="L226" t="str">
        <f>IF(表1_5310[[#This Row],[配件1]]&lt;&gt;"",_xlfn.XLOOKUP(表1_5310[[#This Row],[配件1]],显卡利益点对照表新[型号],显卡利益点对照表新[算力],"ERROR"),"")</f>
        <v>AI算力1406 TOPS</v>
      </c>
      <c r="M226" t="str">
        <f>IF(表1_5310[[#This Row],[配件1]]&lt;&gt;"",_xlfn.XLOOKUP(表1_5310[[#This Row],[配件1]],显卡利益点对照表新[型号],显卡利益点对照表新[可显性],"ERROR"),"")</f>
        <v>GV-N507TWF3-16GD</v>
      </c>
      <c r="N22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6" t="s">
        <v>674</v>
      </c>
      <c r="Q226" t="str" cm="1">
        <f t="array" ref="Q226">_xlfn.IFS(表1_5310[[#This Row],[配件1]]="","",表1_5310[[#This Row],[文本丨算力丨算力值]]=" ","",表1_5310[[#This Row],[文本丨算力丨算力值]]&lt;&gt;"","算力")</f>
        <v>算力</v>
      </c>
    </row>
    <row r="227" spans="2:17" x14ac:dyDescent="0.2">
      <c r="B227" s="22">
        <v>10142228399718</v>
      </c>
      <c r="C227" t="s">
        <v>79</v>
      </c>
      <c r="D227" t="s">
        <v>468</v>
      </c>
      <c r="F227" t="str">
        <f>IF(表1_5310[[#This Row],[配件1]]&lt;&gt;"",_xlfn.XLOOKUP(表1_5310[[#This Row],[配件1]],显卡利益点对照表新[型号],显卡利益点对照表新[[芯片组 ]],"ERROR"),"")</f>
        <v>RTX5070Ti 16G</v>
      </c>
      <c r="G22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227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227" t="str">
        <f>IF(表1_5310[[#This Row],[配件1]]&lt;&gt;"",_xlfn.XLOOKUP(表1_5310[[#This Row],[配件1]],显卡利益点对照表新[型号],显卡利益点对照表新[利益点1],"ERROR"),"")</f>
        <v>可调式显卡支架</v>
      </c>
      <c r="J227" t="str">
        <f>IF(表1_5310[[#This Row],[配件1]]&lt;&gt;"",_xlfn.XLOOKUP(表1_5310[[#This Row],[配件1]],显卡利益点对照表新[型号],显卡利益点对照表新[利益点2],"ERROR"),"")</f>
        <v>SFF小尺寸</v>
      </c>
      <c r="K227" t="str">
        <f>IF(表1_5310[[#This Row],[配件1]]&lt;&gt;"",_xlfn.XLOOKUP(表1_5310[[#This Row],[配件1]],显卡利益点对照表新[型号],显卡利益点对照表新[利益点3],"ERROR"),"")</f>
        <v>四重高效散热</v>
      </c>
      <c r="L227" t="str">
        <f>IF(表1_5310[[#This Row],[配件1]]&lt;&gt;"",_xlfn.XLOOKUP(表1_5310[[#This Row],[配件1]],显卡利益点对照表新[型号],显卡利益点对照表新[算力],"ERROR"),"")</f>
        <v>AI算力1406 TOPS</v>
      </c>
      <c r="M227" t="str">
        <f>IF(表1_5310[[#This Row],[配件1]]&lt;&gt;"",_xlfn.XLOOKUP(表1_5310[[#This Row],[配件1]],显卡利益点对照表新[型号],显卡利益点对照表新[可显性],"ERROR"),"")</f>
        <v>GV-N507TEAGLE OC-16GD</v>
      </c>
      <c r="N22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7" t="s">
        <v>674</v>
      </c>
      <c r="Q227" t="str" cm="1">
        <f t="array" ref="Q227">_xlfn.IFS(表1_5310[[#This Row],[配件1]]="","",表1_5310[[#This Row],[文本丨算力丨算力值]]=" ","",表1_5310[[#This Row],[文本丨算力丨算力值]]&lt;&gt;"","算力")</f>
        <v>算力</v>
      </c>
    </row>
    <row r="228" spans="2:17" x14ac:dyDescent="0.2">
      <c r="B228" s="22">
        <v>10142228399719</v>
      </c>
      <c r="C228" t="s">
        <v>80</v>
      </c>
      <c r="D228" t="s">
        <v>468</v>
      </c>
      <c r="F228" t="str">
        <f>IF(表1_5310[[#This Row],[配件1]]&lt;&gt;"",_xlfn.XLOOKUP(表1_5310[[#This Row],[配件1]],显卡利益点对照表新[型号],显卡利益点对照表新[[芯片组 ]],"ERROR"),"")</f>
        <v>RTX5070Ti 16G</v>
      </c>
      <c r="G22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228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228" t="str">
        <f>IF(表1_5310[[#This Row],[配件1]]&lt;&gt;"",_xlfn.XLOOKUP(表1_5310[[#This Row],[配件1]],显卡利益点对照表新[型号],显卡利益点对照表新[利益点1],"ERROR"),"")</f>
        <v>可调式显卡支架</v>
      </c>
      <c r="J228" t="str">
        <f>IF(表1_5310[[#This Row],[配件1]]&lt;&gt;"",_xlfn.XLOOKUP(表1_5310[[#This Row],[配件1]],显卡利益点对照表新[型号],显卡利益点对照表新[利益点2],"ERROR"),"")</f>
        <v>SFF小尺寸</v>
      </c>
      <c r="K228" t="str">
        <f>IF(表1_5310[[#This Row],[配件1]]&lt;&gt;"",_xlfn.XLOOKUP(表1_5310[[#This Row],[配件1]],显卡利益点对照表新[型号],显卡利益点对照表新[利益点3],"ERROR"),"")</f>
        <v>四重高效散热</v>
      </c>
      <c r="L228" t="str">
        <f>IF(表1_5310[[#This Row],[配件1]]&lt;&gt;"",_xlfn.XLOOKUP(表1_5310[[#This Row],[配件1]],显卡利益点对照表新[型号],显卡利益点对照表新[算力],"ERROR"),"")</f>
        <v>AI算力1406 TOPS</v>
      </c>
      <c r="M228" t="str">
        <f>IF(表1_5310[[#This Row],[配件1]]&lt;&gt;"",_xlfn.XLOOKUP(表1_5310[[#This Row],[配件1]],显卡利益点对照表新[型号],显卡利益点对照表新[可显性],"ERROR"),"")</f>
        <v>GV-N507TEAGLE OC ICE-16GD</v>
      </c>
      <c r="N22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8" t="s">
        <v>674</v>
      </c>
      <c r="Q228" t="str" cm="1">
        <f t="array" ref="Q228">_xlfn.IFS(表1_5310[[#This Row],[配件1]]="","",表1_5310[[#This Row],[文本丨算力丨算力值]]=" ","",表1_5310[[#This Row],[文本丨算力丨算力值]]&lt;&gt;"","算力")</f>
        <v>算力</v>
      </c>
    </row>
    <row r="229" spans="2:17" x14ac:dyDescent="0.2">
      <c r="B229" s="22">
        <v>10096240644747</v>
      </c>
      <c r="C229" t="s">
        <v>82</v>
      </c>
      <c r="D229" t="s">
        <v>468</v>
      </c>
      <c r="F229" t="str">
        <f>IF(表1_5310[[#This Row],[配件1]]&lt;&gt;"",_xlfn.XLOOKUP(表1_5310[[#This Row],[配件1]],显卡利益点对照表新[型号],显卡利益点对照表新[[芯片组 ]],"ERROR"),"")</f>
        <v>RTX5070Ti 16G</v>
      </c>
      <c r="G22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22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29" t="str">
        <f>IF(表1_5310[[#This Row],[配件1]]&lt;&gt;"",_xlfn.XLOOKUP(表1_5310[[#This Row],[配件1]],显卡利益点对照表新[型号],显卡利益点对照表新[利益点1],"ERROR"),"")</f>
        <v>注册4年保/个人送保</v>
      </c>
      <c r="J229" t="str">
        <f>IF(表1_5310[[#This Row],[配件1]]&lt;&gt;"",_xlfn.XLOOKUP(表1_5310[[#This Row],[配件1]],显卡利益点对照表新[型号],显卡利益点对照表新[利益点2],"ERROR"),"")</f>
        <v>RGB幻彩光轮</v>
      </c>
      <c r="K229" t="str">
        <f>IF(表1_5310[[#This Row],[配件1]]&lt;&gt;"",_xlfn.XLOOKUP(表1_5310[[#This Row],[配件1]],显卡利益点对照表新[型号],显卡利益点对照表新[利益点3],"ERROR"),"")</f>
        <v>四重高效散热</v>
      </c>
      <c r="L229" t="str">
        <f>IF(表1_5310[[#This Row],[配件1]]&lt;&gt;"",_xlfn.XLOOKUP(表1_5310[[#This Row],[配件1]],显卡利益点对照表新[型号],显卡利益点对照表新[算力],"ERROR"),"")</f>
        <v>AI算力1406 TOPS</v>
      </c>
      <c r="M229" t="str">
        <f>IF(表1_5310[[#This Row],[配件1]]&lt;&gt;"",_xlfn.XLOOKUP(表1_5310[[#This Row],[配件1]],显卡利益点对照表新[型号],显卡利益点对照表新[可显性],"ERROR"),"")</f>
        <v>GV-N507TGAMING OC-16GD</v>
      </c>
      <c r="N22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9" t="s">
        <v>674</v>
      </c>
      <c r="Q229" t="str" cm="1">
        <f t="array" ref="Q229">_xlfn.IFS(表1_5310[[#This Row],[配件1]]="","",表1_5310[[#This Row],[文本丨算力丨算力值]]=" ","",表1_5310[[#This Row],[文本丨算力丨算力值]]&lt;&gt;"","算力")</f>
        <v>算力</v>
      </c>
    </row>
    <row r="230" spans="2:17" x14ac:dyDescent="0.2">
      <c r="B230" s="22">
        <v>10096240644748</v>
      </c>
      <c r="C230" t="s">
        <v>85</v>
      </c>
      <c r="D230" t="s">
        <v>468</v>
      </c>
      <c r="F230" t="str">
        <f>IF(表1_5310[[#This Row],[配件1]]&lt;&gt;"",_xlfn.XLOOKUP(表1_5310[[#This Row],[配件1]],显卡利益点对照表新[型号],显卡利益点对照表新[[芯片组 ]],"ERROR"),"")</f>
        <v>RTX5070Ti 16G</v>
      </c>
      <c r="G23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30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30" t="str">
        <f>IF(表1_5310[[#This Row],[配件1]]&lt;&gt;"",_xlfn.XLOOKUP(表1_5310[[#This Row],[配件1]],显卡利益点对照表新[型号],显卡利益点对照表新[利益点1],"ERROR"),"")</f>
        <v>注册4年保/个人送保</v>
      </c>
      <c r="J230" t="str">
        <f>IF(表1_5310[[#This Row],[配件1]]&lt;&gt;"",_xlfn.XLOOKUP(表1_5310[[#This Row],[配件1]],显卡利益点对照表新[型号],显卡利益点对照表新[利益点2],"ERROR"),"")</f>
        <v>纯白雪装限定</v>
      </c>
      <c r="K230" t="str">
        <f>IF(表1_5310[[#This Row],[配件1]]&lt;&gt;"",_xlfn.XLOOKUP(表1_5310[[#This Row],[配件1]],显卡利益点对照表新[型号],显卡利益点对照表新[利益点3],"ERROR"),"")</f>
        <v>四重高效散热</v>
      </c>
      <c r="L230" t="str">
        <f>IF(表1_5310[[#This Row],[配件1]]&lt;&gt;"",_xlfn.XLOOKUP(表1_5310[[#This Row],[配件1]],显卡利益点对照表新[型号],显卡利益点对照表新[算力],"ERROR"),"")</f>
        <v>AI算力1406 TOPS</v>
      </c>
      <c r="M230" t="str">
        <f>IF(表1_5310[[#This Row],[配件1]]&lt;&gt;"",_xlfn.XLOOKUP(表1_5310[[#This Row],[配件1]],显卡利益点对照表新[型号],显卡利益点对照表新[可显性],"ERROR"),"")</f>
        <v>GV-N507TAERO OC-16GD</v>
      </c>
      <c r="N23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0" t="s">
        <v>674</v>
      </c>
      <c r="Q230" t="str" cm="1">
        <f t="array" ref="Q230">_xlfn.IFS(表1_5310[[#This Row],[配件1]]="","",表1_5310[[#This Row],[文本丨算力丨算力值]]=" ","",表1_5310[[#This Row],[文本丨算力丨算力值]]&lt;&gt;"","算力")</f>
        <v>算力</v>
      </c>
    </row>
    <row r="231" spans="2:17" x14ac:dyDescent="0.2">
      <c r="B231" s="22">
        <v>10176553805464</v>
      </c>
      <c r="C231" t="s">
        <v>86</v>
      </c>
      <c r="D231" t="s">
        <v>468</v>
      </c>
      <c r="F231" t="str">
        <f>IF(表1_5310[[#This Row],[配件1]]&lt;&gt;"",_xlfn.XLOOKUP(表1_5310[[#This Row],[配件1]],显卡利益点对照表新[型号],显卡利益点对照表新[[芯片组 ]],"ERROR"),"")</f>
        <v>RTX5070Ti 16G</v>
      </c>
      <c r="G23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3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31" t="str">
        <f>IF(表1_5310[[#This Row],[配件1]]&lt;&gt;"",_xlfn.XLOOKUP(表1_5310[[#This Row],[配件1]],显卡利益点对照表新[型号],显卡利益点对照表新[利益点1],"ERROR"),"")</f>
        <v>注册4年保/个人送保</v>
      </c>
      <c r="J231" t="str">
        <f>IF(表1_5310[[#This Row],[配件1]]&lt;&gt;"",_xlfn.XLOOKUP(表1_5310[[#This Row],[配件1]],显卡利益点对照表新[型号],显卡利益点对照表新[利益点2],"ERROR"),"")</f>
        <v>LCD 自定义屏幕</v>
      </c>
      <c r="K231" t="str">
        <f>IF(表1_5310[[#This Row],[配件1]]&lt;&gt;"",_xlfn.XLOOKUP(表1_5310[[#This Row],[配件1]],显卡利益点对照表新[型号],显卡利益点对照表新[利益点3],"ERROR"),"")</f>
        <v>五重高效散热</v>
      </c>
      <c r="L231" t="str">
        <f>IF(表1_5310[[#This Row],[配件1]]&lt;&gt;"",_xlfn.XLOOKUP(表1_5310[[#This Row],[配件1]],显卡利益点对照表新[型号],显卡利益点对照表新[算力],"ERROR"),"")</f>
        <v>AI算力1406 TOPS</v>
      </c>
      <c r="M231" t="str">
        <f>IF(表1_5310[[#This Row],[配件1]]&lt;&gt;"",_xlfn.XLOOKUP(表1_5310[[#This Row],[配件1]],显卡利益点对照表新[型号],显卡利益点对照表新[可显性],"ERROR"),"")</f>
        <v>GV-N507TAORUS M-16GD</v>
      </c>
      <c r="N23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1" t="s">
        <v>674</v>
      </c>
      <c r="Q231" t="str" cm="1">
        <f t="array" ref="Q231">_xlfn.IFS(表1_5310[[#This Row],[配件1]]="","",表1_5310[[#This Row],[文本丨算力丨算力值]]=" ","",表1_5310[[#This Row],[文本丨算力丨算力值]]&lt;&gt;"","算力")</f>
        <v>算力</v>
      </c>
    </row>
    <row r="232" spans="2:17" x14ac:dyDescent="0.2">
      <c r="F232" t="str">
        <f>IF(表1_5310[[#This Row],[配件1]]&lt;&gt;"",_xlfn.XLOOKUP(表1_5310[[#This Row],[配件1]],显卡利益点对照表新[型号],显卡利益点对照表新[[芯片组 ]],"ERROR"),"")</f>
        <v/>
      </c>
      <c r="G23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32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32" t="str">
        <f>IF(表1_5310[[#This Row],[配件1]]&lt;&gt;"",_xlfn.XLOOKUP(表1_5310[[#This Row],[配件1]],显卡利益点对照表新[型号],显卡利益点对照表新[利益点1],"ERROR"),"")</f>
        <v/>
      </c>
      <c r="J232" t="str">
        <f>IF(表1_5310[[#This Row],[配件1]]&lt;&gt;"",_xlfn.XLOOKUP(表1_5310[[#This Row],[配件1]],显卡利益点对照表新[型号],显卡利益点对照表新[利益点2],"ERROR"),"")</f>
        <v/>
      </c>
      <c r="K232" t="str">
        <f>IF(表1_5310[[#This Row],[配件1]]&lt;&gt;"",_xlfn.XLOOKUP(表1_5310[[#This Row],[配件1]],显卡利益点对照表新[型号],显卡利益点对照表新[利益点3],"ERROR"),"")</f>
        <v/>
      </c>
      <c r="L232" t="str">
        <f>IF(表1_5310[[#This Row],[配件1]]&lt;&gt;"",_xlfn.XLOOKUP(表1_5310[[#This Row],[配件1]],显卡利益点对照表新[型号],显卡利益点对照表新[算力],"ERROR"),"")</f>
        <v/>
      </c>
      <c r="M232" t="str">
        <f>IF(表1_5310[[#This Row],[配件1]]&lt;&gt;"",_xlfn.XLOOKUP(表1_5310[[#This Row],[配件1]],显卡利益点对照表新[型号],显卡利益点对照表新[可显性],"ERROR"),"")</f>
        <v/>
      </c>
      <c r="N23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32" t="str" cm="1">
        <f t="array" ref="Q232">_xlfn.IFS(表1_5310[[#This Row],[配件1]]="","",表1_5310[[#This Row],[文本丨算力丨算力值]]=" ","",表1_5310[[#This Row],[文本丨算力丨算力值]]&lt;&gt;"","算力")</f>
        <v/>
      </c>
    </row>
    <row r="233" spans="2:17" x14ac:dyDescent="0.2">
      <c r="B233" s="22">
        <v>10096348118693</v>
      </c>
      <c r="C233" t="s">
        <v>96</v>
      </c>
      <c r="D233" t="s">
        <v>468</v>
      </c>
      <c r="F233" t="str">
        <f>IF(表1_5310[[#This Row],[配件1]]&lt;&gt;"",_xlfn.XLOOKUP(表1_5310[[#This Row],[配件1]],显卡利益点对照表新[型号],显卡利益点对照表新[[芯片组 ]],"ERROR"),"")</f>
        <v>RTX5080 16G</v>
      </c>
      <c r="G23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GAMING OC</v>
      </c>
      <c r="H23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33" t="str">
        <f>IF(表1_5310[[#This Row],[配件1]]&lt;&gt;"",_xlfn.XLOOKUP(表1_5310[[#This Row],[配件1]],显卡利益点对照表新[型号],显卡利益点对照表新[利益点1],"ERROR"),"")</f>
        <v>注册4年保/个人送保</v>
      </c>
      <c r="J233" t="str">
        <f>IF(表1_5310[[#This Row],[配件1]]&lt;&gt;"",_xlfn.XLOOKUP(表1_5310[[#This Row],[配件1]],显卡利益点对照表新[型号],显卡利益点对照表新[利益点2],"ERROR"),"")</f>
        <v>RGB幻彩光轮</v>
      </c>
      <c r="K233" t="str">
        <f>IF(表1_5310[[#This Row],[配件1]]&lt;&gt;"",_xlfn.XLOOKUP(表1_5310[[#This Row],[配件1]],显卡利益点对照表新[型号],显卡利益点对照表新[利益点3],"ERROR"),"")</f>
        <v>四重高效散热</v>
      </c>
      <c r="L233" t="str">
        <f>IF(表1_5310[[#This Row],[配件1]]&lt;&gt;"",_xlfn.XLOOKUP(表1_5310[[#This Row],[配件1]],显卡利益点对照表新[型号],显卡利益点对照表新[算力],"ERROR"),"")</f>
        <v>AI算力1801 TOPS</v>
      </c>
      <c r="M233" t="str">
        <f>IF(表1_5310[[#This Row],[配件1]]&lt;&gt;"",_xlfn.XLOOKUP(表1_5310[[#This Row],[配件1]],显卡利益点对照表新[型号],显卡利益点对照表新[可显性],"ERROR"),"")</f>
        <v>GV-N5080GAMING OC-16GD</v>
      </c>
      <c r="N23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3" t="s">
        <v>674</v>
      </c>
      <c r="Q233" t="str" cm="1">
        <f t="array" ref="Q233">_xlfn.IFS(表1_5310[[#This Row],[配件1]]="","",表1_5310[[#This Row],[文本丨算力丨算力值]]=" ","",表1_5310[[#This Row],[文本丨算力丨算力值]]&lt;&gt;"","算力")</f>
        <v>算力</v>
      </c>
    </row>
    <row r="234" spans="2:17" x14ac:dyDescent="0.2">
      <c r="B234" s="22">
        <v>10096348118695</v>
      </c>
      <c r="C234" t="s">
        <v>98</v>
      </c>
      <c r="D234" t="s">
        <v>468</v>
      </c>
      <c r="F234" t="str">
        <f>IF(表1_5310[[#This Row],[配件1]]&lt;&gt;"",_xlfn.XLOOKUP(表1_5310[[#This Row],[配件1]],显卡利益点对照表新[型号],显卡利益点对照表新[[芯片组 ]],"ERROR"),"")</f>
        <v>RTX5080 16G</v>
      </c>
      <c r="G23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AERO OC</v>
      </c>
      <c r="H234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34" t="str">
        <f>IF(表1_5310[[#This Row],[配件1]]&lt;&gt;"",_xlfn.XLOOKUP(表1_5310[[#This Row],[配件1]],显卡利益点对照表新[型号],显卡利益点对照表新[利益点1],"ERROR"),"")</f>
        <v>注册4年保/个人送保</v>
      </c>
      <c r="J234" t="str">
        <f>IF(表1_5310[[#This Row],[配件1]]&lt;&gt;"",_xlfn.XLOOKUP(表1_5310[[#This Row],[配件1]],显卡利益点对照表新[型号],显卡利益点对照表新[利益点2],"ERROR"),"")</f>
        <v>纯白雪装限定</v>
      </c>
      <c r="K234" t="str">
        <f>IF(表1_5310[[#This Row],[配件1]]&lt;&gt;"",_xlfn.XLOOKUP(表1_5310[[#This Row],[配件1]],显卡利益点对照表新[型号],显卡利益点对照表新[利益点3],"ERROR"),"")</f>
        <v>四重高效散热</v>
      </c>
      <c r="L234" t="str">
        <f>IF(表1_5310[[#This Row],[配件1]]&lt;&gt;"",_xlfn.XLOOKUP(表1_5310[[#This Row],[配件1]],显卡利益点对照表新[型号],显卡利益点对照表新[算力],"ERROR"),"")</f>
        <v>AI算力1801 TOPS</v>
      </c>
      <c r="M234" t="str">
        <f>IF(表1_5310[[#This Row],[配件1]]&lt;&gt;"",_xlfn.XLOOKUP(表1_5310[[#This Row],[配件1]],显卡利益点对照表新[型号],显卡利益点对照表新[可显性],"ERROR"),"")</f>
        <v>GV-N5080AERO OC-16GD</v>
      </c>
      <c r="N23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4" t="s">
        <v>674</v>
      </c>
      <c r="Q234" t="str" cm="1">
        <f t="array" ref="Q234">_xlfn.IFS(表1_5310[[#This Row],[配件1]]="","",表1_5310[[#This Row],[文本丨算力丨算力值]]=" ","",表1_5310[[#This Row],[文本丨算力丨算力值]]&lt;&gt;"","算力")</f>
        <v>算力</v>
      </c>
    </row>
    <row r="235" spans="2:17" x14ac:dyDescent="0.2">
      <c r="B235" s="22">
        <v>10096348118697</v>
      </c>
      <c r="C235" t="s">
        <v>99</v>
      </c>
      <c r="D235" t="s">
        <v>468</v>
      </c>
      <c r="F235" t="str">
        <f>IF(表1_5310[[#This Row],[配件1]]&lt;&gt;"",_xlfn.XLOOKUP(表1_5310[[#This Row],[配件1]],显卡利益点对照表新[型号],显卡利益点对照表新[[芯片组 ]],"ERROR"),"")</f>
        <v>RTX5080 16G</v>
      </c>
      <c r="G23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MASTER OC</v>
      </c>
      <c r="H235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35" t="str">
        <f>IF(表1_5310[[#This Row],[配件1]]&lt;&gt;"",_xlfn.XLOOKUP(表1_5310[[#This Row],[配件1]],显卡利益点对照表新[型号],显卡利益点对照表新[利益点1],"ERROR"),"")</f>
        <v>注册4年保/个人送保</v>
      </c>
      <c r="J235" t="str">
        <f>IF(表1_5310[[#This Row],[配件1]]&lt;&gt;"",_xlfn.XLOOKUP(表1_5310[[#This Row],[配件1]],显卡利益点对照表新[型号],显卡利益点对照表新[利益点2],"ERROR"),"")</f>
        <v>LCD 自定义屏幕</v>
      </c>
      <c r="K235" t="str">
        <f>IF(表1_5310[[#This Row],[配件1]]&lt;&gt;"",_xlfn.XLOOKUP(表1_5310[[#This Row],[配件1]],显卡利益点对照表新[型号],显卡利益点对照表新[利益点3],"ERROR"),"")</f>
        <v>五重高效散热</v>
      </c>
      <c r="L235" t="str">
        <f>IF(表1_5310[[#This Row],[配件1]]&lt;&gt;"",_xlfn.XLOOKUP(表1_5310[[#This Row],[配件1]],显卡利益点对照表新[型号],显卡利益点对照表新[算力],"ERROR"),"")</f>
        <v>AI算力1801 TOPS</v>
      </c>
      <c r="M235" t="str">
        <f>IF(表1_5310[[#This Row],[配件1]]&lt;&gt;"",_xlfn.XLOOKUP(表1_5310[[#This Row],[配件1]],显卡利益点对照表新[型号],显卡利益点对照表新[可显性],"ERROR"),"")</f>
        <v>GV-N5080AORUS M-16GD</v>
      </c>
      <c r="N23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5" t="s">
        <v>674</v>
      </c>
      <c r="Q235" t="str" cm="1">
        <f t="array" ref="Q235">_xlfn.IFS(表1_5310[[#This Row],[配件1]]="","",表1_5310[[#This Row],[文本丨算力丨算力值]]=" ","",表1_5310[[#This Row],[文本丨算力丨算力值]]&lt;&gt;"","算力")</f>
        <v>算力</v>
      </c>
    </row>
    <row r="236" spans="2:17" x14ac:dyDescent="0.2">
      <c r="B236" s="22">
        <v>10116656966194</v>
      </c>
      <c r="C236" t="s">
        <v>101</v>
      </c>
      <c r="D236" t="s">
        <v>468</v>
      </c>
      <c r="F236" t="str">
        <f>IF(表1_5310[[#This Row],[配件1]]&lt;&gt;"",_xlfn.XLOOKUP(表1_5310[[#This Row],[配件1]],显卡利益点对照表新[型号],显卡利益点对照表新[[芯片组 ]],"ERROR"),"")</f>
        <v>RTX5080 16G</v>
      </c>
      <c r="G23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MASTER ICE</v>
      </c>
      <c r="H236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36" t="str">
        <f>IF(表1_5310[[#This Row],[配件1]]&lt;&gt;"",_xlfn.XLOOKUP(表1_5310[[#This Row],[配件1]],显卡利益点对照表新[型号],显卡利益点对照表新[利益点1],"ERROR"),"")</f>
        <v>注册4年保/个人送保</v>
      </c>
      <c r="J236" t="str">
        <f>IF(表1_5310[[#This Row],[配件1]]&lt;&gt;"",_xlfn.XLOOKUP(表1_5310[[#This Row],[配件1]],显卡利益点对照表新[型号],显卡利益点对照表新[利益点2],"ERROR"),"")</f>
        <v>LCD 自定义屏幕</v>
      </c>
      <c r="K236" t="str">
        <f>IF(表1_5310[[#This Row],[配件1]]&lt;&gt;"",_xlfn.XLOOKUP(表1_5310[[#This Row],[配件1]],显卡利益点对照表新[型号],显卡利益点对照表新[利益点3],"ERROR"),"")</f>
        <v>五重高效散热</v>
      </c>
      <c r="L236" t="str">
        <f>IF(表1_5310[[#This Row],[配件1]]&lt;&gt;"",_xlfn.XLOOKUP(表1_5310[[#This Row],[配件1]],显卡利益点对照表新[型号],显卡利益点对照表新[算力],"ERROR"),"")</f>
        <v>AI算力1801 TOPS</v>
      </c>
      <c r="M236" t="str">
        <f>IF(表1_5310[[#This Row],[配件1]]&lt;&gt;"",_xlfn.XLOOKUP(表1_5310[[#This Row],[配件1]],显卡利益点对照表新[型号],显卡利益点对照表新[可显性],"ERROR"),"")</f>
        <v>GV-N5080AORUSM ICE-16GD</v>
      </c>
      <c r="N23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6" t="s">
        <v>674</v>
      </c>
      <c r="Q236" t="str" cm="1">
        <f t="array" ref="Q236">_xlfn.IFS(表1_5310[[#This Row],[配件1]]="","",表1_5310[[#This Row],[文本丨算力丨算力值]]=" ","",表1_5310[[#This Row],[文本丨算力丨算力值]]&lt;&gt;"","算力")</f>
        <v>算力</v>
      </c>
    </row>
    <row r="237" spans="2:17" x14ac:dyDescent="0.2">
      <c r="B237" s="22">
        <v>10115062989742</v>
      </c>
      <c r="C237" t="s">
        <v>103</v>
      </c>
      <c r="D237" t="s">
        <v>468</v>
      </c>
      <c r="F237" t="str">
        <f>IF(表1_5310[[#This Row],[配件1]]&lt;&gt;"",_xlfn.XLOOKUP(表1_5310[[#This Row],[配件1]],显卡利益点对照表新[型号],显卡利益点对照表新[[芯片组 ]],"ERROR"),"")</f>
        <v>RTX5080 16G</v>
      </c>
      <c r="G23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237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237" t="str">
        <f>IF(表1_5310[[#This Row],[配件1]]&lt;&gt;"",_xlfn.XLOOKUP(表1_5310[[#This Row],[配件1]],显卡利益点对照表新[型号],显卡利益点对照表新[利益点1],"ERROR"),"")</f>
        <v>注册4年保/个人送保</v>
      </c>
      <c r="J237" t="str">
        <f>IF(表1_5310[[#This Row],[配件1]]&lt;&gt;"",_xlfn.XLOOKUP(表1_5310[[#This Row],[配件1]],显卡利益点对照表新[型号],显卡利益点对照表新[利益点2],"ERROR"),"")</f>
        <v>RGB幻彩光轮</v>
      </c>
      <c r="K237" t="str">
        <f>IF(表1_5310[[#This Row],[配件1]]&lt;&gt;"",_xlfn.XLOOKUP(表1_5310[[#This Row],[配件1]],显卡利益点对照表新[型号],显卡利益点对照表新[利益点3],"ERROR"),"")</f>
        <v>水之力散热系统</v>
      </c>
      <c r="L237" t="str">
        <f>IF(表1_5310[[#This Row],[配件1]]&lt;&gt;"",_xlfn.XLOOKUP(表1_5310[[#This Row],[配件1]],显卡利益点对照表新[型号],显卡利益点对照表新[算力],"ERROR"),"")</f>
        <v>AI算力1801 TOPS</v>
      </c>
      <c r="M237" t="str">
        <f>IF(表1_5310[[#This Row],[配件1]]&lt;&gt;"",_xlfn.XLOOKUP(表1_5310[[#This Row],[配件1]],显卡利益点对照表新[型号],显卡利益点对照表新[可显性],"ERROR"),"")</f>
        <v>GV-N5080AORUSX W-16GD</v>
      </c>
      <c r="N23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7" t="s">
        <v>674</v>
      </c>
      <c r="Q237" t="str" cm="1">
        <f t="array" ref="Q237">_xlfn.IFS(表1_5310[[#This Row],[配件1]]="","",表1_5310[[#This Row],[文本丨算力丨算力值]]=" ","",表1_5310[[#This Row],[文本丨算力丨算力值]]&lt;&gt;"","算力")</f>
        <v>算力</v>
      </c>
    </row>
    <row r="238" spans="2:17" x14ac:dyDescent="0.2">
      <c r="B238" s="22">
        <v>10176548126503</v>
      </c>
      <c r="C238" t="s">
        <v>815</v>
      </c>
      <c r="D238" t="s">
        <v>468</v>
      </c>
      <c r="F238" t="str">
        <f>IF(表1_5310[[#This Row],[配件1]]&lt;&gt;"",_xlfn.XLOOKUP(表1_5310[[#This Row],[配件1]],显卡利益点对照表新[型号],显卡利益点对照表新[[芯片组 ]],"ERROR"),"")</f>
        <v>RTX5090D V2</v>
      </c>
      <c r="G23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</v>
      </c>
      <c r="H23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</v>
      </c>
      <c r="I238" t="str">
        <f>IF(表1_5310[[#This Row],[配件1]]&lt;&gt;"",_xlfn.XLOOKUP(表1_5310[[#This Row],[配件1]],显卡利益点对照表新[型号],显卡利益点对照表新[利益点1],"ERROR"),"")</f>
        <v>注册4年保/个人送保</v>
      </c>
      <c r="J238" t="str">
        <f>IF(表1_5310[[#This Row],[配件1]]&lt;&gt;"",_xlfn.XLOOKUP(表1_5310[[#This Row],[配件1]],显卡利益点对照表新[型号],显卡利益点对照表新[利益点2],"ERROR"),"")</f>
        <v>RGB幻彩光轮</v>
      </c>
      <c r="K238" t="str">
        <f>IF(表1_5310[[#This Row],[配件1]]&lt;&gt;"",_xlfn.XLOOKUP(表1_5310[[#This Row],[配件1]],显卡利益点对照表新[型号],显卡利益点对照表新[利益点3],"ERROR"),"")</f>
        <v>四重高效散热</v>
      </c>
      <c r="L238" t="str">
        <f>IF(表1_5310[[#This Row],[配件1]]&lt;&gt;"",_xlfn.XLOOKUP(表1_5310[[#This Row],[配件1]],显卡利益点对照表新[型号],显卡利益点对照表新[算力],"ERROR"),"")</f>
        <v>AI算力2375 TOPS</v>
      </c>
      <c r="M238" t="str">
        <f>IF(表1_5310[[#This Row],[配件1]]&lt;&gt;"",_xlfn.XLOOKUP(表1_5310[[#This Row],[配件1]],显卡利益点对照表新[型号],显卡利益点对照表新[可显性],"ERROR"),"")</f>
        <v>GV-N509DGAMING-24GD</v>
      </c>
      <c r="N23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8" t="s">
        <v>674</v>
      </c>
      <c r="Q238" t="str" cm="1">
        <f t="array" ref="Q238">_xlfn.IFS(表1_5310[[#This Row],[配件1]]="","",表1_5310[[#This Row],[文本丨算力丨算力值]]=" ","",表1_5310[[#This Row],[文本丨算力丨算力值]]&lt;&gt;"","算力")</f>
        <v>算力</v>
      </c>
    </row>
    <row r="239" spans="2:17" x14ac:dyDescent="0.2">
      <c r="B239" s="22">
        <v>10176548126504</v>
      </c>
      <c r="C239" t="s">
        <v>816</v>
      </c>
      <c r="D239" t="s">
        <v>468</v>
      </c>
      <c r="F239" t="str">
        <f>IF(表1_5310[[#This Row],[配件1]]&lt;&gt;"",_xlfn.XLOOKUP(表1_5310[[#This Row],[配件1]],显卡利益点对照表新[型号],显卡利益点对照表新[[芯片组 ]],"ERROR"),"")</f>
        <v>RTX5090D V2</v>
      </c>
      <c r="G23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23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39" t="str">
        <f>IF(表1_5310[[#This Row],[配件1]]&lt;&gt;"",_xlfn.XLOOKUP(表1_5310[[#This Row],[配件1]],显卡利益点对照表新[型号],显卡利益点对照表新[利益点1],"ERROR"),"")</f>
        <v>注册4年保/个人送保</v>
      </c>
      <c r="J239" t="str">
        <f>IF(表1_5310[[#This Row],[配件1]]&lt;&gt;"",_xlfn.XLOOKUP(表1_5310[[#This Row],[配件1]],显卡利益点对照表新[型号],显卡利益点对照表新[利益点2],"ERROR"),"")</f>
        <v>RGB幻彩光轮</v>
      </c>
      <c r="K239" t="str">
        <f>IF(表1_5310[[#This Row],[配件1]]&lt;&gt;"",_xlfn.XLOOKUP(表1_5310[[#This Row],[配件1]],显卡利益点对照表新[型号],显卡利益点对照表新[利益点3],"ERROR"),"")</f>
        <v>四重高效散热</v>
      </c>
      <c r="L239" t="str">
        <f>IF(表1_5310[[#This Row],[配件1]]&lt;&gt;"",_xlfn.XLOOKUP(表1_5310[[#This Row],[配件1]],显卡利益点对照表新[型号],显卡利益点对照表新[算力],"ERROR"),"")</f>
        <v>AI算力2375 TOPS</v>
      </c>
      <c r="M239" t="str">
        <f>IF(表1_5310[[#This Row],[配件1]]&lt;&gt;"",_xlfn.XLOOKUP(表1_5310[[#This Row],[配件1]],显卡利益点对照表新[型号],显卡利益点对照表新[可显性],"ERROR"),"")</f>
        <v>GV-N509DGAMING OC-24GD</v>
      </c>
      <c r="N23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9" t="s">
        <v>674</v>
      </c>
      <c r="Q239" t="str" cm="1">
        <f t="array" ref="Q239">_xlfn.IFS(表1_5310[[#This Row],[配件1]]="","",表1_5310[[#This Row],[文本丨算力丨算力值]]=" ","",表1_5310[[#This Row],[文本丨算力丨算力值]]&lt;&gt;"","算力")</f>
        <v>算力</v>
      </c>
    </row>
    <row r="240" spans="2:17" x14ac:dyDescent="0.2">
      <c r="B240" s="22">
        <v>10176548126505</v>
      </c>
      <c r="C240" t="s">
        <v>817</v>
      </c>
      <c r="D240" t="s">
        <v>468</v>
      </c>
      <c r="F240" t="str">
        <f>IF(表1_5310[[#This Row],[配件1]]&lt;&gt;"",_xlfn.XLOOKUP(表1_5310[[#This Row],[配件1]],显卡利益点对照表新[型号],显卡利益点对照表新[[芯片组 ]],"ERROR"),"")</f>
        <v>RTX5090D V2</v>
      </c>
      <c r="G24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40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40" t="str">
        <f>IF(表1_5310[[#This Row],[配件1]]&lt;&gt;"",_xlfn.XLOOKUP(表1_5310[[#This Row],[配件1]],显卡利益点对照表新[型号],显卡利益点对照表新[利益点1],"ERROR"),"")</f>
        <v>注册4年保/个人送保</v>
      </c>
      <c r="J240" t="str">
        <f>IF(表1_5310[[#This Row],[配件1]]&lt;&gt;"",_xlfn.XLOOKUP(表1_5310[[#This Row],[配件1]],显卡利益点对照表新[型号],显卡利益点对照表新[利益点2],"ERROR"),"")</f>
        <v>LCD自定义屏幕</v>
      </c>
      <c r="K240" t="str">
        <f>IF(表1_5310[[#This Row],[配件1]]&lt;&gt;"",_xlfn.XLOOKUP(表1_5310[[#This Row],[配件1]],显卡利益点对照表新[型号],显卡利益点对照表新[利益点3],"ERROR"),"")</f>
        <v>五重高效散热</v>
      </c>
      <c r="L240" t="str">
        <f>IF(表1_5310[[#This Row],[配件1]]&lt;&gt;"",_xlfn.XLOOKUP(表1_5310[[#This Row],[配件1]],显卡利益点对照表新[型号],显卡利益点对照表新[算力],"ERROR"),"")</f>
        <v>AI算力2375 TOPS</v>
      </c>
      <c r="M240" t="str">
        <f>IF(表1_5310[[#This Row],[配件1]]&lt;&gt;"",_xlfn.XLOOKUP(表1_5310[[#This Row],[配件1]],显卡利益点对照表新[型号],显卡利益点对照表新[可显性],"ERROR"),"")</f>
        <v>GV-N509DAORUS M-24GD</v>
      </c>
      <c r="N24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0" t="s">
        <v>674</v>
      </c>
      <c r="Q240" t="str" cm="1">
        <f t="array" ref="Q240">_xlfn.IFS(表1_5310[[#This Row],[配件1]]="","",表1_5310[[#This Row],[文本丨算力丨算力值]]=" ","",表1_5310[[#This Row],[文本丨算力丨算力值]]&lt;&gt;"","算力")</f>
        <v>算力</v>
      </c>
    </row>
    <row r="241" spans="2:17" x14ac:dyDescent="0.2">
      <c r="B241" s="22">
        <v>10176548126506</v>
      </c>
      <c r="C241" t="s">
        <v>818</v>
      </c>
      <c r="D241" t="s">
        <v>468</v>
      </c>
      <c r="F241" t="str">
        <f>IF(表1_5310[[#This Row],[配件1]]&lt;&gt;"",_xlfn.XLOOKUP(表1_5310[[#This Row],[配件1]],显卡利益点对照表新[型号],显卡利益点对照表新[[芯片组 ]],"ERROR"),"")</f>
        <v>RTX5090D V2</v>
      </c>
      <c r="G24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24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41" t="str">
        <f>IF(表1_5310[[#This Row],[配件1]]&lt;&gt;"",_xlfn.XLOOKUP(表1_5310[[#This Row],[配件1]],显卡利益点对照表新[型号],显卡利益点对照表新[利益点1],"ERROR"),"")</f>
        <v>注册4年保/个人送保</v>
      </c>
      <c r="J241" t="str">
        <f>IF(表1_5310[[#This Row],[配件1]]&lt;&gt;"",_xlfn.XLOOKUP(表1_5310[[#This Row],[配件1]],显卡利益点对照表新[型号],显卡利益点对照表新[利益点2],"ERROR"),"")</f>
        <v>LCD自定义屏幕</v>
      </c>
      <c r="K241" t="str">
        <f>IF(表1_5310[[#This Row],[配件1]]&lt;&gt;"",_xlfn.XLOOKUP(表1_5310[[#This Row],[配件1]],显卡利益点对照表新[型号],显卡利益点对照表新[利益点3],"ERROR"),"")</f>
        <v>五重高效散热</v>
      </c>
      <c r="L241" t="str">
        <f>IF(表1_5310[[#This Row],[配件1]]&lt;&gt;"",_xlfn.XLOOKUP(表1_5310[[#This Row],[配件1]],显卡利益点对照表新[型号],显卡利益点对照表新[算力],"ERROR"),"")</f>
        <v>AI算力2375 TOPS</v>
      </c>
      <c r="M241" t="str">
        <f>IF(表1_5310[[#This Row],[配件1]]&lt;&gt;"",_xlfn.XLOOKUP(表1_5310[[#This Row],[配件1]],显卡利益点对照表新[型号],显卡利益点对照表新[可显性],"ERROR"),"")</f>
        <v>GV-N509DAORUSM ICE-24GD</v>
      </c>
      <c r="N24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1" t="s">
        <v>674</v>
      </c>
      <c r="Q241" t="str" cm="1">
        <f t="array" ref="Q241">_xlfn.IFS(表1_5310[[#This Row],[配件1]]="","",表1_5310[[#This Row],[文本丨算力丨算力值]]=" ","",表1_5310[[#This Row],[文本丨算力丨算力值]]&lt;&gt;"","算力")</f>
        <v>算力</v>
      </c>
    </row>
    <row r="242" spans="2:17" x14ac:dyDescent="0.2">
      <c r="B242" s="22">
        <v>10147796834757</v>
      </c>
      <c r="C242" t="s">
        <v>117</v>
      </c>
      <c r="D242" t="s">
        <v>468</v>
      </c>
      <c r="F242" t="str">
        <f>IF(表1_5310[[#This Row],[配件1]]&lt;&gt;"",_xlfn.XLOOKUP(表1_5310[[#This Row],[配件1]],显卡利益点对照表新[型号],显卡利益点对照表新[[芯片组 ]],"ERROR"),"")</f>
        <v>RTX5090D 32G</v>
      </c>
      <c r="G24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24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42" t="str">
        <f>IF(表1_5310[[#This Row],[配件1]]&lt;&gt;"",_xlfn.XLOOKUP(表1_5310[[#This Row],[配件1]],显卡利益点对照表新[型号],显卡利益点对照表新[利益点1],"ERROR"),"")</f>
        <v>注册4年保/个人送保</v>
      </c>
      <c r="J242" t="str">
        <f>IF(表1_5310[[#This Row],[配件1]]&lt;&gt;"",_xlfn.XLOOKUP(表1_5310[[#This Row],[配件1]],显卡利益点对照表新[型号],显卡利益点对照表新[利益点2],"ERROR"),"")</f>
        <v>LCD自定义屏幕</v>
      </c>
      <c r="K242" t="str">
        <f>IF(表1_5310[[#This Row],[配件1]]&lt;&gt;"",_xlfn.XLOOKUP(表1_5310[[#This Row],[配件1]],显卡利益点对照表新[型号],显卡利益点对照表新[利益点3],"ERROR"),"")</f>
        <v>五重高效散热</v>
      </c>
      <c r="L242" t="str">
        <f>IF(表1_5310[[#This Row],[配件1]]&lt;&gt;"",_xlfn.XLOOKUP(表1_5310[[#This Row],[配件1]],显卡利益点对照表新[型号],显卡利益点对照表新[算力],"ERROR"),"")</f>
        <v>AI算力2375 TOPS</v>
      </c>
      <c r="M242" t="str">
        <f>IF(表1_5310[[#This Row],[配件1]]&lt;&gt;"",_xlfn.XLOOKUP(表1_5310[[#This Row],[配件1]],显卡利益点对照表新[型号],显卡利益点对照表新[可显性],"ERROR"),"")</f>
        <v>GV-N509DAORUSM ICE-32GD</v>
      </c>
      <c r="N24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2" t="s">
        <v>674</v>
      </c>
      <c r="Q242" t="str" cm="1">
        <f t="array" ref="Q242">_xlfn.IFS(表1_5310[[#This Row],[配件1]]="","",表1_5310[[#This Row],[文本丨算力丨算力值]]=" ","",表1_5310[[#This Row],[文本丨算力丨算力值]]&lt;&gt;"","算力")</f>
        <v>算力</v>
      </c>
    </row>
    <row r="243" spans="2:17" x14ac:dyDescent="0.2">
      <c r="B243" s="22">
        <v>10147796834758</v>
      </c>
      <c r="C243" t="s">
        <v>1013</v>
      </c>
      <c r="D243" t="s">
        <v>468</v>
      </c>
      <c r="F243" t="str">
        <f>IF(表1_5310[[#This Row],[配件1]]&lt;&gt;"",_xlfn.XLOOKUP(表1_5310[[#This Row],[配件1]],显卡利益点对照表新[型号],显卡利益点对照表新[[芯片组 ]],"ERROR"),"")</f>
        <v>RTX5090D 32G</v>
      </c>
      <c r="G24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243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243" t="str">
        <f>IF(表1_5310[[#This Row],[配件1]]&lt;&gt;"",_xlfn.XLOOKUP(表1_5310[[#This Row],[配件1]],显卡利益点对照表新[型号],显卡利益点对照表新[利益点1],"ERROR"),"")</f>
        <v>注册4年保/个人送保</v>
      </c>
      <c r="J243" t="str">
        <f>IF(表1_5310[[#This Row],[配件1]]&lt;&gt;"",_xlfn.XLOOKUP(表1_5310[[#This Row],[配件1]],显卡利益点对照表新[型号],显卡利益点对照表新[利益点2],"ERROR"),"")</f>
        <v>RGB幻彩光轮</v>
      </c>
      <c r="K243" t="str">
        <f>IF(表1_5310[[#This Row],[配件1]]&lt;&gt;"",_xlfn.XLOOKUP(表1_5310[[#This Row],[配件1]],显卡利益点对照表新[型号],显卡利益点对照表新[利益点3],"ERROR"),"")</f>
        <v>水之力散热系统</v>
      </c>
      <c r="L243" t="str">
        <f>IF(表1_5310[[#This Row],[配件1]]&lt;&gt;"",_xlfn.XLOOKUP(表1_5310[[#This Row],[配件1]],显卡利益点对照表新[型号],显卡利益点对照表新[算力],"ERROR"),"")</f>
        <v>AI算力2375 TOPS</v>
      </c>
      <c r="M243" t="str">
        <f>IF(表1_5310[[#This Row],[配件1]]&lt;&gt;"",_xlfn.XLOOKUP(表1_5310[[#This Row],[配件1]],显卡利益点对照表新[型号],显卡利益点对照表新[可显性],"ERROR"),"")</f>
        <v>GV-N509DAORUSX W-32GD</v>
      </c>
      <c r="N24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3" t="s">
        <v>674</v>
      </c>
      <c r="Q243" t="str" cm="1">
        <f t="array" ref="Q243">_xlfn.IFS(表1_5310[[#This Row],[配件1]]="","",表1_5310[[#This Row],[文本丨算力丨算力值]]=" ","",表1_5310[[#This Row],[文本丨算力丨算力值]]&lt;&gt;"","算力")</f>
        <v>算力</v>
      </c>
    </row>
    <row r="244" spans="2:17" x14ac:dyDescent="0.2">
      <c r="F244" t="str">
        <f>IF(表1_5310[[#This Row],[配件1]]&lt;&gt;"",_xlfn.XLOOKUP(表1_5310[[#This Row],[配件1]],显卡利益点对照表新[型号],显卡利益点对照表新[[芯片组 ]],"ERROR"),"")</f>
        <v/>
      </c>
      <c r="G24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4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44" t="str">
        <f>IF(表1_5310[[#This Row],[配件1]]&lt;&gt;"",_xlfn.XLOOKUP(表1_5310[[#This Row],[配件1]],显卡利益点对照表新[型号],显卡利益点对照表新[利益点1],"ERROR"),"")</f>
        <v/>
      </c>
      <c r="J244" t="str">
        <f>IF(表1_5310[[#This Row],[配件1]]&lt;&gt;"",_xlfn.XLOOKUP(表1_5310[[#This Row],[配件1]],显卡利益点对照表新[型号],显卡利益点对照表新[利益点2],"ERROR"),"")</f>
        <v/>
      </c>
      <c r="K244" t="str">
        <f>IF(表1_5310[[#This Row],[配件1]]&lt;&gt;"",_xlfn.XLOOKUP(表1_5310[[#This Row],[配件1]],显卡利益点对照表新[型号],显卡利益点对照表新[利益点3],"ERROR"),"")</f>
        <v/>
      </c>
      <c r="L244" t="str">
        <f>IF(表1_5310[[#This Row],[配件1]]&lt;&gt;"",_xlfn.XLOOKUP(表1_5310[[#This Row],[配件1]],显卡利益点对照表新[型号],显卡利益点对照表新[算力],"ERROR"),"")</f>
        <v/>
      </c>
      <c r="M244" t="str">
        <f>IF(表1_5310[[#This Row],[配件1]]&lt;&gt;"",_xlfn.XLOOKUP(表1_5310[[#This Row],[配件1]],显卡利益点对照表新[型号],显卡利益点对照表新[可显性],"ERROR"),"")</f>
        <v/>
      </c>
      <c r="N24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44" t="str" cm="1">
        <f t="array" ref="Q244">_xlfn.IFS(表1_5310[[#This Row],[配件1]]="","",表1_5310[[#This Row],[文本丨算力丨算力值]]=" ","",表1_5310[[#This Row],[文本丨算力丨算力值]]&lt;&gt;"","算力")</f>
        <v/>
      </c>
    </row>
    <row r="245" spans="2:17" x14ac:dyDescent="0.2">
      <c r="F245" t="str">
        <f>IF(表1_5310[[#This Row],[配件1]]&lt;&gt;"",_xlfn.XLOOKUP(表1_5310[[#This Row],[配件1]],显卡利益点对照表新[型号],显卡利益点对照表新[[芯片组 ]],"ERROR"),"")</f>
        <v/>
      </c>
      <c r="G24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45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45" t="str">
        <f>IF(表1_5310[[#This Row],[配件1]]&lt;&gt;"",_xlfn.XLOOKUP(表1_5310[[#This Row],[配件1]],显卡利益点对照表新[型号],显卡利益点对照表新[利益点1],"ERROR"),"")</f>
        <v/>
      </c>
      <c r="J245" t="str">
        <f>IF(表1_5310[[#This Row],[配件1]]&lt;&gt;"",_xlfn.XLOOKUP(表1_5310[[#This Row],[配件1]],显卡利益点对照表新[型号],显卡利益点对照表新[利益点2],"ERROR"),"")</f>
        <v/>
      </c>
      <c r="K245" t="str">
        <f>IF(表1_5310[[#This Row],[配件1]]&lt;&gt;"",_xlfn.XLOOKUP(表1_5310[[#This Row],[配件1]],显卡利益点对照表新[型号],显卡利益点对照表新[利益点3],"ERROR"),"")</f>
        <v/>
      </c>
      <c r="L245" t="str">
        <f>IF(表1_5310[[#This Row],[配件1]]&lt;&gt;"",_xlfn.XLOOKUP(表1_5310[[#This Row],[配件1]],显卡利益点对照表新[型号],显卡利益点对照表新[算力],"ERROR"),"")</f>
        <v/>
      </c>
      <c r="M245" t="str">
        <f>IF(表1_5310[[#This Row],[配件1]]&lt;&gt;"",_xlfn.XLOOKUP(表1_5310[[#This Row],[配件1]],显卡利益点对照表新[型号],显卡利益点对照表新[可显性],"ERROR"),"")</f>
        <v/>
      </c>
      <c r="N24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45" t="str" cm="1">
        <f t="array" ref="Q245">_xlfn.IFS(表1_5310[[#This Row],[配件1]]="","",表1_5310[[#This Row],[文本丨算力丨算力值]]=" ","",表1_5310[[#This Row],[文本丨算力丨算力值]]&lt;&gt;"","算力")</f>
        <v/>
      </c>
    </row>
  </sheetData>
  <mergeCells count="6">
    <mergeCell ref="Q7:Q8"/>
    <mergeCell ref="F7:H8"/>
    <mergeCell ref="I7:L8"/>
    <mergeCell ref="M7:N8"/>
    <mergeCell ref="O7:O8"/>
    <mergeCell ref="P7:P8"/>
  </mergeCells>
  <phoneticPr fontId="6" type="noConversion"/>
  <conditionalFormatting sqref="B11:B245">
    <cfRule type="duplicateValues" dxfId="62" priority="3"/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93E6-E736-4943-84E3-FA42938C0515}">
  <sheetPr codeName="Sheet2">
    <tabColor rgb="FF00B050"/>
  </sheetPr>
  <dimension ref="A8:L188"/>
  <sheetViews>
    <sheetView topLeftCell="A21" zoomScaleNormal="100" workbookViewId="0">
      <selection activeCell="B34" sqref="B34"/>
    </sheetView>
  </sheetViews>
  <sheetFormatPr defaultRowHeight="14.25" x14ac:dyDescent="0.2"/>
  <cols>
    <col min="1" max="1" width="38" bestFit="1" customWidth="1"/>
    <col min="2" max="2" width="37.5" bestFit="1" customWidth="1"/>
    <col min="3" max="3" width="36.75" customWidth="1"/>
    <col min="4" max="4" width="17.125" bestFit="1" customWidth="1"/>
    <col min="5" max="5" width="11" bestFit="1" customWidth="1"/>
    <col min="6" max="6" width="17.625" bestFit="1" customWidth="1"/>
    <col min="7" max="7" width="23.5" bestFit="1" customWidth="1"/>
    <col min="8" max="8" width="22.25" bestFit="1" customWidth="1"/>
    <col min="9" max="9" width="19.375" bestFit="1" customWidth="1"/>
    <col min="10" max="10" width="39.375" bestFit="1" customWidth="1"/>
    <col min="11" max="11" width="19.375" bestFit="1" customWidth="1"/>
    <col min="12" max="12" width="39.375" bestFit="1" customWidth="1"/>
    <col min="13" max="13" width="17" customWidth="1"/>
    <col min="14" max="14" width="20.875" customWidth="1"/>
    <col min="16" max="16" width="37.5" bestFit="1" customWidth="1"/>
    <col min="17" max="17" width="23.625" bestFit="1" customWidth="1"/>
    <col min="18" max="18" width="18.375" bestFit="1" customWidth="1"/>
  </cols>
  <sheetData>
    <row r="8" spans="2:12" x14ac:dyDescent="0.2">
      <c r="B8" t="s">
        <v>246</v>
      </c>
      <c r="C8" t="s">
        <v>249</v>
      </c>
      <c r="D8" t="s">
        <v>1005</v>
      </c>
      <c r="E8" t="s">
        <v>1006</v>
      </c>
      <c r="F8" t="s">
        <v>1007</v>
      </c>
      <c r="G8" t="s">
        <v>221</v>
      </c>
      <c r="H8" t="s">
        <v>222</v>
      </c>
      <c r="I8" t="s">
        <v>223</v>
      </c>
      <c r="J8" t="s">
        <v>224</v>
      </c>
      <c r="K8" t="s">
        <v>245</v>
      </c>
      <c r="L8" t="s">
        <v>192</v>
      </c>
    </row>
    <row r="9" spans="2:12" x14ac:dyDescent="0.2">
      <c r="B9" s="30" t="s">
        <v>1058</v>
      </c>
      <c r="C9" s="30" t="s">
        <v>1049</v>
      </c>
      <c r="D9" s="30" t="s">
        <v>1061</v>
      </c>
      <c r="E9" s="30" t="s">
        <v>1062</v>
      </c>
      <c r="F9" s="30" t="s">
        <v>1063</v>
      </c>
      <c r="G9" s="30" t="s">
        <v>1064</v>
      </c>
      <c r="H9" s="30" t="s">
        <v>1065</v>
      </c>
      <c r="I9" s="30" t="s">
        <v>498</v>
      </c>
      <c r="J9" s="30" t="s">
        <v>1049</v>
      </c>
      <c r="K9" s="30" t="s">
        <v>209</v>
      </c>
      <c r="L9" s="30" t="s">
        <v>1066</v>
      </c>
    </row>
    <row r="10" spans="2:12" x14ac:dyDescent="0.2">
      <c r="B10" s="30" t="s">
        <v>501</v>
      </c>
      <c r="C10" s="30" t="s">
        <v>486</v>
      </c>
      <c r="D10" s="30" t="s">
        <v>488</v>
      </c>
      <c r="E10" s="30" t="s">
        <v>282</v>
      </c>
      <c r="F10" s="30" t="s">
        <v>310</v>
      </c>
      <c r="G10" s="30" t="s">
        <v>498</v>
      </c>
      <c r="H10" s="30" t="s">
        <v>1023</v>
      </c>
      <c r="I10" s="30" t="s">
        <v>230</v>
      </c>
      <c r="J10" s="30" t="s">
        <v>486</v>
      </c>
      <c r="K10" s="30" t="s">
        <v>209</v>
      </c>
      <c r="L10" s="30" t="s">
        <v>497</v>
      </c>
    </row>
    <row r="11" spans="2:12" x14ac:dyDescent="0.2">
      <c r="B11" s="30" t="s">
        <v>502</v>
      </c>
      <c r="C11" s="30" t="s">
        <v>487</v>
      </c>
      <c r="D11" s="30" t="s">
        <v>488</v>
      </c>
      <c r="E11" s="30" t="s">
        <v>990</v>
      </c>
      <c r="F11" s="30" t="s">
        <v>496</v>
      </c>
      <c r="G11" s="30" t="s">
        <v>498</v>
      </c>
      <c r="H11" s="30" t="s">
        <v>229</v>
      </c>
      <c r="I11" s="30" t="s">
        <v>230</v>
      </c>
      <c r="J11" s="30" t="s">
        <v>487</v>
      </c>
      <c r="K11" s="30" t="s">
        <v>209</v>
      </c>
      <c r="L11" s="30" t="s">
        <v>497</v>
      </c>
    </row>
    <row r="12" spans="2:12" x14ac:dyDescent="0.2">
      <c r="B12" s="30" t="s">
        <v>503</v>
      </c>
      <c r="C12" s="30" t="s">
        <v>485</v>
      </c>
      <c r="D12" s="30" t="s">
        <v>488</v>
      </c>
      <c r="E12" s="30" t="s">
        <v>993</v>
      </c>
      <c r="F12" s="30" t="s">
        <v>239</v>
      </c>
      <c r="G12" s="30" t="s">
        <v>498</v>
      </c>
      <c r="H12" s="30" t="s">
        <v>500</v>
      </c>
      <c r="I12" s="30" t="s">
        <v>230</v>
      </c>
      <c r="J12" s="30" t="s">
        <v>485</v>
      </c>
      <c r="K12" s="30" t="s">
        <v>209</v>
      </c>
      <c r="L12" s="30" t="s">
        <v>497</v>
      </c>
    </row>
    <row r="13" spans="2:12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</row>
    <row r="14" spans="2:12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</row>
    <row r="15" spans="2:12" x14ac:dyDescent="0.2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</row>
    <row r="16" spans="2:12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</row>
    <row r="17" spans="2:12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</row>
    <row r="18" spans="2:12" x14ac:dyDescent="0.2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</row>
    <row r="19" spans="2:12" x14ac:dyDescent="0.2">
      <c r="B19" s="30" t="s">
        <v>460</v>
      </c>
      <c r="C19" s="30" t="s">
        <v>280</v>
      </c>
      <c r="D19" s="30" t="s">
        <v>281</v>
      </c>
      <c r="E19" s="30" t="s">
        <v>282</v>
      </c>
      <c r="F19" s="30" t="s">
        <v>310</v>
      </c>
      <c r="G19" s="30" t="s">
        <v>228</v>
      </c>
      <c r="H19" s="30" t="s">
        <v>998</v>
      </c>
      <c r="I19" s="30" t="s">
        <v>230</v>
      </c>
      <c r="J19" s="30" t="s">
        <v>280</v>
      </c>
      <c r="K19" s="30" t="s">
        <v>209</v>
      </c>
      <c r="L19" s="30" t="s">
        <v>446</v>
      </c>
    </row>
    <row r="20" spans="2:12" x14ac:dyDescent="0.2">
      <c r="B20" s="30" t="s">
        <v>461</v>
      </c>
      <c r="C20" s="30" t="s">
        <v>278</v>
      </c>
      <c r="D20" s="30" t="s">
        <v>281</v>
      </c>
      <c r="E20" s="30" t="s">
        <v>990</v>
      </c>
      <c r="F20" s="30" t="s">
        <v>227</v>
      </c>
      <c r="G20" s="30" t="s">
        <v>228</v>
      </c>
      <c r="H20" s="30" t="s">
        <v>229</v>
      </c>
      <c r="I20" s="30" t="s">
        <v>230</v>
      </c>
      <c r="J20" s="30" t="s">
        <v>278</v>
      </c>
      <c r="K20" s="30" t="s">
        <v>209</v>
      </c>
      <c r="L20" s="30" t="s">
        <v>446</v>
      </c>
    </row>
    <row r="21" spans="2:12" x14ac:dyDescent="0.2">
      <c r="B21" s="30" t="s">
        <v>467</v>
      </c>
      <c r="C21" s="30" t="s">
        <v>279</v>
      </c>
      <c r="D21" s="30" t="s">
        <v>281</v>
      </c>
      <c r="E21" s="30" t="s">
        <v>990</v>
      </c>
      <c r="F21" s="30" t="s">
        <v>232</v>
      </c>
      <c r="G21" s="30" t="s">
        <v>228</v>
      </c>
      <c r="H21" s="30" t="s">
        <v>229</v>
      </c>
      <c r="I21" s="30" t="s">
        <v>230</v>
      </c>
      <c r="J21" s="30" t="s">
        <v>279</v>
      </c>
      <c r="K21" s="30" t="s">
        <v>209</v>
      </c>
      <c r="L21" s="30" t="s">
        <v>446</v>
      </c>
    </row>
    <row r="22" spans="2:12" x14ac:dyDescent="0.2">
      <c r="B22" s="30" t="s">
        <v>544</v>
      </c>
      <c r="C22" s="30" t="s">
        <v>535</v>
      </c>
      <c r="D22" s="30" t="s">
        <v>281</v>
      </c>
      <c r="E22" s="30" t="s">
        <v>990</v>
      </c>
      <c r="F22" s="30" t="s">
        <v>553</v>
      </c>
      <c r="G22" s="30" t="s">
        <v>228</v>
      </c>
      <c r="H22" s="30" t="s">
        <v>229</v>
      </c>
      <c r="I22" s="30" t="s">
        <v>230</v>
      </c>
      <c r="J22" s="30" t="s">
        <v>535</v>
      </c>
      <c r="K22" s="30" t="s">
        <v>209</v>
      </c>
      <c r="L22" s="30" t="s">
        <v>446</v>
      </c>
    </row>
    <row r="23" spans="2:12" x14ac:dyDescent="0.2">
      <c r="B23" s="30" t="s">
        <v>462</v>
      </c>
      <c r="C23" s="30" t="s">
        <v>277</v>
      </c>
      <c r="D23" s="30" t="s">
        <v>281</v>
      </c>
      <c r="E23" s="30" t="s">
        <v>991</v>
      </c>
      <c r="F23" s="30" t="s">
        <v>528</v>
      </c>
      <c r="G23" s="30" t="s">
        <v>228</v>
      </c>
      <c r="H23" s="30" t="s">
        <v>229</v>
      </c>
      <c r="I23" s="30" t="s">
        <v>230</v>
      </c>
      <c r="J23" s="30" t="s">
        <v>277</v>
      </c>
      <c r="K23" s="30" t="s">
        <v>209</v>
      </c>
      <c r="L23" s="30" t="s">
        <v>446</v>
      </c>
    </row>
    <row r="24" spans="2:12" x14ac:dyDescent="0.2">
      <c r="B24" s="30" t="s">
        <v>545</v>
      </c>
      <c r="C24" s="30" t="s">
        <v>537</v>
      </c>
      <c r="D24" s="30" t="s">
        <v>281</v>
      </c>
      <c r="E24" s="30" t="s">
        <v>991</v>
      </c>
      <c r="F24" s="30" t="s">
        <v>554</v>
      </c>
      <c r="G24" s="30" t="s">
        <v>228</v>
      </c>
      <c r="H24" s="30" t="s">
        <v>550</v>
      </c>
      <c r="I24" s="30" t="s">
        <v>230</v>
      </c>
      <c r="J24" s="30" t="s">
        <v>537</v>
      </c>
      <c r="K24" s="30" t="s">
        <v>209</v>
      </c>
      <c r="L24" s="30" t="s">
        <v>446</v>
      </c>
    </row>
    <row r="25" spans="2:12" x14ac:dyDescent="0.2">
      <c r="B25" s="30" t="s">
        <v>463</v>
      </c>
      <c r="C25" s="30" t="s">
        <v>275</v>
      </c>
      <c r="D25" s="30" t="s">
        <v>281</v>
      </c>
      <c r="E25" s="30" t="s">
        <v>992</v>
      </c>
      <c r="F25" s="30" t="s">
        <v>997</v>
      </c>
      <c r="G25" s="30" t="s">
        <v>228</v>
      </c>
      <c r="H25" s="30" t="s">
        <v>229</v>
      </c>
      <c r="I25" s="30" t="s">
        <v>230</v>
      </c>
      <c r="J25" s="30" t="s">
        <v>275</v>
      </c>
      <c r="K25" s="30" t="s">
        <v>209</v>
      </c>
      <c r="L25" s="30" t="s">
        <v>446</v>
      </c>
    </row>
    <row r="26" spans="2:12" x14ac:dyDescent="0.2">
      <c r="B26" s="30" t="s">
        <v>464</v>
      </c>
      <c r="C26" s="30" t="s">
        <v>276</v>
      </c>
      <c r="D26" s="30" t="s">
        <v>281</v>
      </c>
      <c r="E26" s="30" t="s">
        <v>993</v>
      </c>
      <c r="F26" s="30" t="s">
        <v>239</v>
      </c>
      <c r="G26" s="30" t="s">
        <v>228</v>
      </c>
      <c r="H26" s="30" t="s">
        <v>240</v>
      </c>
      <c r="I26" s="30" t="s">
        <v>203</v>
      </c>
      <c r="J26" s="30" t="s">
        <v>274</v>
      </c>
      <c r="K26" s="30" t="s">
        <v>209</v>
      </c>
      <c r="L26" s="30" t="s">
        <v>446</v>
      </c>
    </row>
    <row r="27" spans="2:12" x14ac:dyDescent="0.2">
      <c r="B27" s="30" t="s">
        <v>465</v>
      </c>
      <c r="C27" s="30" t="s">
        <v>274</v>
      </c>
      <c r="D27" s="30" t="s">
        <v>281</v>
      </c>
      <c r="E27" s="30" t="s">
        <v>994</v>
      </c>
      <c r="F27" s="30" t="s">
        <v>211</v>
      </c>
      <c r="G27" s="30" t="s">
        <v>228</v>
      </c>
      <c r="H27" s="30" t="s">
        <v>241</v>
      </c>
      <c r="I27" s="30" t="s">
        <v>203</v>
      </c>
      <c r="J27" s="30" t="s">
        <v>276</v>
      </c>
      <c r="K27" s="30" t="s">
        <v>209</v>
      </c>
      <c r="L27" s="30" t="s">
        <v>446</v>
      </c>
    </row>
    <row r="28" spans="2:12" x14ac:dyDescent="0.2">
      <c r="B28" s="30" t="s">
        <v>466</v>
      </c>
      <c r="C28" s="30" t="s">
        <v>273</v>
      </c>
      <c r="D28" s="30" t="s">
        <v>281</v>
      </c>
      <c r="E28" s="30" t="s">
        <v>898</v>
      </c>
      <c r="F28" s="30" t="s">
        <v>1008</v>
      </c>
      <c r="G28" s="30" t="s">
        <v>996</v>
      </c>
      <c r="H28" s="30" t="s">
        <v>202</v>
      </c>
      <c r="I28" s="30" t="s">
        <v>212</v>
      </c>
      <c r="J28" s="30" t="s">
        <v>273</v>
      </c>
      <c r="K28" s="30" t="s">
        <v>209</v>
      </c>
      <c r="L28" s="30" t="s">
        <v>446</v>
      </c>
    </row>
    <row r="29" spans="2:12" x14ac:dyDescent="0.2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</row>
    <row r="30" spans="2:12" x14ac:dyDescent="0.2">
      <c r="B30" s="30" t="s">
        <v>250</v>
      </c>
      <c r="C30" s="30" t="s">
        <v>552</v>
      </c>
      <c r="D30" s="30" t="s">
        <v>988</v>
      </c>
      <c r="E30" s="30" t="s">
        <v>990</v>
      </c>
      <c r="F30" s="30" t="s">
        <v>227</v>
      </c>
      <c r="G30" s="30" t="s">
        <v>228</v>
      </c>
      <c r="H30" s="30" t="s">
        <v>229</v>
      </c>
      <c r="I30" s="30" t="s">
        <v>230</v>
      </c>
      <c r="J30" s="30" t="s">
        <v>297</v>
      </c>
      <c r="K30" s="30" t="s">
        <v>209</v>
      </c>
      <c r="L30" s="30" t="s">
        <v>447</v>
      </c>
    </row>
    <row r="31" spans="2:12" x14ac:dyDescent="0.2">
      <c r="B31" s="30" t="s">
        <v>254</v>
      </c>
      <c r="C31" s="30" t="s">
        <v>297</v>
      </c>
      <c r="D31" s="30" t="s">
        <v>989</v>
      </c>
      <c r="E31" s="30" t="s">
        <v>990</v>
      </c>
      <c r="F31" s="30" t="s">
        <v>227</v>
      </c>
      <c r="G31" s="30" t="s">
        <v>228</v>
      </c>
      <c r="H31" s="30" t="s">
        <v>229</v>
      </c>
      <c r="I31" s="30" t="s">
        <v>555</v>
      </c>
      <c r="J31" s="30" t="s">
        <v>297</v>
      </c>
      <c r="K31" s="30" t="s">
        <v>209</v>
      </c>
      <c r="L31" s="30" t="s">
        <v>447</v>
      </c>
    </row>
    <row r="32" spans="2:12" x14ac:dyDescent="0.2">
      <c r="B32" s="30" t="s">
        <v>443</v>
      </c>
      <c r="C32" s="30" t="s">
        <v>299</v>
      </c>
      <c r="D32" s="30" t="s">
        <v>988</v>
      </c>
      <c r="E32" s="30" t="s">
        <v>990</v>
      </c>
      <c r="F32" s="30" t="s">
        <v>232</v>
      </c>
      <c r="G32" s="30" t="s">
        <v>228</v>
      </c>
      <c r="H32" s="30" t="s">
        <v>229</v>
      </c>
      <c r="I32" s="30" t="s">
        <v>230</v>
      </c>
      <c r="J32" s="30" t="s">
        <v>163</v>
      </c>
      <c r="K32" s="30" t="s">
        <v>209</v>
      </c>
      <c r="L32" s="30" t="s">
        <v>447</v>
      </c>
    </row>
    <row r="33" spans="2:12" x14ac:dyDescent="0.2">
      <c r="B33" s="30" t="s">
        <v>444</v>
      </c>
      <c r="C33" s="30" t="s">
        <v>163</v>
      </c>
      <c r="D33" s="30" t="s">
        <v>989</v>
      </c>
      <c r="E33" s="30" t="s">
        <v>990</v>
      </c>
      <c r="F33" s="30" t="s">
        <v>232</v>
      </c>
      <c r="G33" s="30" t="s">
        <v>228</v>
      </c>
      <c r="H33" s="30" t="s">
        <v>229</v>
      </c>
      <c r="I33" s="30" t="s">
        <v>555</v>
      </c>
      <c r="J33" s="30" t="s">
        <v>163</v>
      </c>
      <c r="K33" s="30" t="s">
        <v>209</v>
      </c>
      <c r="L33" s="30" t="s">
        <v>447</v>
      </c>
    </row>
    <row r="34" spans="2:12" x14ac:dyDescent="0.2">
      <c r="B34" s="30" t="s">
        <v>577</v>
      </c>
      <c r="C34" s="30" t="s">
        <v>539</v>
      </c>
      <c r="D34" s="30" t="s">
        <v>988</v>
      </c>
      <c r="E34" s="30" t="s">
        <v>990</v>
      </c>
      <c r="F34" s="30" t="s">
        <v>553</v>
      </c>
      <c r="G34" s="30" t="s">
        <v>228</v>
      </c>
      <c r="H34" s="30" t="s">
        <v>229</v>
      </c>
      <c r="I34" s="30" t="s">
        <v>230</v>
      </c>
      <c r="J34" s="30" t="s">
        <v>539</v>
      </c>
      <c r="K34" s="30" t="s">
        <v>209</v>
      </c>
      <c r="L34" s="30" t="s">
        <v>447</v>
      </c>
    </row>
    <row r="35" spans="2:12" x14ac:dyDescent="0.2">
      <c r="B35" s="30" t="s">
        <v>576</v>
      </c>
      <c r="C35" s="30" t="s">
        <v>543</v>
      </c>
      <c r="D35" s="30" t="s">
        <v>989</v>
      </c>
      <c r="E35" s="30" t="s">
        <v>990</v>
      </c>
      <c r="F35" s="30" t="s">
        <v>553</v>
      </c>
      <c r="G35" s="30" t="s">
        <v>228</v>
      </c>
      <c r="H35" s="30" t="s">
        <v>229</v>
      </c>
      <c r="I35" s="30" t="s">
        <v>555</v>
      </c>
      <c r="J35" s="30" t="s">
        <v>543</v>
      </c>
      <c r="K35" s="30" t="s">
        <v>209</v>
      </c>
      <c r="L35" s="30" t="s">
        <v>447</v>
      </c>
    </row>
    <row r="36" spans="2:12" x14ac:dyDescent="0.2">
      <c r="B36" s="30" t="s">
        <v>259</v>
      </c>
      <c r="C36" s="30" t="s">
        <v>300</v>
      </c>
      <c r="D36" s="30" t="s">
        <v>988</v>
      </c>
      <c r="E36" s="30" t="s">
        <v>991</v>
      </c>
      <c r="F36" s="30" t="s">
        <v>234</v>
      </c>
      <c r="G36" s="30" t="s">
        <v>228</v>
      </c>
      <c r="H36" s="30" t="s">
        <v>229</v>
      </c>
      <c r="I36" s="30" t="s">
        <v>230</v>
      </c>
      <c r="J36" s="30" t="s">
        <v>165</v>
      </c>
      <c r="K36" s="30" t="s">
        <v>209</v>
      </c>
      <c r="L36" s="30" t="s">
        <v>447</v>
      </c>
    </row>
    <row r="37" spans="2:12" x14ac:dyDescent="0.2">
      <c r="B37" s="30" t="s">
        <v>546</v>
      </c>
      <c r="C37" s="30" t="s">
        <v>541</v>
      </c>
      <c r="D37" s="30" t="s">
        <v>989</v>
      </c>
      <c r="E37" s="30" t="s">
        <v>991</v>
      </c>
      <c r="F37" s="30" t="s">
        <v>554</v>
      </c>
      <c r="G37" s="30" t="s">
        <v>228</v>
      </c>
      <c r="H37" s="30" t="s">
        <v>550</v>
      </c>
      <c r="I37" s="30" t="s">
        <v>230</v>
      </c>
      <c r="J37" s="30" t="s">
        <v>541</v>
      </c>
      <c r="K37" s="30" t="s">
        <v>209</v>
      </c>
      <c r="L37" s="30" t="s">
        <v>447</v>
      </c>
    </row>
    <row r="38" spans="2:12" x14ac:dyDescent="0.2">
      <c r="B38" s="30" t="s">
        <v>261</v>
      </c>
      <c r="C38" s="30" t="s">
        <v>165</v>
      </c>
      <c r="D38" s="30" t="s">
        <v>988</v>
      </c>
      <c r="E38" s="30" t="s">
        <v>991</v>
      </c>
      <c r="F38" s="30" t="s">
        <v>234</v>
      </c>
      <c r="G38" s="30" t="s">
        <v>228</v>
      </c>
      <c r="H38" s="30" t="s">
        <v>229</v>
      </c>
      <c r="I38" s="30" t="s">
        <v>555</v>
      </c>
      <c r="J38" s="30" t="s">
        <v>165</v>
      </c>
      <c r="K38" s="30" t="s">
        <v>209</v>
      </c>
      <c r="L38" s="30" t="s">
        <v>447</v>
      </c>
    </row>
    <row r="39" spans="2:12" x14ac:dyDescent="0.2">
      <c r="B39" s="30" t="s">
        <v>547</v>
      </c>
      <c r="C39" s="30" t="s">
        <v>551</v>
      </c>
      <c r="D39" s="30" t="s">
        <v>989</v>
      </c>
      <c r="E39" s="30" t="s">
        <v>991</v>
      </c>
      <c r="F39" s="30" t="s">
        <v>554</v>
      </c>
      <c r="G39" s="30" t="s">
        <v>228</v>
      </c>
      <c r="H39" s="30" t="s">
        <v>550</v>
      </c>
      <c r="I39" s="30" t="s">
        <v>555</v>
      </c>
      <c r="J39" s="30" t="s">
        <v>551</v>
      </c>
      <c r="K39" s="30" t="s">
        <v>209</v>
      </c>
      <c r="L39" s="30" t="s">
        <v>447</v>
      </c>
    </row>
    <row r="40" spans="2:12" x14ac:dyDescent="0.2">
      <c r="B40" s="30" t="s">
        <v>258</v>
      </c>
      <c r="C40" s="30" t="s">
        <v>301</v>
      </c>
      <c r="D40" s="30" t="s">
        <v>988</v>
      </c>
      <c r="E40" s="30" t="s">
        <v>992</v>
      </c>
      <c r="F40" s="30" t="s">
        <v>997</v>
      </c>
      <c r="G40" s="30" t="s">
        <v>228</v>
      </c>
      <c r="H40" s="30" t="s">
        <v>229</v>
      </c>
      <c r="I40" s="30" t="s">
        <v>230</v>
      </c>
      <c r="J40" s="30" t="s">
        <v>167</v>
      </c>
      <c r="K40" s="30" t="s">
        <v>209</v>
      </c>
      <c r="L40" s="30" t="s">
        <v>447</v>
      </c>
    </row>
    <row r="41" spans="2:12" x14ac:dyDescent="0.2">
      <c r="B41" s="30" t="s">
        <v>257</v>
      </c>
      <c r="C41" s="30" t="s">
        <v>167</v>
      </c>
      <c r="D41" s="30" t="s">
        <v>989</v>
      </c>
      <c r="E41" s="30" t="s">
        <v>992</v>
      </c>
      <c r="F41" s="30" t="s">
        <v>997</v>
      </c>
      <c r="G41" s="30" t="s">
        <v>228</v>
      </c>
      <c r="H41" s="30" t="s">
        <v>229</v>
      </c>
      <c r="I41" s="30" t="s">
        <v>555</v>
      </c>
      <c r="J41" s="30" t="s">
        <v>167</v>
      </c>
      <c r="K41" s="30" t="s">
        <v>209</v>
      </c>
      <c r="L41" s="30" t="s">
        <v>447</v>
      </c>
    </row>
    <row r="42" spans="2:12" x14ac:dyDescent="0.2">
      <c r="B42" s="30" t="s">
        <v>255</v>
      </c>
      <c r="C42" s="30" t="s">
        <v>302</v>
      </c>
      <c r="D42" s="30" t="s">
        <v>988</v>
      </c>
      <c r="E42" s="30" t="s">
        <v>993</v>
      </c>
      <c r="F42" s="30" t="s">
        <v>1001</v>
      </c>
      <c r="G42" s="30" t="s">
        <v>228</v>
      </c>
      <c r="H42" s="30" t="s">
        <v>240</v>
      </c>
      <c r="I42" s="30" t="s">
        <v>550</v>
      </c>
      <c r="J42" s="30" t="s">
        <v>169</v>
      </c>
      <c r="K42" s="30" t="s">
        <v>209</v>
      </c>
      <c r="L42" s="30" t="s">
        <v>447</v>
      </c>
    </row>
    <row r="43" spans="2:12" x14ac:dyDescent="0.2">
      <c r="B43" s="30" t="s">
        <v>256</v>
      </c>
      <c r="C43" s="30" t="s">
        <v>169</v>
      </c>
      <c r="D43" s="30" t="s">
        <v>989</v>
      </c>
      <c r="E43" s="30" t="s">
        <v>993</v>
      </c>
      <c r="F43" s="30" t="s">
        <v>239</v>
      </c>
      <c r="G43" s="30" t="s">
        <v>228</v>
      </c>
      <c r="H43" s="30" t="s">
        <v>240</v>
      </c>
      <c r="I43" s="30" t="s">
        <v>550</v>
      </c>
      <c r="J43" s="30" t="s">
        <v>169</v>
      </c>
      <c r="K43" s="30" t="s">
        <v>209</v>
      </c>
      <c r="L43" s="30" t="s">
        <v>447</v>
      </c>
    </row>
    <row r="44" spans="2:12" x14ac:dyDescent="0.2">
      <c r="B44" s="30" t="s">
        <v>253</v>
      </c>
      <c r="C44" s="30" t="s">
        <v>303</v>
      </c>
      <c r="D44" s="30" t="s">
        <v>988</v>
      </c>
      <c r="E44" s="30" t="s">
        <v>994</v>
      </c>
      <c r="F44" s="30" t="s">
        <v>211</v>
      </c>
      <c r="G44" s="30" t="s">
        <v>228</v>
      </c>
      <c r="H44" s="30" t="s">
        <v>241</v>
      </c>
      <c r="I44" s="30" t="s">
        <v>550</v>
      </c>
      <c r="J44" s="30" t="s">
        <v>171</v>
      </c>
      <c r="K44" s="30" t="s">
        <v>209</v>
      </c>
      <c r="L44" s="30" t="s">
        <v>447</v>
      </c>
    </row>
    <row r="45" spans="2:12" x14ac:dyDescent="0.2">
      <c r="B45" s="30" t="s">
        <v>252</v>
      </c>
      <c r="C45" s="30" t="s">
        <v>171</v>
      </c>
      <c r="D45" s="30" t="s">
        <v>989</v>
      </c>
      <c r="E45" s="30" t="s">
        <v>994</v>
      </c>
      <c r="F45" s="30" t="s">
        <v>211</v>
      </c>
      <c r="G45" s="30" t="s">
        <v>228</v>
      </c>
      <c r="H45" s="30" t="s">
        <v>241</v>
      </c>
      <c r="I45" s="30" t="s">
        <v>550</v>
      </c>
      <c r="J45" s="30" t="s">
        <v>171</v>
      </c>
      <c r="K45" s="30" t="s">
        <v>209</v>
      </c>
      <c r="L45" s="30" t="s">
        <v>447</v>
      </c>
    </row>
    <row r="46" spans="2:12" x14ac:dyDescent="0.2">
      <c r="B46" s="30" t="s">
        <v>251</v>
      </c>
      <c r="C46" s="30" t="s">
        <v>172</v>
      </c>
      <c r="D46" s="30" t="s">
        <v>989</v>
      </c>
      <c r="E46" s="30" t="s">
        <v>898</v>
      </c>
      <c r="F46" s="30" t="s">
        <v>243</v>
      </c>
      <c r="G46" s="30" t="s">
        <v>996</v>
      </c>
      <c r="H46" s="30" t="s">
        <v>202</v>
      </c>
      <c r="I46" s="30" t="s">
        <v>212</v>
      </c>
      <c r="J46" s="30" t="s">
        <v>172</v>
      </c>
      <c r="K46" s="30" t="s">
        <v>209</v>
      </c>
      <c r="L46" s="30" t="s">
        <v>447</v>
      </c>
    </row>
    <row r="47" spans="2:12" x14ac:dyDescent="0.2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</row>
    <row r="48" spans="2:12" x14ac:dyDescent="0.2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</row>
    <row r="49" spans="2:12" x14ac:dyDescent="0.2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</row>
    <row r="50" spans="2:12" x14ac:dyDescent="0.2">
      <c r="B50" s="30" t="s">
        <v>356</v>
      </c>
      <c r="C50" s="30" t="s">
        <v>363</v>
      </c>
      <c r="D50" s="30" t="s">
        <v>1017</v>
      </c>
      <c r="E50" s="30" t="s">
        <v>990</v>
      </c>
      <c r="F50" s="30" t="s">
        <v>371</v>
      </c>
      <c r="G50" s="30" t="s">
        <v>1018</v>
      </c>
      <c r="H50" s="30" t="s">
        <v>323</v>
      </c>
      <c r="I50" s="30" t="s">
        <v>324</v>
      </c>
      <c r="J50" s="30" t="s">
        <v>1076</v>
      </c>
      <c r="K50" s="30" t="s">
        <v>209</v>
      </c>
      <c r="L50" s="30" t="s">
        <v>451</v>
      </c>
    </row>
    <row r="51" spans="2:12" x14ac:dyDescent="0.2">
      <c r="B51" s="30" t="s">
        <v>48</v>
      </c>
      <c r="C51" s="30" t="s">
        <v>364</v>
      </c>
      <c r="D51" s="30" t="s">
        <v>1017</v>
      </c>
      <c r="E51" s="30" t="s">
        <v>990</v>
      </c>
      <c r="F51" s="30" t="s">
        <v>326</v>
      </c>
      <c r="G51" s="30" t="s">
        <v>1018</v>
      </c>
      <c r="H51" s="30" t="s">
        <v>323</v>
      </c>
      <c r="I51" s="30" t="s">
        <v>324</v>
      </c>
      <c r="J51" s="30" t="s">
        <v>364</v>
      </c>
      <c r="K51" s="30" t="s">
        <v>209</v>
      </c>
      <c r="L51" s="30" t="s">
        <v>451</v>
      </c>
    </row>
    <row r="52" spans="2:12" x14ac:dyDescent="0.2">
      <c r="B52" s="30" t="s">
        <v>57</v>
      </c>
      <c r="C52" s="30" t="s">
        <v>365</v>
      </c>
      <c r="D52" s="30" t="s">
        <v>1017</v>
      </c>
      <c r="E52" s="30" t="s">
        <v>991</v>
      </c>
      <c r="F52" s="30" t="s">
        <v>327</v>
      </c>
      <c r="G52" s="30" t="s">
        <v>1018</v>
      </c>
      <c r="H52" s="30" t="s">
        <v>323</v>
      </c>
      <c r="I52" s="30" t="s">
        <v>324</v>
      </c>
      <c r="J52" s="30" t="s">
        <v>365</v>
      </c>
      <c r="K52" s="30" t="s">
        <v>209</v>
      </c>
      <c r="L52" s="30" t="s">
        <v>451</v>
      </c>
    </row>
    <row r="53" spans="2:12" x14ac:dyDescent="0.2">
      <c r="B53" s="30" t="s">
        <v>60</v>
      </c>
      <c r="C53" s="30" t="s">
        <v>366</v>
      </c>
      <c r="D53" s="30" t="s">
        <v>1017</v>
      </c>
      <c r="E53" s="30" t="s">
        <v>992</v>
      </c>
      <c r="F53" s="30" t="s">
        <v>328</v>
      </c>
      <c r="G53" s="30" t="s">
        <v>1018</v>
      </c>
      <c r="H53" s="30" t="s">
        <v>323</v>
      </c>
      <c r="I53" s="30" t="s">
        <v>324</v>
      </c>
      <c r="J53" s="30" t="s">
        <v>366</v>
      </c>
      <c r="K53" s="30" t="s">
        <v>209</v>
      </c>
      <c r="L53" s="30" t="s">
        <v>451</v>
      </c>
    </row>
    <row r="54" spans="2:12" x14ac:dyDescent="0.2">
      <c r="B54" s="30" t="s">
        <v>61</v>
      </c>
      <c r="C54" s="30" t="s">
        <v>367</v>
      </c>
      <c r="D54" s="30" t="s">
        <v>1017</v>
      </c>
      <c r="E54" s="30" t="s">
        <v>993</v>
      </c>
      <c r="F54" s="30" t="s">
        <v>329</v>
      </c>
      <c r="G54" s="30" t="s">
        <v>1020</v>
      </c>
      <c r="H54" s="30" t="s">
        <v>202</v>
      </c>
      <c r="I54" s="30" t="s">
        <v>324</v>
      </c>
      <c r="J54" s="30" t="s">
        <v>367</v>
      </c>
      <c r="K54" s="30" t="s">
        <v>209</v>
      </c>
      <c r="L54" s="30" t="s">
        <v>451</v>
      </c>
    </row>
    <row r="55" spans="2:12" x14ac:dyDescent="0.2">
      <c r="B55" s="30" t="s">
        <v>66</v>
      </c>
      <c r="C55" s="30" t="s">
        <v>368</v>
      </c>
      <c r="D55" s="30" t="s">
        <v>1017</v>
      </c>
      <c r="E55" s="30" t="s">
        <v>994</v>
      </c>
      <c r="F55" s="30" t="s">
        <v>211</v>
      </c>
      <c r="G55" s="30" t="s">
        <v>1020</v>
      </c>
      <c r="H55" s="30" t="s">
        <v>325</v>
      </c>
      <c r="I55" s="30" t="s">
        <v>324</v>
      </c>
      <c r="J55" s="30" t="s">
        <v>368</v>
      </c>
      <c r="K55" s="30" t="s">
        <v>209</v>
      </c>
      <c r="L55" s="30" t="s">
        <v>451</v>
      </c>
    </row>
    <row r="56" spans="2:12" x14ac:dyDescent="0.2">
      <c r="B56" s="30" t="s">
        <v>69</v>
      </c>
      <c r="C56" s="30" t="s">
        <v>369</v>
      </c>
      <c r="D56" s="30" t="s">
        <v>1017</v>
      </c>
      <c r="E56" s="30" t="s">
        <v>1010</v>
      </c>
      <c r="F56" s="30" t="s">
        <v>330</v>
      </c>
      <c r="G56" s="30" t="s">
        <v>1020</v>
      </c>
      <c r="H56" s="30" t="s">
        <v>1021</v>
      </c>
      <c r="I56" s="30" t="s">
        <v>212</v>
      </c>
      <c r="J56" s="30" t="s">
        <v>369</v>
      </c>
      <c r="K56" s="30" t="s">
        <v>209</v>
      </c>
      <c r="L56" s="30" t="s">
        <v>451</v>
      </c>
    </row>
    <row r="57" spans="2:12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  <row r="58" spans="2:12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</row>
    <row r="59" spans="2:12" x14ac:dyDescent="0.2">
      <c r="B59" s="30" t="s">
        <v>370</v>
      </c>
      <c r="C59" s="30" t="s">
        <v>373</v>
      </c>
      <c r="D59" s="30" t="s">
        <v>73</v>
      </c>
      <c r="E59" s="30" t="s">
        <v>990</v>
      </c>
      <c r="F59" s="30" t="s">
        <v>371</v>
      </c>
      <c r="G59" s="30" t="s">
        <v>1019</v>
      </c>
      <c r="H59" s="30" t="s">
        <v>323</v>
      </c>
      <c r="I59" s="30" t="s">
        <v>324</v>
      </c>
      <c r="J59" s="30" t="s">
        <v>372</v>
      </c>
      <c r="K59" s="30" t="s">
        <v>209</v>
      </c>
      <c r="L59" s="30" t="s">
        <v>448</v>
      </c>
    </row>
    <row r="60" spans="2:12" x14ac:dyDescent="0.2">
      <c r="B60" s="30" t="s">
        <v>72</v>
      </c>
      <c r="C60" s="30" t="s">
        <v>375</v>
      </c>
      <c r="D60" s="30" t="s">
        <v>73</v>
      </c>
      <c r="E60" s="30" t="s">
        <v>990</v>
      </c>
      <c r="F60" s="30" t="s">
        <v>326</v>
      </c>
      <c r="G60" s="30" t="s">
        <v>1019</v>
      </c>
      <c r="H60" s="30" t="s">
        <v>323</v>
      </c>
      <c r="I60" s="30" t="s">
        <v>324</v>
      </c>
      <c r="J60" s="30" t="s">
        <v>374</v>
      </c>
      <c r="K60" s="30" t="s">
        <v>209</v>
      </c>
      <c r="L60" s="30" t="s">
        <v>448</v>
      </c>
    </row>
    <row r="61" spans="2:12" x14ac:dyDescent="0.2">
      <c r="B61" s="30" t="s">
        <v>79</v>
      </c>
      <c r="C61" s="30" t="s">
        <v>377</v>
      </c>
      <c r="D61" s="30" t="s">
        <v>73</v>
      </c>
      <c r="E61" s="30" t="s">
        <v>991</v>
      </c>
      <c r="F61" s="30" t="s">
        <v>327</v>
      </c>
      <c r="G61" s="30" t="s">
        <v>1019</v>
      </c>
      <c r="H61" s="30" t="s">
        <v>323</v>
      </c>
      <c r="I61" s="30" t="s">
        <v>324</v>
      </c>
      <c r="J61" s="30" t="s">
        <v>376</v>
      </c>
      <c r="K61" s="30" t="s">
        <v>209</v>
      </c>
      <c r="L61" s="30" t="s">
        <v>448</v>
      </c>
    </row>
    <row r="62" spans="2:12" x14ac:dyDescent="0.2">
      <c r="B62" s="30" t="s">
        <v>80</v>
      </c>
      <c r="C62" s="30" t="s">
        <v>379</v>
      </c>
      <c r="D62" s="30" t="s">
        <v>73</v>
      </c>
      <c r="E62" s="30" t="s">
        <v>992</v>
      </c>
      <c r="F62" s="30" t="s">
        <v>328</v>
      </c>
      <c r="G62" s="30" t="s">
        <v>1019</v>
      </c>
      <c r="H62" s="30" t="s">
        <v>323</v>
      </c>
      <c r="I62" s="30" t="s">
        <v>324</v>
      </c>
      <c r="J62" s="30" t="s">
        <v>378</v>
      </c>
      <c r="K62" s="30" t="s">
        <v>209</v>
      </c>
      <c r="L62" s="30" t="s">
        <v>448</v>
      </c>
    </row>
    <row r="63" spans="2:12" x14ac:dyDescent="0.2">
      <c r="B63" s="30" t="s">
        <v>82</v>
      </c>
      <c r="C63" s="30" t="s">
        <v>381</v>
      </c>
      <c r="D63" s="30" t="s">
        <v>73</v>
      </c>
      <c r="E63" s="30" t="s">
        <v>993</v>
      </c>
      <c r="F63" s="30" t="s">
        <v>329</v>
      </c>
      <c r="G63" s="30" t="s">
        <v>1020</v>
      </c>
      <c r="H63" s="30" t="s">
        <v>202</v>
      </c>
      <c r="I63" s="30" t="s">
        <v>324</v>
      </c>
      <c r="J63" s="30" t="s">
        <v>380</v>
      </c>
      <c r="K63" s="30" t="s">
        <v>209</v>
      </c>
      <c r="L63" s="30" t="s">
        <v>448</v>
      </c>
    </row>
    <row r="64" spans="2:12" x14ac:dyDescent="0.2">
      <c r="B64" s="30" t="s">
        <v>85</v>
      </c>
      <c r="C64" s="30" t="s">
        <v>383</v>
      </c>
      <c r="D64" s="30" t="s">
        <v>73</v>
      </c>
      <c r="E64" s="30" t="s">
        <v>994</v>
      </c>
      <c r="F64" s="30" t="s">
        <v>211</v>
      </c>
      <c r="G64" s="30" t="s">
        <v>1020</v>
      </c>
      <c r="H64" s="30" t="s">
        <v>325</v>
      </c>
      <c r="I64" s="30" t="s">
        <v>324</v>
      </c>
      <c r="J64" s="30" t="s">
        <v>382</v>
      </c>
      <c r="K64" s="30" t="s">
        <v>209</v>
      </c>
      <c r="L64" s="30" t="s">
        <v>448</v>
      </c>
    </row>
    <row r="65" spans="2:12" x14ac:dyDescent="0.2">
      <c r="B65" s="30" t="s">
        <v>86</v>
      </c>
      <c r="C65" s="30" t="s">
        <v>385</v>
      </c>
      <c r="D65" s="30" t="s">
        <v>73</v>
      </c>
      <c r="E65" s="30" t="s">
        <v>1010</v>
      </c>
      <c r="F65" s="30" t="s">
        <v>330</v>
      </c>
      <c r="G65" s="30" t="s">
        <v>1020</v>
      </c>
      <c r="H65" s="30" t="s">
        <v>1021</v>
      </c>
      <c r="I65" s="30" t="s">
        <v>212</v>
      </c>
      <c r="J65" s="30" t="s">
        <v>384</v>
      </c>
      <c r="K65" s="30" t="s">
        <v>209</v>
      </c>
      <c r="L65" s="30" t="s">
        <v>448</v>
      </c>
    </row>
    <row r="66" spans="2:12" x14ac:dyDescent="0.2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</row>
    <row r="67" spans="2:12" x14ac:dyDescent="0.2">
      <c r="B67" s="30" t="s">
        <v>89</v>
      </c>
      <c r="C67" s="30" t="s">
        <v>387</v>
      </c>
      <c r="D67" s="30" t="s">
        <v>90</v>
      </c>
      <c r="E67" s="30" t="s">
        <v>990</v>
      </c>
      <c r="F67" s="30" t="s">
        <v>341</v>
      </c>
      <c r="G67" s="30" t="s">
        <v>334</v>
      </c>
      <c r="H67" s="30" t="s">
        <v>342</v>
      </c>
      <c r="I67" s="30" t="s">
        <v>343</v>
      </c>
      <c r="J67" s="30" t="s">
        <v>386</v>
      </c>
      <c r="K67" s="30" t="s">
        <v>209</v>
      </c>
      <c r="L67" s="30" t="s">
        <v>449</v>
      </c>
    </row>
    <row r="68" spans="2:12" x14ac:dyDescent="0.2">
      <c r="B68" s="30" t="s">
        <v>96</v>
      </c>
      <c r="C68" s="30" t="s">
        <v>389</v>
      </c>
      <c r="D68" s="30" t="s">
        <v>90</v>
      </c>
      <c r="E68" s="30" t="s">
        <v>991</v>
      </c>
      <c r="F68" s="30" t="s">
        <v>345</v>
      </c>
      <c r="G68" s="30" t="s">
        <v>1020</v>
      </c>
      <c r="H68" s="30" t="s">
        <v>346</v>
      </c>
      <c r="I68" s="30" t="s">
        <v>343</v>
      </c>
      <c r="J68" s="30" t="s">
        <v>388</v>
      </c>
      <c r="K68" s="30" t="s">
        <v>209</v>
      </c>
      <c r="L68" s="30" t="s">
        <v>449</v>
      </c>
    </row>
    <row r="69" spans="2:12" x14ac:dyDescent="0.2">
      <c r="B69" s="30" t="s">
        <v>98</v>
      </c>
      <c r="C69" s="30" t="s">
        <v>391</v>
      </c>
      <c r="D69" s="30" t="s">
        <v>90</v>
      </c>
      <c r="E69" s="30" t="s">
        <v>992</v>
      </c>
      <c r="F69" s="30" t="s">
        <v>347</v>
      </c>
      <c r="G69" s="30" t="s">
        <v>1020</v>
      </c>
      <c r="H69" s="30" t="s">
        <v>325</v>
      </c>
      <c r="I69" s="30" t="s">
        <v>343</v>
      </c>
      <c r="J69" s="30" t="s">
        <v>390</v>
      </c>
      <c r="K69" s="30" t="s">
        <v>209</v>
      </c>
      <c r="L69" s="30" t="s">
        <v>449</v>
      </c>
    </row>
    <row r="70" spans="2:12" x14ac:dyDescent="0.2">
      <c r="B70" s="30" t="s">
        <v>99</v>
      </c>
      <c r="C70" s="30" t="s">
        <v>393</v>
      </c>
      <c r="D70" s="30" t="s">
        <v>90</v>
      </c>
      <c r="E70" s="30" t="s">
        <v>993</v>
      </c>
      <c r="F70" s="30" t="s">
        <v>348</v>
      </c>
      <c r="G70" s="30" t="s">
        <v>1020</v>
      </c>
      <c r="H70" s="30" t="s">
        <v>1021</v>
      </c>
      <c r="I70" s="30" t="s">
        <v>349</v>
      </c>
      <c r="J70" s="30" t="s">
        <v>392</v>
      </c>
      <c r="K70" s="30" t="s">
        <v>209</v>
      </c>
      <c r="L70" s="30" t="s">
        <v>449</v>
      </c>
    </row>
    <row r="71" spans="2:12" x14ac:dyDescent="0.2">
      <c r="B71" s="30" t="s">
        <v>101</v>
      </c>
      <c r="C71" s="30" t="s">
        <v>395</v>
      </c>
      <c r="D71" s="30" t="s">
        <v>90</v>
      </c>
      <c r="E71" s="30" t="s">
        <v>994</v>
      </c>
      <c r="F71" s="30" t="s">
        <v>351</v>
      </c>
      <c r="G71" s="30" t="s">
        <v>1020</v>
      </c>
      <c r="H71" s="30" t="s">
        <v>1021</v>
      </c>
      <c r="I71" s="30" t="s">
        <v>349</v>
      </c>
      <c r="J71" s="30" t="s">
        <v>394</v>
      </c>
      <c r="K71" s="30" t="s">
        <v>209</v>
      </c>
      <c r="L71" s="30" t="s">
        <v>449</v>
      </c>
    </row>
    <row r="72" spans="2:12" x14ac:dyDescent="0.2">
      <c r="B72" s="30" t="s">
        <v>103</v>
      </c>
      <c r="C72" s="30" t="s">
        <v>397</v>
      </c>
      <c r="D72" s="30" t="s">
        <v>90</v>
      </c>
      <c r="E72" s="30" t="s">
        <v>1010</v>
      </c>
      <c r="F72" s="30" t="s">
        <v>353</v>
      </c>
      <c r="G72" s="30" t="s">
        <v>1020</v>
      </c>
      <c r="H72" s="30" t="s">
        <v>346</v>
      </c>
      <c r="I72" s="30" t="s">
        <v>1070</v>
      </c>
      <c r="J72" s="30" t="s">
        <v>396</v>
      </c>
      <c r="K72" s="30" t="s">
        <v>209</v>
      </c>
      <c r="L72" s="30" t="s">
        <v>449</v>
      </c>
    </row>
    <row r="73" spans="2:12" x14ac:dyDescent="0.2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</row>
    <row r="74" spans="2:12" x14ac:dyDescent="0.2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2:12" x14ac:dyDescent="0.2">
      <c r="B75" s="30" t="s">
        <v>815</v>
      </c>
      <c r="C75" s="30" t="s">
        <v>825</v>
      </c>
      <c r="D75" s="30" t="s">
        <v>830</v>
      </c>
      <c r="E75" s="30" t="s">
        <v>993</v>
      </c>
      <c r="F75" s="30" t="s">
        <v>831</v>
      </c>
      <c r="G75" s="30" t="s">
        <v>1020</v>
      </c>
      <c r="H75" s="30" t="s">
        <v>202</v>
      </c>
      <c r="I75" s="30" t="s">
        <v>324</v>
      </c>
      <c r="J75" s="30" t="s">
        <v>826</v>
      </c>
      <c r="K75" s="30" t="s">
        <v>209</v>
      </c>
      <c r="L75" s="30" t="s">
        <v>450</v>
      </c>
    </row>
    <row r="76" spans="2:12" x14ac:dyDescent="0.2">
      <c r="B76" s="30" t="s">
        <v>816</v>
      </c>
      <c r="C76" s="30" t="s">
        <v>823</v>
      </c>
      <c r="D76" s="30" t="s">
        <v>830</v>
      </c>
      <c r="E76" s="30" t="s">
        <v>993</v>
      </c>
      <c r="F76" s="30" t="s">
        <v>329</v>
      </c>
      <c r="G76" s="30" t="s">
        <v>1020</v>
      </c>
      <c r="H76" s="30" t="s">
        <v>202</v>
      </c>
      <c r="I76" s="30" t="s">
        <v>324</v>
      </c>
      <c r="J76" s="30" t="s">
        <v>824</v>
      </c>
      <c r="K76" s="30" t="s">
        <v>209</v>
      </c>
      <c r="L76" s="30" t="s">
        <v>450</v>
      </c>
    </row>
    <row r="77" spans="2:12" x14ac:dyDescent="0.2">
      <c r="B77" s="30" t="s">
        <v>817</v>
      </c>
      <c r="C77" s="30" t="s">
        <v>819</v>
      </c>
      <c r="D77" s="30" t="s">
        <v>830</v>
      </c>
      <c r="E77" s="30" t="s">
        <v>1010</v>
      </c>
      <c r="F77" s="30" t="s">
        <v>330</v>
      </c>
      <c r="G77" s="30" t="s">
        <v>1020</v>
      </c>
      <c r="H77" s="30" t="s">
        <v>1022</v>
      </c>
      <c r="I77" s="30" t="s">
        <v>212</v>
      </c>
      <c r="J77" s="30" t="s">
        <v>822</v>
      </c>
      <c r="K77" s="30" t="s">
        <v>209</v>
      </c>
      <c r="L77" s="30" t="s">
        <v>450</v>
      </c>
    </row>
    <row r="78" spans="2:12" x14ac:dyDescent="0.2">
      <c r="B78" s="30" t="s">
        <v>818</v>
      </c>
      <c r="C78" s="30" t="s">
        <v>820</v>
      </c>
      <c r="D78" s="30" t="s">
        <v>830</v>
      </c>
      <c r="E78" s="30" t="s">
        <v>1011</v>
      </c>
      <c r="F78" s="30" t="s">
        <v>814</v>
      </c>
      <c r="G78" s="30" t="s">
        <v>1020</v>
      </c>
      <c r="H78" s="30" t="s">
        <v>1022</v>
      </c>
      <c r="I78" s="30" t="s">
        <v>212</v>
      </c>
      <c r="J78" s="30" t="s">
        <v>821</v>
      </c>
      <c r="K78" s="30" t="s">
        <v>209</v>
      </c>
      <c r="L78" s="30" t="s">
        <v>450</v>
      </c>
    </row>
    <row r="79" spans="2:12" x14ac:dyDescent="0.2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</row>
    <row r="80" spans="2:12" x14ac:dyDescent="0.2">
      <c r="B80" s="30" t="s">
        <v>331</v>
      </c>
      <c r="C80" s="30" t="s">
        <v>399</v>
      </c>
      <c r="D80" s="30" t="s">
        <v>105</v>
      </c>
      <c r="E80" s="30" t="s">
        <v>990</v>
      </c>
      <c r="F80" s="30" t="s">
        <v>441</v>
      </c>
      <c r="G80" s="30" t="s">
        <v>334</v>
      </c>
      <c r="H80" s="30" t="s">
        <v>335</v>
      </c>
      <c r="I80" s="30" t="s">
        <v>324</v>
      </c>
      <c r="J80" s="30" t="s">
        <v>399</v>
      </c>
      <c r="K80" s="30" t="s">
        <v>209</v>
      </c>
      <c r="L80" s="30" t="s">
        <v>450</v>
      </c>
    </row>
    <row r="81" spans="2:12" x14ac:dyDescent="0.2">
      <c r="B81" s="30" t="s">
        <v>611</v>
      </c>
      <c r="C81" s="30" t="s">
        <v>1067</v>
      </c>
      <c r="D81" s="30" t="s">
        <v>105</v>
      </c>
      <c r="E81" s="30" t="s">
        <v>993</v>
      </c>
      <c r="F81" s="30" t="s">
        <v>329</v>
      </c>
      <c r="G81" s="30" t="s">
        <v>996</v>
      </c>
      <c r="H81" s="30" t="s">
        <v>202</v>
      </c>
      <c r="I81" s="30" t="s">
        <v>324</v>
      </c>
      <c r="J81" s="30" t="s">
        <v>401</v>
      </c>
      <c r="K81" s="30" t="s">
        <v>209</v>
      </c>
      <c r="L81" s="30" t="s">
        <v>450</v>
      </c>
    </row>
    <row r="82" spans="2:12" x14ac:dyDescent="0.2">
      <c r="B82" s="30" t="s">
        <v>1012</v>
      </c>
      <c r="C82" s="30" t="s">
        <v>401</v>
      </c>
      <c r="D82" s="30" t="s">
        <v>105</v>
      </c>
      <c r="E82" s="30" t="s">
        <v>993</v>
      </c>
      <c r="F82" s="30" t="s">
        <v>329</v>
      </c>
      <c r="G82" s="30" t="s">
        <v>996</v>
      </c>
      <c r="H82" s="30" t="s">
        <v>202</v>
      </c>
      <c r="I82" s="30" t="s">
        <v>324</v>
      </c>
      <c r="J82" s="30" t="s">
        <v>401</v>
      </c>
      <c r="K82" s="30" t="s">
        <v>209</v>
      </c>
      <c r="L82" s="30" t="s">
        <v>450</v>
      </c>
    </row>
    <row r="83" spans="2:12" x14ac:dyDescent="0.2">
      <c r="B83" s="30" t="s">
        <v>115</v>
      </c>
      <c r="C83" s="30" t="s">
        <v>403</v>
      </c>
      <c r="D83" s="30" t="s">
        <v>105</v>
      </c>
      <c r="E83" s="30" t="s">
        <v>1010</v>
      </c>
      <c r="F83" s="30" t="s">
        <v>330</v>
      </c>
      <c r="G83" s="30" t="s">
        <v>996</v>
      </c>
      <c r="H83" s="30" t="s">
        <v>1009</v>
      </c>
      <c r="I83" s="30" t="s">
        <v>212</v>
      </c>
      <c r="J83" s="30" t="s">
        <v>403</v>
      </c>
      <c r="K83" s="30" t="s">
        <v>209</v>
      </c>
      <c r="L83" s="30" t="s">
        <v>450</v>
      </c>
    </row>
    <row r="84" spans="2:12" x14ac:dyDescent="0.2">
      <c r="B84" s="30" t="s">
        <v>117</v>
      </c>
      <c r="C84" s="30" t="s">
        <v>405</v>
      </c>
      <c r="D84" s="30" t="s">
        <v>105</v>
      </c>
      <c r="E84" s="30" t="s">
        <v>1011</v>
      </c>
      <c r="F84" s="30" t="s">
        <v>351</v>
      </c>
      <c r="G84" s="30" t="s">
        <v>996</v>
      </c>
      <c r="H84" s="30" t="s">
        <v>1009</v>
      </c>
      <c r="I84" s="30" t="s">
        <v>212</v>
      </c>
      <c r="J84" s="30" t="s">
        <v>405</v>
      </c>
      <c r="K84" s="30" t="s">
        <v>209</v>
      </c>
      <c r="L84" s="30" t="s">
        <v>450</v>
      </c>
    </row>
    <row r="85" spans="2:12" x14ac:dyDescent="0.2">
      <c r="B85" s="30" t="s">
        <v>1068</v>
      </c>
      <c r="C85" s="30" t="s">
        <v>1069</v>
      </c>
      <c r="D85" s="30" t="s">
        <v>105</v>
      </c>
      <c r="E85" s="30" t="s">
        <v>1010</v>
      </c>
      <c r="F85" s="30" t="s">
        <v>353</v>
      </c>
      <c r="G85" s="30" t="s">
        <v>1020</v>
      </c>
      <c r="H85" s="30" t="s">
        <v>346</v>
      </c>
      <c r="I85" s="30" t="s">
        <v>1070</v>
      </c>
      <c r="J85" s="30" t="s">
        <v>1069</v>
      </c>
      <c r="K85" s="30" t="s">
        <v>209</v>
      </c>
      <c r="L85" s="30" t="s">
        <v>450</v>
      </c>
    </row>
    <row r="86" spans="2:12" x14ac:dyDescent="0.2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</row>
    <row r="87" spans="2:12" x14ac:dyDescent="0.2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</row>
    <row r="88" spans="2:12" x14ac:dyDescent="0.2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</row>
    <row r="89" spans="2:12" x14ac:dyDescent="0.2">
      <c r="B89" s="30" t="s">
        <v>652</v>
      </c>
      <c r="C89" s="30" t="s">
        <v>660</v>
      </c>
      <c r="D89" s="30" t="s">
        <v>1081</v>
      </c>
      <c r="E89" s="30" t="s">
        <v>993</v>
      </c>
      <c r="F89" s="30" t="s">
        <v>345</v>
      </c>
      <c r="G89" s="30" t="s">
        <v>334</v>
      </c>
      <c r="H89" s="30" t="s">
        <v>269</v>
      </c>
      <c r="I89" s="30" t="s">
        <v>440</v>
      </c>
      <c r="J89" s="30" t="s">
        <v>660</v>
      </c>
      <c r="K89" s="30"/>
      <c r="L89" s="30" t="s">
        <v>1077</v>
      </c>
    </row>
    <row r="90" spans="2:12" x14ac:dyDescent="0.2">
      <c r="B90" s="30" t="s">
        <v>430</v>
      </c>
      <c r="C90" s="30" t="s">
        <v>424</v>
      </c>
      <c r="D90" s="30" t="s">
        <v>1082</v>
      </c>
      <c r="E90" s="30" t="s">
        <v>993</v>
      </c>
      <c r="F90" s="30" t="s">
        <v>329</v>
      </c>
      <c r="G90" s="30" t="s">
        <v>334</v>
      </c>
      <c r="H90" s="30" t="s">
        <v>269</v>
      </c>
      <c r="I90" s="30" t="s">
        <v>440</v>
      </c>
      <c r="J90" s="30" t="s">
        <v>424</v>
      </c>
      <c r="K90" s="30"/>
      <c r="L90" s="30" t="s">
        <v>1077</v>
      </c>
    </row>
    <row r="91" spans="2:12" x14ac:dyDescent="0.2">
      <c r="B91" s="30" t="s">
        <v>482</v>
      </c>
      <c r="C91" s="30" t="s">
        <v>473</v>
      </c>
      <c r="D91" s="30" t="s">
        <v>1015</v>
      </c>
      <c r="E91" s="30" t="s">
        <v>993</v>
      </c>
      <c r="F91" s="30" t="s">
        <v>329</v>
      </c>
      <c r="G91" s="30" t="s">
        <v>667</v>
      </c>
      <c r="H91" s="30" t="s">
        <v>438</v>
      </c>
      <c r="I91" s="30" t="s">
        <v>439</v>
      </c>
      <c r="J91" s="30" t="s">
        <v>473</v>
      </c>
      <c r="K91" s="30"/>
      <c r="L91" s="30" t="s">
        <v>1077</v>
      </c>
    </row>
    <row r="92" spans="2:12" x14ac:dyDescent="0.2">
      <c r="B92" s="30" t="s">
        <v>483</v>
      </c>
      <c r="C92" s="30" t="s">
        <v>475</v>
      </c>
      <c r="D92" s="30" t="s">
        <v>1016</v>
      </c>
      <c r="E92" s="30" t="s">
        <v>993</v>
      </c>
      <c r="F92" s="30" t="s">
        <v>329</v>
      </c>
      <c r="G92" s="30" t="s">
        <v>667</v>
      </c>
      <c r="H92" s="30" t="s">
        <v>438</v>
      </c>
      <c r="I92" s="30" t="s">
        <v>439</v>
      </c>
      <c r="J92" s="30" t="s">
        <v>475</v>
      </c>
      <c r="K92" s="30"/>
      <c r="L92" s="30" t="s">
        <v>1077</v>
      </c>
    </row>
    <row r="93" spans="2:12" x14ac:dyDescent="0.2">
      <c r="B93" s="30" t="s">
        <v>426</v>
      </c>
      <c r="C93" s="30" t="s">
        <v>422</v>
      </c>
      <c r="D93" s="30" t="s">
        <v>1084</v>
      </c>
      <c r="E93" s="30" t="s">
        <v>993</v>
      </c>
      <c r="F93" s="30" t="s">
        <v>329</v>
      </c>
      <c r="G93" s="30" t="s">
        <v>335</v>
      </c>
      <c r="H93" s="30" t="s">
        <v>438</v>
      </c>
      <c r="I93" s="30" t="s">
        <v>439</v>
      </c>
      <c r="J93" s="30" t="s">
        <v>422</v>
      </c>
      <c r="K93" s="30"/>
      <c r="L93" s="30" t="s">
        <v>1077</v>
      </c>
    </row>
    <row r="94" spans="2:12" x14ac:dyDescent="0.2">
      <c r="B94" s="30" t="s">
        <v>427</v>
      </c>
      <c r="C94" s="30" t="s">
        <v>420</v>
      </c>
      <c r="D94" s="30" t="s">
        <v>1085</v>
      </c>
      <c r="E94" s="30" t="s">
        <v>993</v>
      </c>
      <c r="F94" s="30" t="s">
        <v>329</v>
      </c>
      <c r="G94" s="30" t="s">
        <v>335</v>
      </c>
      <c r="H94" s="30" t="s">
        <v>438</v>
      </c>
      <c r="I94" s="30" t="s">
        <v>439</v>
      </c>
      <c r="J94" s="30" t="s">
        <v>420</v>
      </c>
      <c r="K94" s="30"/>
      <c r="L94" s="30" t="s">
        <v>1077</v>
      </c>
    </row>
    <row r="95" spans="2:12" x14ac:dyDescent="0.2">
      <c r="B95" s="30" t="s">
        <v>428</v>
      </c>
      <c r="C95" s="30" t="s">
        <v>418</v>
      </c>
      <c r="D95" s="30" t="s">
        <v>1086</v>
      </c>
      <c r="E95" s="30" t="s">
        <v>993</v>
      </c>
      <c r="F95" s="30" t="s">
        <v>329</v>
      </c>
      <c r="G95" s="30" t="s">
        <v>335</v>
      </c>
      <c r="H95" s="30" t="s">
        <v>438</v>
      </c>
      <c r="I95" s="30" t="s">
        <v>439</v>
      </c>
      <c r="J95" s="30" t="s">
        <v>418</v>
      </c>
      <c r="K95" s="30"/>
      <c r="L95" s="30" t="s">
        <v>1077</v>
      </c>
    </row>
    <row r="96" spans="2:12" x14ac:dyDescent="0.2">
      <c r="B96" s="30" t="s">
        <v>429</v>
      </c>
      <c r="C96" s="30" t="s">
        <v>416</v>
      </c>
      <c r="D96" s="30" t="s">
        <v>1083</v>
      </c>
      <c r="E96" s="30" t="s">
        <v>898</v>
      </c>
      <c r="F96" s="30" t="s">
        <v>243</v>
      </c>
      <c r="G96" s="30" t="s">
        <v>1020</v>
      </c>
      <c r="H96" s="30" t="s">
        <v>438</v>
      </c>
      <c r="I96" s="30" t="s">
        <v>202</v>
      </c>
      <c r="J96" s="30" t="s">
        <v>416</v>
      </c>
      <c r="K96" s="30"/>
      <c r="L96" s="30" t="s">
        <v>1077</v>
      </c>
    </row>
    <row r="97" spans="2:12" x14ac:dyDescent="0.2"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</row>
    <row r="98" spans="2:12" x14ac:dyDescent="0.2"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</row>
    <row r="99" spans="2:12" x14ac:dyDescent="0.2">
      <c r="B99" s="30" t="s">
        <v>516</v>
      </c>
      <c r="C99" s="30" t="s">
        <v>516</v>
      </c>
      <c r="D99" s="30"/>
      <c r="E99" s="30"/>
      <c r="F99" s="30" t="s">
        <v>518</v>
      </c>
      <c r="G99" s="30" t="s">
        <v>334</v>
      </c>
      <c r="H99" s="30" t="s">
        <v>518</v>
      </c>
      <c r="I99" s="30"/>
      <c r="J99" s="30" t="s">
        <v>516</v>
      </c>
      <c r="K99" s="30"/>
      <c r="L99" s="30"/>
    </row>
    <row r="100" spans="2:12" x14ac:dyDescent="0.2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</row>
    <row r="101" spans="2:12" x14ac:dyDescent="0.2">
      <c r="B101" s="30" t="s">
        <v>508</v>
      </c>
      <c r="C101" s="30" t="s">
        <v>508</v>
      </c>
      <c r="D101" s="30"/>
      <c r="E101" s="30"/>
      <c r="F101" s="30" t="s">
        <v>519</v>
      </c>
      <c r="G101" s="30" t="s">
        <v>334</v>
      </c>
      <c r="H101" s="30" t="s">
        <v>1023</v>
      </c>
      <c r="I101" s="30"/>
      <c r="J101" s="30" t="s">
        <v>508</v>
      </c>
      <c r="K101" s="30"/>
      <c r="L101" s="30"/>
    </row>
    <row r="102" spans="2:12" x14ac:dyDescent="0.2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</row>
    <row r="103" spans="2:12" x14ac:dyDescent="0.2">
      <c r="B103" s="30" t="s">
        <v>509</v>
      </c>
      <c r="C103" s="30" t="s">
        <v>509</v>
      </c>
      <c r="D103" s="30"/>
      <c r="E103" s="30"/>
      <c r="F103" s="30" t="s">
        <v>527</v>
      </c>
      <c r="G103" s="30" t="s">
        <v>334</v>
      </c>
      <c r="H103" s="30" t="s">
        <v>533</v>
      </c>
      <c r="I103" s="30" t="s">
        <v>733</v>
      </c>
      <c r="J103" s="30" t="s">
        <v>731</v>
      </c>
      <c r="K103" s="30"/>
      <c r="L103" s="30"/>
    </row>
    <row r="104" spans="2:12" x14ac:dyDescent="0.2">
      <c r="B104" s="30" t="s">
        <v>510</v>
      </c>
      <c r="C104" s="30" t="s">
        <v>510</v>
      </c>
      <c r="D104" s="30"/>
      <c r="E104" s="30"/>
      <c r="F104" s="30" t="s">
        <v>528</v>
      </c>
      <c r="G104" s="30" t="s">
        <v>334</v>
      </c>
      <c r="H104" s="30" t="s">
        <v>533</v>
      </c>
      <c r="I104" s="30" t="s">
        <v>733</v>
      </c>
      <c r="J104" s="30" t="s">
        <v>727</v>
      </c>
      <c r="K104" s="30"/>
      <c r="L104" s="30"/>
    </row>
    <row r="105" spans="2:12" x14ac:dyDescent="0.2">
      <c r="B105" s="30" t="s">
        <v>511</v>
      </c>
      <c r="C105" s="30" t="s">
        <v>511</v>
      </c>
      <c r="D105" s="30"/>
      <c r="E105" s="30"/>
      <c r="F105" s="30" t="s">
        <v>529</v>
      </c>
      <c r="G105" s="30" t="s">
        <v>334</v>
      </c>
      <c r="H105" s="30" t="s">
        <v>241</v>
      </c>
      <c r="I105" s="30" t="s">
        <v>733</v>
      </c>
      <c r="J105" s="30" t="s">
        <v>726</v>
      </c>
      <c r="K105" s="30"/>
      <c r="L105" s="30"/>
    </row>
    <row r="106" spans="2:12" x14ac:dyDescent="0.2">
      <c r="B106" s="30" t="s">
        <v>512</v>
      </c>
      <c r="C106" s="30" t="s">
        <v>512</v>
      </c>
      <c r="D106" s="30"/>
      <c r="E106" s="30"/>
      <c r="F106" s="30" t="s">
        <v>345</v>
      </c>
      <c r="G106" s="30" t="s">
        <v>334</v>
      </c>
      <c r="H106" s="30" t="s">
        <v>533</v>
      </c>
      <c r="I106" s="30" t="s">
        <v>733</v>
      </c>
      <c r="J106" s="30" t="s">
        <v>724</v>
      </c>
      <c r="K106" s="30"/>
      <c r="L106" s="30"/>
    </row>
    <row r="107" spans="2:12" x14ac:dyDescent="0.2">
      <c r="B107" s="30" t="s">
        <v>513</v>
      </c>
      <c r="C107" s="30" t="s">
        <v>513</v>
      </c>
      <c r="D107" s="30"/>
      <c r="E107" s="30"/>
      <c r="F107" s="30" t="s">
        <v>347</v>
      </c>
      <c r="G107" s="30" t="s">
        <v>334</v>
      </c>
      <c r="H107" s="30" t="s">
        <v>241</v>
      </c>
      <c r="I107" s="30" t="s">
        <v>733</v>
      </c>
      <c r="J107" s="30" t="s">
        <v>725</v>
      </c>
      <c r="K107" s="30"/>
      <c r="L107" s="30"/>
    </row>
    <row r="108" spans="2:12" x14ac:dyDescent="0.2"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</row>
    <row r="109" spans="2:12" x14ac:dyDescent="0.2"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</row>
    <row r="110" spans="2:12" x14ac:dyDescent="0.2">
      <c r="B110" s="30" t="s">
        <v>720</v>
      </c>
      <c r="C110" s="30" t="s">
        <v>720</v>
      </c>
      <c r="D110" s="30"/>
      <c r="E110" s="30"/>
      <c r="F110" s="30" t="s">
        <v>527</v>
      </c>
      <c r="G110" s="30" t="s">
        <v>334</v>
      </c>
      <c r="H110" s="30" t="s">
        <v>533</v>
      </c>
      <c r="I110" s="30" t="s">
        <v>733</v>
      </c>
      <c r="J110" s="30" t="s">
        <v>730</v>
      </c>
      <c r="K110" s="30"/>
      <c r="L110" s="30"/>
    </row>
    <row r="111" spans="2:12" x14ac:dyDescent="0.2">
      <c r="B111" s="30" t="s">
        <v>514</v>
      </c>
      <c r="C111" s="30" t="s">
        <v>514</v>
      </c>
      <c r="D111" s="30"/>
      <c r="E111" s="30"/>
      <c r="F111" s="30" t="s">
        <v>327</v>
      </c>
      <c r="G111" s="30" t="s">
        <v>334</v>
      </c>
      <c r="H111" s="30" t="s">
        <v>241</v>
      </c>
      <c r="I111" s="30" t="s">
        <v>733</v>
      </c>
      <c r="J111" s="30" t="s">
        <v>732</v>
      </c>
      <c r="K111" s="30"/>
      <c r="L111" s="30"/>
    </row>
    <row r="112" spans="2:12" x14ac:dyDescent="0.2">
      <c r="B112" s="30" t="s">
        <v>721</v>
      </c>
      <c r="C112" s="30" t="s">
        <v>721</v>
      </c>
      <c r="D112" s="30"/>
      <c r="E112" s="30"/>
      <c r="F112" s="30" t="s">
        <v>723</v>
      </c>
      <c r="G112" s="30" t="s">
        <v>334</v>
      </c>
      <c r="H112" s="30" t="s">
        <v>533</v>
      </c>
      <c r="I112" s="30" t="s">
        <v>733</v>
      </c>
      <c r="J112" s="30" t="s">
        <v>729</v>
      </c>
      <c r="K112" s="30"/>
      <c r="L112" s="30"/>
    </row>
    <row r="113" spans="2:12" x14ac:dyDescent="0.2">
      <c r="B113" s="30" t="s">
        <v>722</v>
      </c>
      <c r="C113" s="30" t="s">
        <v>722</v>
      </c>
      <c r="D113" s="30"/>
      <c r="E113" s="30"/>
      <c r="F113" s="30" t="s">
        <v>345</v>
      </c>
      <c r="G113" s="30" t="s">
        <v>334</v>
      </c>
      <c r="H113" s="30" t="s">
        <v>241</v>
      </c>
      <c r="I113" s="30" t="s">
        <v>733</v>
      </c>
      <c r="J113" s="30" t="s">
        <v>728</v>
      </c>
      <c r="K113" s="30"/>
      <c r="L113" s="30"/>
    </row>
    <row r="114" spans="2:12" x14ac:dyDescent="0.2"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</row>
    <row r="115" spans="2:12" x14ac:dyDescent="0.2"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</row>
    <row r="116" spans="2:12" x14ac:dyDescent="0.2">
      <c r="B116" s="30" t="s">
        <v>515</v>
      </c>
      <c r="C116" s="30" t="s">
        <v>515</v>
      </c>
      <c r="D116" s="30"/>
      <c r="E116" s="30"/>
      <c r="F116" s="30" t="s">
        <v>329</v>
      </c>
      <c r="G116" s="30" t="s">
        <v>1020</v>
      </c>
      <c r="H116" s="30" t="s">
        <v>533</v>
      </c>
      <c r="I116" s="30"/>
      <c r="J116" s="30" t="s">
        <v>515</v>
      </c>
      <c r="K116" s="30"/>
      <c r="L116" s="30"/>
    </row>
    <row r="117" spans="2:12" x14ac:dyDescent="0.2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2:12" x14ac:dyDescent="0.2"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</row>
    <row r="119" spans="2:12" x14ac:dyDescent="0.2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72" spans="1:3" x14ac:dyDescent="0.2">
      <c r="A172" t="s">
        <v>246</v>
      </c>
      <c r="B172" t="s">
        <v>218</v>
      </c>
      <c r="C172" t="s">
        <v>224</v>
      </c>
    </row>
    <row r="173" spans="1:3" x14ac:dyDescent="0.2">
      <c r="A173" t="s">
        <v>268</v>
      </c>
      <c r="B173" t="s">
        <v>190</v>
      </c>
      <c r="C173" t="s">
        <v>191</v>
      </c>
    </row>
    <row r="174" spans="1:3" x14ac:dyDescent="0.2">
      <c r="A174" t="s">
        <v>193</v>
      </c>
      <c r="B174" t="s">
        <v>190</v>
      </c>
      <c r="C174" t="s">
        <v>194</v>
      </c>
    </row>
    <row r="175" spans="1:3" x14ac:dyDescent="0.2">
      <c r="A175" t="s">
        <v>262</v>
      </c>
      <c r="B175" t="s">
        <v>195</v>
      </c>
      <c r="C175" t="s">
        <v>265</v>
      </c>
    </row>
    <row r="176" spans="1:3" x14ac:dyDescent="0.2">
      <c r="A176" t="s">
        <v>196</v>
      </c>
      <c r="B176" t="s">
        <v>195</v>
      </c>
      <c r="C176" t="s">
        <v>197</v>
      </c>
    </row>
    <row r="177" spans="1:3" x14ac:dyDescent="0.2">
      <c r="A177" t="s">
        <v>671</v>
      </c>
      <c r="B177" t="s">
        <v>200</v>
      </c>
      <c r="C177" t="s">
        <v>201</v>
      </c>
    </row>
    <row r="178" spans="1:3" x14ac:dyDescent="0.2">
      <c r="A178" t="s">
        <v>204</v>
      </c>
      <c r="B178" t="s">
        <v>205</v>
      </c>
      <c r="C178" t="s">
        <v>206</v>
      </c>
    </row>
    <row r="179" spans="1:3" x14ac:dyDescent="0.2">
      <c r="A179" t="s">
        <v>207</v>
      </c>
      <c r="B179" t="s">
        <v>205</v>
      </c>
      <c r="C179" t="s">
        <v>208</v>
      </c>
    </row>
    <row r="180" spans="1:3" x14ac:dyDescent="0.2">
      <c r="A180" t="s">
        <v>210</v>
      </c>
      <c r="B180" t="s">
        <v>200</v>
      </c>
      <c r="C180" t="s">
        <v>266</v>
      </c>
    </row>
    <row r="181" spans="1:3" x14ac:dyDescent="0.2">
      <c r="A181" t="s">
        <v>1014</v>
      </c>
      <c r="B181" t="s">
        <v>213</v>
      </c>
      <c r="C181" t="s">
        <v>214</v>
      </c>
    </row>
    <row r="182" spans="1:3" x14ac:dyDescent="0.2">
      <c r="A182" t="s">
        <v>534</v>
      </c>
      <c r="B182" s="11" t="s">
        <v>1072</v>
      </c>
      <c r="C182" t="s">
        <v>637</v>
      </c>
    </row>
    <row r="183" spans="1:3" x14ac:dyDescent="0.2">
      <c r="A183" t="s">
        <v>833</v>
      </c>
      <c r="B183" s="11" t="s">
        <v>1072</v>
      </c>
      <c r="C183" t="s">
        <v>834</v>
      </c>
    </row>
    <row r="184" spans="1:3" x14ac:dyDescent="0.2">
      <c r="A184" t="s">
        <v>215</v>
      </c>
      <c r="B184" t="s">
        <v>195</v>
      </c>
      <c r="C184" t="s">
        <v>216</v>
      </c>
    </row>
    <row r="185" spans="1:3" x14ac:dyDescent="0.2">
      <c r="A185" t="s">
        <v>217</v>
      </c>
      <c r="B185" t="s">
        <v>205</v>
      </c>
      <c r="C185" t="s">
        <v>267</v>
      </c>
    </row>
    <row r="186" spans="1:3" x14ac:dyDescent="0.2">
      <c r="A186" t="s">
        <v>1074</v>
      </c>
      <c r="B186" s="11" t="s">
        <v>205</v>
      </c>
      <c r="C186" t="s">
        <v>206</v>
      </c>
    </row>
    <row r="187" spans="1:3" x14ac:dyDescent="0.2">
      <c r="A187" t="s">
        <v>1075</v>
      </c>
      <c r="B187" t="s">
        <v>205</v>
      </c>
      <c r="C187" t="s">
        <v>208</v>
      </c>
    </row>
    <row r="188" spans="1:3" x14ac:dyDescent="0.2">
      <c r="A188" t="s">
        <v>670</v>
      </c>
      <c r="B188" s="11" t="s">
        <v>672</v>
      </c>
      <c r="C188" t="s">
        <v>673</v>
      </c>
    </row>
  </sheetData>
  <phoneticPr fontId="6" type="noConversion"/>
  <conditionalFormatting sqref="C110:C119 C9:C84 C86:C108">
    <cfRule type="duplicateValues" dxfId="48" priority="1"/>
  </conditionalFormatting>
  <pageMargins left="0.7" right="0.7" top="0.75" bottom="0.75" header="0.3" footer="0.3"/>
  <pageSetup paperSize="9" orientation="portrait" horizontalDpi="203" verticalDpi="203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9831-6029-4AAD-B367-72DD88945B4D}">
  <sheetPr codeName="Sheet6">
    <tabColor rgb="FFFFC000"/>
  </sheetPr>
  <dimension ref="A1:N80"/>
  <sheetViews>
    <sheetView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60" sqref="B60:C60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7" width="17.625" bestFit="1" customWidth="1"/>
    <col min="8" max="10" width="20.625" bestFit="1" customWidth="1"/>
    <col min="11" max="11" width="29.125" bestFit="1" customWidth="1"/>
    <col min="12" max="12" width="29.125" customWidth="1"/>
    <col min="13" max="13" width="26.25" customWidth="1"/>
    <col min="14" max="14" width="24.125" customWidth="1"/>
    <col min="15" max="15" width="17.375" bestFit="1" customWidth="1"/>
  </cols>
  <sheetData>
    <row r="1" spans="1:14" x14ac:dyDescent="0.2">
      <c r="A1" t="s">
        <v>175</v>
      </c>
      <c r="B1" s="22" t="s">
        <v>271</v>
      </c>
    </row>
    <row r="2" spans="1:14" x14ac:dyDescent="0.2">
      <c r="A2" t="s">
        <v>1</v>
      </c>
      <c r="B2" s="22" t="s">
        <v>578</v>
      </c>
    </row>
    <row r="3" spans="1:14" x14ac:dyDescent="0.2">
      <c r="A3" t="s">
        <v>2</v>
      </c>
      <c r="B3" s="22" t="s">
        <v>575</v>
      </c>
    </row>
    <row r="4" spans="1:14" x14ac:dyDescent="0.2">
      <c r="A4" t="s">
        <v>3</v>
      </c>
      <c r="B4" s="22" t="s">
        <v>4</v>
      </c>
    </row>
    <row r="5" spans="1:14" x14ac:dyDescent="0.2">
      <c r="A5" t="s">
        <v>5</v>
      </c>
      <c r="B5" s="23" t="s">
        <v>177</v>
      </c>
    </row>
    <row r="6" spans="1:14" ht="15" thickBot="1" x14ac:dyDescent="0.25"/>
    <row r="7" spans="1:14" ht="19.5" customHeight="1" thickTop="1" x14ac:dyDescent="0.2">
      <c r="E7" s="33" t="s">
        <v>178</v>
      </c>
      <c r="F7" s="34"/>
      <c r="G7" s="35"/>
      <c r="H7" s="45" t="s">
        <v>179</v>
      </c>
      <c r="I7" s="46"/>
      <c r="J7" s="46"/>
      <c r="K7" s="39" t="s">
        <v>180</v>
      </c>
      <c r="L7" s="48"/>
      <c r="M7" s="40"/>
      <c r="N7" s="43" t="s">
        <v>181</v>
      </c>
    </row>
    <row r="8" spans="1:14" ht="19.5" customHeight="1" thickBot="1" x14ac:dyDescent="0.25">
      <c r="E8" s="36"/>
      <c r="F8" s="37"/>
      <c r="G8" s="38"/>
      <c r="H8" s="45"/>
      <c r="I8" s="46"/>
      <c r="J8" s="46"/>
      <c r="K8" s="41"/>
      <c r="L8" s="49"/>
      <c r="M8" s="42"/>
      <c r="N8" s="44"/>
    </row>
    <row r="9" spans="1:14" ht="15.75" thickTop="1" thickBot="1" x14ac:dyDescent="0.25"/>
    <row r="10" spans="1:14" ht="61.5" customHeight="1" thickTop="1" thickBot="1" x14ac:dyDescent="0.25">
      <c r="B10" s="21" t="s">
        <v>16</v>
      </c>
      <c r="C10" s="17" t="s">
        <v>247</v>
      </c>
      <c r="D10" s="17" t="s">
        <v>248</v>
      </c>
      <c r="E10" s="18" t="s">
        <v>18</v>
      </c>
      <c r="F10" s="19" t="s">
        <v>182</v>
      </c>
      <c r="G10" s="19" t="s">
        <v>183</v>
      </c>
      <c r="H10" s="19" t="s">
        <v>184</v>
      </c>
      <c r="I10" s="19" t="s">
        <v>185</v>
      </c>
      <c r="J10" s="19" t="s">
        <v>186</v>
      </c>
      <c r="K10" s="10" t="s">
        <v>187</v>
      </c>
      <c r="L10" s="10" t="s">
        <v>568</v>
      </c>
      <c r="M10" s="10" t="s">
        <v>569</v>
      </c>
      <c r="N10" s="10" t="s">
        <v>189</v>
      </c>
    </row>
    <row r="11" spans="1:14" ht="15" thickTop="1" x14ac:dyDescent="0.2">
      <c r="K11" t="str">
        <f>IF(表1_536[[#This Row],[配件1]]&lt;&gt;"",_xlfn.XLOOKUP(表1_536[[#This Row],[配件1]],显卡利益点对照表[型号],显卡利益点对照表[可显性],"ERROR"),"")</f>
        <v/>
      </c>
    </row>
    <row r="12" spans="1:14" x14ac:dyDescent="0.2">
      <c r="B12" s="22">
        <v>10166472874125</v>
      </c>
      <c r="C12" t="s">
        <v>544</v>
      </c>
      <c r="E12" t="s">
        <v>585</v>
      </c>
      <c r="F12" t="s">
        <v>602</v>
      </c>
      <c r="G12" t="s">
        <v>603</v>
      </c>
      <c r="H12" t="s">
        <v>229</v>
      </c>
      <c r="I12" t="s">
        <v>605</v>
      </c>
      <c r="J12" t="s">
        <v>604</v>
      </c>
      <c r="K12" t="str">
        <f>IF(表1_536[[#This Row],[配件1]]&lt;&gt;"",_xlfn.XLOOKUP(表1_536[[#This Row],[配件1]],显卡利益点对照表[型号],显卡利益点对照表[可显性],"ERROR"),"")</f>
        <v>GV-N5060WF2MAX OC-8GD</v>
      </c>
      <c r="L12" t="s">
        <v>574</v>
      </c>
      <c r="M12" t="s">
        <v>572</v>
      </c>
      <c r="N12" t="s">
        <v>573</v>
      </c>
    </row>
    <row r="13" spans="1:14" x14ac:dyDescent="0.2">
      <c r="B13" s="22">
        <v>10166472874127</v>
      </c>
      <c r="C13" t="s">
        <v>464</v>
      </c>
      <c r="E13" t="s">
        <v>587</v>
      </c>
      <c r="F13" t="s">
        <v>602</v>
      </c>
      <c r="G13" t="s">
        <v>603</v>
      </c>
      <c r="H13" t="s">
        <v>240</v>
      </c>
      <c r="I13" t="s">
        <v>605</v>
      </c>
      <c r="J13" t="s">
        <v>604</v>
      </c>
      <c r="K13" t="str">
        <f>IF(表1_536[[#This Row],[配件1]]&lt;&gt;"",_xlfn.XLOOKUP(表1_536[[#This Row],[配件1]],显卡利益点对照表[型号],显卡利益点对照表[可显性],"ERROR"),"")</f>
        <v>GV-N5060GAMING OC-8GD</v>
      </c>
      <c r="L13" t="s">
        <v>574</v>
      </c>
      <c r="M13" t="s">
        <v>572</v>
      </c>
      <c r="N13" t="s">
        <v>573</v>
      </c>
    </row>
    <row r="14" spans="1:14" x14ac:dyDescent="0.2">
      <c r="B14" s="22">
        <v>10166472874129</v>
      </c>
      <c r="C14" t="s">
        <v>465</v>
      </c>
      <c r="E14" t="s">
        <v>589</v>
      </c>
      <c r="F14" t="s">
        <v>602</v>
      </c>
      <c r="G14" t="s">
        <v>603</v>
      </c>
      <c r="H14" t="s">
        <v>241</v>
      </c>
      <c r="I14" t="s">
        <v>605</v>
      </c>
      <c r="J14" t="s">
        <v>604</v>
      </c>
      <c r="K14" t="str">
        <f>IF(表1_536[[#This Row],[配件1]]&lt;&gt;"",_xlfn.XLOOKUP(表1_536[[#This Row],[配件1]],显卡利益点对照表[型号],显卡利益点对照表[可显性],"ERROR"),"")</f>
        <v>GV-N5060AERO OC-8GD</v>
      </c>
      <c r="L14" t="s">
        <v>574</v>
      </c>
      <c r="M14" t="s">
        <v>572</v>
      </c>
      <c r="N14" t="s">
        <v>573</v>
      </c>
    </row>
    <row r="15" spans="1:14" x14ac:dyDescent="0.2">
      <c r="B15" s="22">
        <v>10166472874131</v>
      </c>
      <c r="C15" t="s">
        <v>570</v>
      </c>
      <c r="E15" t="s">
        <v>590</v>
      </c>
      <c r="F15" t="s">
        <v>602</v>
      </c>
      <c r="G15" t="s">
        <v>603</v>
      </c>
      <c r="H15" t="s">
        <v>229</v>
      </c>
      <c r="I15" t="s">
        <v>605</v>
      </c>
      <c r="J15" t="s">
        <v>604</v>
      </c>
      <c r="K15" t="str">
        <f>IF(表1_536[[#This Row],[配件1]]&lt;&gt;"",_xlfn.XLOOKUP(表1_536[[#This Row],[配件1]],显卡利益点对照表[型号],显卡利益点对照表[可显性],"ERROR"),"")</f>
        <v>GV-N506TWF2MAX OC-8GD</v>
      </c>
      <c r="L15" t="s">
        <v>574</v>
      </c>
      <c r="M15" t="s">
        <v>572</v>
      </c>
      <c r="N15" t="s">
        <v>573</v>
      </c>
    </row>
    <row r="16" spans="1:14" x14ac:dyDescent="0.2">
      <c r="B16" s="22">
        <v>10166472874133</v>
      </c>
      <c r="C16" t="s">
        <v>255</v>
      </c>
      <c r="E16" t="s">
        <v>591</v>
      </c>
      <c r="F16" t="s">
        <v>602</v>
      </c>
      <c r="G16" t="s">
        <v>603</v>
      </c>
      <c r="H16" t="s">
        <v>240</v>
      </c>
      <c r="I16" t="s">
        <v>605</v>
      </c>
      <c r="J16" t="s">
        <v>604</v>
      </c>
      <c r="K16" t="str">
        <f>IF(表1_536[[#This Row],[配件1]]&lt;&gt;"",_xlfn.XLOOKUP(表1_536[[#This Row],[配件1]],显卡利益点对照表[型号],显卡利益点对照表[可显性],"ERROR"),"")</f>
        <v>GV-N506TGAMING OC-16GD</v>
      </c>
      <c r="L16" t="s">
        <v>574</v>
      </c>
      <c r="M16" t="s">
        <v>572</v>
      </c>
      <c r="N16" t="s">
        <v>573</v>
      </c>
    </row>
    <row r="17" spans="2:14" x14ac:dyDescent="0.2">
      <c r="B17" s="22">
        <v>10166472874135</v>
      </c>
      <c r="C17" t="s">
        <v>571</v>
      </c>
      <c r="E17" t="s">
        <v>590</v>
      </c>
      <c r="F17" t="s">
        <v>602</v>
      </c>
      <c r="G17" t="s">
        <v>603</v>
      </c>
      <c r="H17" t="s">
        <v>229</v>
      </c>
      <c r="I17" t="s">
        <v>605</v>
      </c>
      <c r="J17" t="s">
        <v>604</v>
      </c>
      <c r="K17" t="str">
        <f>IF(表1_536[[#This Row],[配件1]]&lt;&gt;"",_xlfn.XLOOKUP(表1_536[[#This Row],[配件1]],显卡利益点对照表[型号],显卡利益点对照表[可显性],"ERROR"),"")</f>
        <v>GV-N506TWF2MAX OC-16GD</v>
      </c>
      <c r="L17" t="s">
        <v>574</v>
      </c>
      <c r="M17" t="s">
        <v>572</v>
      </c>
      <c r="N17" t="s">
        <v>573</v>
      </c>
    </row>
    <row r="18" spans="2:14" x14ac:dyDescent="0.2">
      <c r="B18" s="22">
        <v>10166472874137</v>
      </c>
      <c r="C18" t="s">
        <v>256</v>
      </c>
      <c r="E18" t="s">
        <v>591</v>
      </c>
      <c r="F18" t="s">
        <v>602</v>
      </c>
      <c r="G18" t="s">
        <v>603</v>
      </c>
      <c r="H18" t="s">
        <v>240</v>
      </c>
      <c r="I18" t="s">
        <v>605</v>
      </c>
      <c r="J18" t="s">
        <v>604</v>
      </c>
      <c r="K18" t="str">
        <f>IF(表1_536[[#This Row],[配件1]]&lt;&gt;"",_xlfn.XLOOKUP(表1_536[[#This Row],[配件1]],显卡利益点对照表[型号],显卡利益点对照表[可显性],"ERROR"),"")</f>
        <v>GV-N506TGAMING OC-16GD</v>
      </c>
      <c r="L18" t="s">
        <v>574</v>
      </c>
      <c r="M18" t="s">
        <v>572</v>
      </c>
      <c r="N18" t="s">
        <v>573</v>
      </c>
    </row>
    <row r="19" spans="2:14" x14ac:dyDescent="0.2">
      <c r="B19" s="22">
        <v>10166472874139</v>
      </c>
      <c r="C19" t="s">
        <v>252</v>
      </c>
      <c r="E19" t="s">
        <v>592</v>
      </c>
      <c r="F19" t="s">
        <v>602</v>
      </c>
      <c r="G19" t="s">
        <v>603</v>
      </c>
      <c r="H19" t="s">
        <v>241</v>
      </c>
      <c r="I19" t="s">
        <v>605</v>
      </c>
      <c r="J19" t="s">
        <v>604</v>
      </c>
      <c r="K19" t="str">
        <f>IF(表1_536[[#This Row],[配件1]]&lt;&gt;"",_xlfn.XLOOKUP(表1_536[[#This Row],[配件1]],显卡利益点对照表[型号],显卡利益点对照表[可显性],"ERROR"),"")</f>
        <v>GV-N506TAERO OC-16GD</v>
      </c>
      <c r="L19" t="s">
        <v>574</v>
      </c>
      <c r="M19" t="s">
        <v>572</v>
      </c>
      <c r="N19" t="s">
        <v>573</v>
      </c>
    </row>
    <row r="20" spans="2:14" x14ac:dyDescent="0.2">
      <c r="B20" s="22">
        <v>10146186725161</v>
      </c>
      <c r="C20" t="s">
        <v>57</v>
      </c>
      <c r="E20" t="s">
        <v>593</v>
      </c>
      <c r="F20" t="s">
        <v>602</v>
      </c>
      <c r="G20" t="s">
        <v>603</v>
      </c>
      <c r="H20" t="s">
        <v>323</v>
      </c>
      <c r="I20" t="s">
        <v>605</v>
      </c>
      <c r="J20" t="s">
        <v>604</v>
      </c>
      <c r="K20" t="str">
        <f>IF(表1_536[[#This Row],[配件1]]&lt;&gt;"",_xlfn.XLOOKUP(表1_536[[#This Row],[配件1]],显卡利益点对照表[型号],显卡利益点对照表[可显性],"ERROR"),"")</f>
        <v>GV-N5070EAGLE OC-12GD</v>
      </c>
      <c r="L20" t="s">
        <v>574</v>
      </c>
      <c r="M20" t="s">
        <v>572</v>
      </c>
      <c r="N20" t="s">
        <v>573</v>
      </c>
    </row>
    <row r="21" spans="2:14" x14ac:dyDescent="0.2">
      <c r="B21" s="22">
        <v>10146186725163</v>
      </c>
      <c r="C21" t="s">
        <v>60</v>
      </c>
      <c r="E21" t="s">
        <v>595</v>
      </c>
      <c r="F21" t="s">
        <v>602</v>
      </c>
      <c r="G21" t="s">
        <v>603</v>
      </c>
      <c r="H21" t="s">
        <v>323</v>
      </c>
      <c r="I21" t="s">
        <v>605</v>
      </c>
      <c r="J21" t="s">
        <v>604</v>
      </c>
      <c r="K21" t="str">
        <f>IF(表1_536[[#This Row],[配件1]]&lt;&gt;"",_xlfn.XLOOKUP(表1_536[[#This Row],[配件1]],显卡利益点对照表[型号],显卡利益点对照表[可显性],"ERROR"),"")</f>
        <v>GV-N5070EAGLEOC ICE-12GD</v>
      </c>
      <c r="L21" t="s">
        <v>574</v>
      </c>
      <c r="M21" t="s">
        <v>572</v>
      </c>
      <c r="N21" t="s">
        <v>573</v>
      </c>
    </row>
    <row r="22" spans="2:14" x14ac:dyDescent="0.2">
      <c r="B22" s="22">
        <v>10146186725165</v>
      </c>
      <c r="C22" t="s">
        <v>61</v>
      </c>
      <c r="E22" t="s">
        <v>596</v>
      </c>
      <c r="F22" t="s">
        <v>602</v>
      </c>
      <c r="G22" t="s">
        <v>603</v>
      </c>
      <c r="H22" t="s">
        <v>202</v>
      </c>
      <c r="I22" t="s">
        <v>605</v>
      </c>
      <c r="J22" t="s">
        <v>604</v>
      </c>
      <c r="K22" t="str">
        <f>IF(表1_536[[#This Row],[配件1]]&lt;&gt;"",_xlfn.XLOOKUP(表1_536[[#This Row],[配件1]],显卡利益点对照表[型号],显卡利益点对照表[可显性],"ERROR"),"")</f>
        <v>GV-N5070GAMING OC-12GD</v>
      </c>
      <c r="L22" t="s">
        <v>574</v>
      </c>
      <c r="M22" t="s">
        <v>572</v>
      </c>
      <c r="N22" t="s">
        <v>573</v>
      </c>
    </row>
    <row r="23" spans="2:14" x14ac:dyDescent="0.2">
      <c r="B23" s="22">
        <v>10146186725167</v>
      </c>
      <c r="C23" t="s">
        <v>66</v>
      </c>
      <c r="E23" t="s">
        <v>597</v>
      </c>
      <c r="F23" t="s">
        <v>602</v>
      </c>
      <c r="G23" t="s">
        <v>603</v>
      </c>
      <c r="H23" t="s">
        <v>325</v>
      </c>
      <c r="I23" t="s">
        <v>605</v>
      </c>
      <c r="J23" t="s">
        <v>604</v>
      </c>
      <c r="K23" t="str">
        <f>IF(表1_536[[#This Row],[配件1]]&lt;&gt;"",_xlfn.XLOOKUP(表1_536[[#This Row],[配件1]],显卡利益点对照表[型号],显卡利益点对照表[可显性],"ERROR"),"")</f>
        <v>GV-N5070AERO OC-12GD</v>
      </c>
      <c r="L23" t="s">
        <v>574</v>
      </c>
      <c r="M23" t="s">
        <v>572</v>
      </c>
      <c r="N23" t="s">
        <v>573</v>
      </c>
    </row>
    <row r="24" spans="2:14" x14ac:dyDescent="0.2">
      <c r="B24" s="22">
        <v>10146186725169</v>
      </c>
      <c r="C24" t="s">
        <v>79</v>
      </c>
      <c r="E24" t="s">
        <v>598</v>
      </c>
      <c r="F24" t="s">
        <v>602</v>
      </c>
      <c r="G24" t="s">
        <v>603</v>
      </c>
      <c r="H24" t="s">
        <v>323</v>
      </c>
      <c r="I24" t="s">
        <v>605</v>
      </c>
      <c r="J24" t="s">
        <v>604</v>
      </c>
      <c r="K24" t="str">
        <f>IF(表1_536[[#This Row],[配件1]]&lt;&gt;"",_xlfn.XLOOKUP(表1_536[[#This Row],[配件1]],显卡利益点对照表[型号],显卡利益点对照表[可显性],"ERROR"),"")</f>
        <v>GV-N507TEAGLE OC-16GD</v>
      </c>
      <c r="L24" t="s">
        <v>574</v>
      </c>
      <c r="M24" t="s">
        <v>572</v>
      </c>
      <c r="N24" t="s">
        <v>573</v>
      </c>
    </row>
    <row r="25" spans="2:14" x14ac:dyDescent="0.2">
      <c r="B25" s="22">
        <v>10146186725171</v>
      </c>
      <c r="C25" t="s">
        <v>80</v>
      </c>
      <c r="E25" t="s">
        <v>599</v>
      </c>
      <c r="F25" t="s">
        <v>602</v>
      </c>
      <c r="G25" t="s">
        <v>603</v>
      </c>
      <c r="H25" t="s">
        <v>323</v>
      </c>
      <c r="I25" t="s">
        <v>605</v>
      </c>
      <c r="J25" t="s">
        <v>604</v>
      </c>
      <c r="K25" t="str">
        <f>IF(表1_536[[#This Row],[配件1]]&lt;&gt;"",_xlfn.XLOOKUP(表1_536[[#This Row],[配件1]],显卡利益点对照表[型号],显卡利益点对照表[可显性],"ERROR"),"")</f>
        <v>GV-N507TEAGLE OC ICE-16GD</v>
      </c>
      <c r="L25" t="s">
        <v>574</v>
      </c>
      <c r="M25" t="s">
        <v>572</v>
      </c>
      <c r="N25" t="s">
        <v>573</v>
      </c>
    </row>
    <row r="26" spans="2:14" x14ac:dyDescent="0.2">
      <c r="B26" s="22">
        <v>10146186725173</v>
      </c>
      <c r="C26" t="s">
        <v>82</v>
      </c>
      <c r="E26" t="s">
        <v>600</v>
      </c>
      <c r="F26" t="s">
        <v>602</v>
      </c>
      <c r="G26" t="s">
        <v>603</v>
      </c>
      <c r="H26" t="s">
        <v>202</v>
      </c>
      <c r="I26" t="s">
        <v>605</v>
      </c>
      <c r="J26" t="s">
        <v>604</v>
      </c>
      <c r="K26" t="str">
        <f>IF(表1_536[[#This Row],[配件1]]&lt;&gt;"",_xlfn.XLOOKUP(表1_536[[#This Row],[配件1]],显卡利益点对照表[型号],显卡利益点对照表[可显性],"ERROR"),"")</f>
        <v>GV-N507TGAMING OC-16GD</v>
      </c>
      <c r="L26" t="s">
        <v>574</v>
      </c>
      <c r="M26" t="s">
        <v>572</v>
      </c>
      <c r="N26" t="s">
        <v>573</v>
      </c>
    </row>
    <row r="27" spans="2:14" x14ac:dyDescent="0.2">
      <c r="B27" s="22">
        <v>10146186725175</v>
      </c>
      <c r="C27" t="s">
        <v>85</v>
      </c>
      <c r="E27" t="s">
        <v>601</v>
      </c>
      <c r="F27" t="s">
        <v>602</v>
      </c>
      <c r="G27" t="s">
        <v>603</v>
      </c>
      <c r="H27" t="s">
        <v>325</v>
      </c>
      <c r="I27" t="s">
        <v>605</v>
      </c>
      <c r="J27" t="s">
        <v>604</v>
      </c>
      <c r="K27" t="str">
        <f>IF(表1_536[[#This Row],[配件1]]&lt;&gt;"",_xlfn.XLOOKUP(表1_536[[#This Row],[配件1]],显卡利益点对照表[型号],显卡利益点对照表[可显性],"ERROR"),"")</f>
        <v>GV-N507TAERO OC-16GD</v>
      </c>
      <c r="L27" t="s">
        <v>574</v>
      </c>
      <c r="M27" t="s">
        <v>572</v>
      </c>
      <c r="N27" t="s">
        <v>573</v>
      </c>
    </row>
    <row r="28" spans="2:14" x14ac:dyDescent="0.2">
      <c r="K28" t="str">
        <f>IF(表1_536[[#This Row],[配件1]]&lt;&gt;"",_xlfn.XLOOKUP(表1_536[[#This Row],[配件1]],显卡利益点对照表[型号],显卡利益点对照表[可显性],"ERROR"),"")</f>
        <v/>
      </c>
    </row>
    <row r="29" spans="2:14" x14ac:dyDescent="0.2">
      <c r="B29" s="22">
        <v>10166472909496</v>
      </c>
      <c r="C29" t="s">
        <v>570</v>
      </c>
      <c r="E29" t="s">
        <v>590</v>
      </c>
      <c r="F29" t="s">
        <v>606</v>
      </c>
      <c r="G29" t="s">
        <v>603</v>
      </c>
      <c r="H29" t="s">
        <v>229</v>
      </c>
      <c r="I29" t="s">
        <v>607</v>
      </c>
      <c r="J29" t="s">
        <v>604</v>
      </c>
      <c r="K29" t="str">
        <f>IF(表1_536[[#This Row],[配件1]]&lt;&gt;"",_xlfn.XLOOKUP(表1_536[[#This Row],[配件1]],显卡利益点对照表[型号],显卡利益点对照表[可显性],"ERROR"),"")</f>
        <v>GV-N506TWF2MAX OC-8GD</v>
      </c>
      <c r="L29" t="s">
        <v>606</v>
      </c>
      <c r="M29" t="s">
        <v>572</v>
      </c>
      <c r="N29" t="s">
        <v>573</v>
      </c>
    </row>
    <row r="30" spans="2:14" x14ac:dyDescent="0.2">
      <c r="B30" s="22">
        <v>10166472909498</v>
      </c>
      <c r="C30" t="s">
        <v>255</v>
      </c>
      <c r="E30" t="s">
        <v>591</v>
      </c>
      <c r="F30" t="s">
        <v>606</v>
      </c>
      <c r="G30" t="s">
        <v>603</v>
      </c>
      <c r="H30" t="s">
        <v>240</v>
      </c>
      <c r="I30" t="s">
        <v>607</v>
      </c>
      <c r="J30" t="s">
        <v>604</v>
      </c>
      <c r="K30" t="str">
        <f>IF(表1_536[[#This Row],[配件1]]&lt;&gt;"",_xlfn.XLOOKUP(表1_536[[#This Row],[配件1]],显卡利益点对照表[型号],显卡利益点对照表[可显性],"ERROR"),"")</f>
        <v>GV-N506TGAMING OC-16GD</v>
      </c>
      <c r="L30" t="s">
        <v>606</v>
      </c>
      <c r="M30" t="s">
        <v>572</v>
      </c>
      <c r="N30" t="s">
        <v>573</v>
      </c>
    </row>
    <row r="31" spans="2:14" x14ac:dyDescent="0.2">
      <c r="B31" s="22">
        <v>10166472909500</v>
      </c>
      <c r="C31" t="s">
        <v>571</v>
      </c>
      <c r="E31" t="s">
        <v>590</v>
      </c>
      <c r="F31" t="s">
        <v>606</v>
      </c>
      <c r="G31" t="s">
        <v>603</v>
      </c>
      <c r="H31" t="s">
        <v>229</v>
      </c>
      <c r="I31" t="s">
        <v>607</v>
      </c>
      <c r="J31" t="s">
        <v>604</v>
      </c>
      <c r="K31" t="str">
        <f>IF(表1_536[[#This Row],[配件1]]&lt;&gt;"",_xlfn.XLOOKUP(表1_536[[#This Row],[配件1]],显卡利益点对照表[型号],显卡利益点对照表[可显性],"ERROR"),"")</f>
        <v>GV-N506TWF2MAX OC-16GD</v>
      </c>
      <c r="L31" t="s">
        <v>606</v>
      </c>
      <c r="M31" t="s">
        <v>572</v>
      </c>
      <c r="N31" t="s">
        <v>573</v>
      </c>
    </row>
    <row r="32" spans="2:14" x14ac:dyDescent="0.2">
      <c r="B32" s="22">
        <v>10166472909502</v>
      </c>
      <c r="C32" t="s">
        <v>256</v>
      </c>
      <c r="E32" t="s">
        <v>591</v>
      </c>
      <c r="F32" t="s">
        <v>606</v>
      </c>
      <c r="G32" t="s">
        <v>603</v>
      </c>
      <c r="H32" t="s">
        <v>240</v>
      </c>
      <c r="I32" t="s">
        <v>607</v>
      </c>
      <c r="J32" t="s">
        <v>604</v>
      </c>
      <c r="K32" t="str">
        <f>IF(表1_536[[#This Row],[配件1]]&lt;&gt;"",_xlfn.XLOOKUP(表1_536[[#This Row],[配件1]],显卡利益点对照表[型号],显卡利益点对照表[可显性],"ERROR"),"")</f>
        <v>GV-N506TGAMING OC-16GD</v>
      </c>
      <c r="L32" t="s">
        <v>606</v>
      </c>
      <c r="M32" t="s">
        <v>572</v>
      </c>
      <c r="N32" t="s">
        <v>573</v>
      </c>
    </row>
    <row r="33" spans="2:14" x14ac:dyDescent="0.2">
      <c r="B33" s="22">
        <v>10166472909504</v>
      </c>
      <c r="C33" t="s">
        <v>252</v>
      </c>
      <c r="E33" t="s">
        <v>592</v>
      </c>
      <c r="F33" t="s">
        <v>606</v>
      </c>
      <c r="G33" t="s">
        <v>603</v>
      </c>
      <c r="H33" t="s">
        <v>241</v>
      </c>
      <c r="I33" t="s">
        <v>607</v>
      </c>
      <c r="J33" t="s">
        <v>604</v>
      </c>
      <c r="K33" t="str">
        <f>IF(表1_536[[#This Row],[配件1]]&lt;&gt;"",_xlfn.XLOOKUP(表1_536[[#This Row],[配件1]],显卡利益点对照表[型号],显卡利益点对照表[可显性],"ERROR"),"")</f>
        <v>GV-N506TAERO OC-16GD</v>
      </c>
      <c r="L33" t="s">
        <v>606</v>
      </c>
      <c r="M33" t="s">
        <v>572</v>
      </c>
      <c r="N33" t="s">
        <v>573</v>
      </c>
    </row>
    <row r="34" spans="2:14" x14ac:dyDescent="0.2">
      <c r="K34" t="str">
        <f>IF(表1_536[[#This Row],[配件1]]&lt;&gt;"",_xlfn.XLOOKUP(表1_536[[#This Row],[配件1]],显卡利益点对照表[型号],显卡利益点对照表[可显性],"ERROR"),"")</f>
        <v/>
      </c>
    </row>
    <row r="35" spans="2:14" x14ac:dyDescent="0.2">
      <c r="B35" s="22">
        <v>10146232466821</v>
      </c>
      <c r="C35" t="s">
        <v>61</v>
      </c>
      <c r="E35" t="s">
        <v>613</v>
      </c>
      <c r="F35" t="s">
        <v>621</v>
      </c>
      <c r="G35" t="s">
        <v>622</v>
      </c>
      <c r="H35" t="s">
        <v>623</v>
      </c>
      <c r="I35" t="s">
        <v>610</v>
      </c>
      <c r="J35" t="s">
        <v>604</v>
      </c>
      <c r="K35" t="str">
        <f>IF(表1_536[[#This Row],[配件1]]&lt;&gt;"",_xlfn.XLOOKUP(表1_536[[#This Row],[配件1]],显卡利益点对照表[型号],显卡利益点对照表[可显性],"ERROR"),"")</f>
        <v>GV-N5070GAMING OC-12GD</v>
      </c>
      <c r="L35" t="s">
        <v>609</v>
      </c>
      <c r="M35" t="s">
        <v>608</v>
      </c>
      <c r="N35" t="s">
        <v>573</v>
      </c>
    </row>
    <row r="36" spans="2:14" x14ac:dyDescent="0.2">
      <c r="B36" s="22">
        <v>10146232466822</v>
      </c>
      <c r="C36" t="s">
        <v>66</v>
      </c>
      <c r="E36" t="s">
        <v>620</v>
      </c>
      <c r="F36" t="s">
        <v>621</v>
      </c>
      <c r="G36" t="s">
        <v>622</v>
      </c>
      <c r="H36" t="s">
        <v>624</v>
      </c>
      <c r="I36" t="s">
        <v>610</v>
      </c>
      <c r="J36" t="s">
        <v>604</v>
      </c>
      <c r="K36" t="str">
        <f>IF(表1_536[[#This Row],[配件1]]&lt;&gt;"",_xlfn.XLOOKUP(表1_536[[#This Row],[配件1]],显卡利益点对照表[型号],显卡利益点对照表[可显性],"ERROR"),"")</f>
        <v>GV-N5070AERO OC-12GD</v>
      </c>
      <c r="L36" t="s">
        <v>609</v>
      </c>
      <c r="M36" t="s">
        <v>608</v>
      </c>
      <c r="N36" t="s">
        <v>573</v>
      </c>
    </row>
    <row r="37" spans="2:14" x14ac:dyDescent="0.2">
      <c r="B37" s="22">
        <v>10146232466825</v>
      </c>
      <c r="C37" t="s">
        <v>69</v>
      </c>
      <c r="E37" t="s">
        <v>615</v>
      </c>
      <c r="F37" t="s">
        <v>621</v>
      </c>
      <c r="G37" t="s">
        <v>622</v>
      </c>
      <c r="H37" t="s">
        <v>623</v>
      </c>
      <c r="I37" t="s">
        <v>610</v>
      </c>
      <c r="J37" t="s">
        <v>604</v>
      </c>
      <c r="K37" t="str">
        <f>IF(表1_536[[#This Row],[配件1]]&lt;&gt;"",_xlfn.XLOOKUP(表1_536[[#This Row],[配件1]],显卡利益点对照表[型号],显卡利益点对照表[可显性],"ERROR"),"")</f>
        <v>GV-N5070AORUS M-12GD</v>
      </c>
      <c r="L37" t="s">
        <v>609</v>
      </c>
      <c r="M37" t="s">
        <v>608</v>
      </c>
      <c r="N37" t="s">
        <v>573</v>
      </c>
    </row>
    <row r="38" spans="2:14" x14ac:dyDescent="0.2">
      <c r="B38" s="22">
        <v>10146232466823</v>
      </c>
      <c r="C38" t="s">
        <v>82</v>
      </c>
      <c r="E38" t="s">
        <v>612</v>
      </c>
      <c r="F38" t="s">
        <v>621</v>
      </c>
      <c r="G38" t="s">
        <v>622</v>
      </c>
      <c r="H38" t="s">
        <v>623</v>
      </c>
      <c r="I38" t="s">
        <v>610</v>
      </c>
      <c r="J38" t="s">
        <v>604</v>
      </c>
      <c r="K38" t="str">
        <f>IF(表1_536[[#This Row],[配件1]]&lt;&gt;"",_xlfn.XLOOKUP(表1_536[[#This Row],[配件1]],显卡利益点对照表[型号],显卡利益点对照表[可显性],"ERROR"),"")</f>
        <v>GV-N507TGAMING OC-16GD</v>
      </c>
      <c r="L38" t="s">
        <v>609</v>
      </c>
      <c r="M38" t="s">
        <v>608</v>
      </c>
      <c r="N38" t="s">
        <v>573</v>
      </c>
    </row>
    <row r="39" spans="2:14" x14ac:dyDescent="0.2">
      <c r="B39" s="22">
        <v>10146232466824</v>
      </c>
      <c r="C39" t="s">
        <v>85</v>
      </c>
      <c r="E39" t="s">
        <v>614</v>
      </c>
      <c r="F39" t="s">
        <v>621</v>
      </c>
      <c r="G39" t="s">
        <v>622</v>
      </c>
      <c r="H39" t="s">
        <v>624</v>
      </c>
      <c r="I39" t="s">
        <v>610</v>
      </c>
      <c r="J39" t="s">
        <v>604</v>
      </c>
      <c r="K39" t="str">
        <f>IF(表1_536[[#This Row],[配件1]]&lt;&gt;"",_xlfn.XLOOKUP(表1_536[[#This Row],[配件1]],显卡利益点对照表[型号],显卡利益点对照表[可显性],"ERROR"),"")</f>
        <v>GV-N507TAERO OC-16GD</v>
      </c>
      <c r="L39" t="s">
        <v>609</v>
      </c>
      <c r="M39" t="s">
        <v>608</v>
      </c>
      <c r="N39" t="s">
        <v>573</v>
      </c>
    </row>
    <row r="40" spans="2:14" x14ac:dyDescent="0.2">
      <c r="B40" s="22">
        <v>10146232466826</v>
      </c>
      <c r="C40" t="s">
        <v>86</v>
      </c>
      <c r="E40" t="s">
        <v>615</v>
      </c>
      <c r="F40" t="s">
        <v>621</v>
      </c>
      <c r="G40" t="s">
        <v>622</v>
      </c>
      <c r="H40" t="s">
        <v>623</v>
      </c>
      <c r="I40" t="s">
        <v>610</v>
      </c>
      <c r="J40" t="s">
        <v>604</v>
      </c>
      <c r="K40" t="str">
        <f>IF(表1_536[[#This Row],[配件1]]&lt;&gt;"",_xlfn.XLOOKUP(表1_536[[#This Row],[配件1]],显卡利益点对照表[型号],显卡利益点对照表[可显性],"ERROR"),"")</f>
        <v>GV-N507TAORUS M-16GD</v>
      </c>
      <c r="L40" t="s">
        <v>609</v>
      </c>
      <c r="M40" t="s">
        <v>608</v>
      </c>
      <c r="N40" t="s">
        <v>573</v>
      </c>
    </row>
    <row r="41" spans="2:14" x14ac:dyDescent="0.2">
      <c r="B41" s="22">
        <v>10146232466827</v>
      </c>
      <c r="C41" t="s">
        <v>96</v>
      </c>
      <c r="E41" t="s">
        <v>616</v>
      </c>
      <c r="F41" t="s">
        <v>621</v>
      </c>
      <c r="G41" t="s">
        <v>622</v>
      </c>
      <c r="H41" t="s">
        <v>623</v>
      </c>
      <c r="I41" t="s">
        <v>610</v>
      </c>
      <c r="J41" t="s">
        <v>604</v>
      </c>
      <c r="K41" t="str">
        <f>IF(表1_536[[#This Row],[配件1]]&lt;&gt;"",_xlfn.XLOOKUP(表1_536[[#This Row],[配件1]],显卡利益点对照表[型号],显卡利益点对照表[可显性],"ERROR"),"")</f>
        <v>GV-N5080GAMING OC-16GD</v>
      </c>
      <c r="L41" t="s">
        <v>609</v>
      </c>
      <c r="M41" t="s">
        <v>608</v>
      </c>
      <c r="N41" t="s">
        <v>573</v>
      </c>
    </row>
    <row r="42" spans="2:14" x14ac:dyDescent="0.2">
      <c r="B42" s="22">
        <v>10146232466828</v>
      </c>
      <c r="C42" t="s">
        <v>98</v>
      </c>
      <c r="E42" t="s">
        <v>617</v>
      </c>
      <c r="F42" t="s">
        <v>621</v>
      </c>
      <c r="G42" t="s">
        <v>622</v>
      </c>
      <c r="H42" t="s">
        <v>624</v>
      </c>
      <c r="I42" t="s">
        <v>610</v>
      </c>
      <c r="J42" t="s">
        <v>604</v>
      </c>
      <c r="K42" t="str">
        <f>IF(表1_536[[#This Row],[配件1]]&lt;&gt;"",_xlfn.XLOOKUP(表1_536[[#This Row],[配件1]],显卡利益点对照表[型号],显卡利益点对照表[可显性],"ERROR"),"")</f>
        <v>GV-N5080AERO OC-16GD</v>
      </c>
      <c r="L42" t="s">
        <v>609</v>
      </c>
      <c r="M42" t="s">
        <v>608</v>
      </c>
      <c r="N42" t="s">
        <v>573</v>
      </c>
    </row>
    <row r="43" spans="2:14" x14ac:dyDescent="0.2">
      <c r="B43" s="22">
        <v>10146232466829</v>
      </c>
      <c r="C43" t="s">
        <v>99</v>
      </c>
      <c r="E43" t="s">
        <v>618</v>
      </c>
      <c r="F43" t="s">
        <v>621</v>
      </c>
      <c r="G43" t="s">
        <v>622</v>
      </c>
      <c r="H43" t="s">
        <v>623</v>
      </c>
      <c r="I43" t="s">
        <v>610</v>
      </c>
      <c r="J43" t="s">
        <v>604</v>
      </c>
      <c r="K43" t="str">
        <f>IF(表1_536[[#This Row],[配件1]]&lt;&gt;"",_xlfn.XLOOKUP(表1_536[[#This Row],[配件1]],显卡利益点对照表[型号],显卡利益点对照表[可显性],"ERROR"),"")</f>
        <v>GV-N5080AORUS M-16GD</v>
      </c>
      <c r="L43" t="s">
        <v>609</v>
      </c>
      <c r="M43" t="s">
        <v>608</v>
      </c>
      <c r="N43" t="s">
        <v>573</v>
      </c>
    </row>
    <row r="44" spans="2:14" x14ac:dyDescent="0.2">
      <c r="B44" s="22">
        <v>10146232466830</v>
      </c>
      <c r="C44" t="s">
        <v>101</v>
      </c>
      <c r="E44" t="s">
        <v>619</v>
      </c>
      <c r="F44" t="s">
        <v>621</v>
      </c>
      <c r="G44" t="s">
        <v>622</v>
      </c>
      <c r="H44" t="s">
        <v>623</v>
      </c>
      <c r="I44" t="s">
        <v>610</v>
      </c>
      <c r="J44" t="s">
        <v>604</v>
      </c>
      <c r="K44" t="str">
        <f>IF(表1_536[[#This Row],[配件1]]&lt;&gt;"",_xlfn.XLOOKUP(表1_536[[#This Row],[配件1]],显卡利益点对照表[型号],显卡利益点对照表[可显性],"ERROR"),"")</f>
        <v>GV-N5080AORUSM ICE-16GD</v>
      </c>
      <c r="L44" t="s">
        <v>609</v>
      </c>
      <c r="M44" t="s">
        <v>608</v>
      </c>
      <c r="N44" t="s">
        <v>573</v>
      </c>
    </row>
    <row r="45" spans="2:14" x14ac:dyDescent="0.2">
      <c r="B45" s="22">
        <v>10146232466831</v>
      </c>
      <c r="C45" t="s">
        <v>611</v>
      </c>
      <c r="E45" t="s">
        <v>625</v>
      </c>
      <c r="F45" t="s">
        <v>621</v>
      </c>
      <c r="G45" t="s">
        <v>622</v>
      </c>
      <c r="H45" t="s">
        <v>623</v>
      </c>
      <c r="I45" t="s">
        <v>610</v>
      </c>
      <c r="J45" t="s">
        <v>604</v>
      </c>
      <c r="K45" t="str">
        <f>IF(表1_536[[#This Row],[配件1]]&lt;&gt;"",_xlfn.XLOOKUP(表1_536[[#This Row],[配件1]],显卡利益点对照表[型号],显卡利益点对照表[可显性],"ERROR"),"")</f>
        <v>GV-N509DGAMING OC-32GD</v>
      </c>
      <c r="L45" t="s">
        <v>609</v>
      </c>
      <c r="M45" t="s">
        <v>608</v>
      </c>
      <c r="N45" t="s">
        <v>573</v>
      </c>
    </row>
    <row r="46" spans="2:14" x14ac:dyDescent="0.2">
      <c r="B46" s="22">
        <v>10146232466832</v>
      </c>
      <c r="C46" t="s">
        <v>115</v>
      </c>
      <c r="E46" t="s">
        <v>626</v>
      </c>
      <c r="F46" t="s">
        <v>621</v>
      </c>
      <c r="G46" t="s">
        <v>622</v>
      </c>
      <c r="H46" t="s">
        <v>623</v>
      </c>
      <c r="I46" t="s">
        <v>610</v>
      </c>
      <c r="J46" t="s">
        <v>604</v>
      </c>
      <c r="K46" t="str">
        <f>IF(表1_536[[#This Row],[配件1]]&lt;&gt;"",_xlfn.XLOOKUP(表1_536[[#This Row],[配件1]],显卡利益点对照表[型号],显卡利益点对照表[可显性],"ERROR"),"")</f>
        <v>GV-N509DAORUS M-32GD</v>
      </c>
      <c r="L46" t="s">
        <v>609</v>
      </c>
      <c r="M46" t="s">
        <v>608</v>
      </c>
      <c r="N46" t="s">
        <v>573</v>
      </c>
    </row>
    <row r="47" spans="2:14" x14ac:dyDescent="0.2">
      <c r="B47" s="22">
        <v>10146232466833</v>
      </c>
      <c r="C47" t="s">
        <v>117</v>
      </c>
      <c r="E47" t="s">
        <v>627</v>
      </c>
      <c r="F47" t="s">
        <v>621</v>
      </c>
      <c r="G47" t="s">
        <v>622</v>
      </c>
      <c r="H47" t="s">
        <v>623</v>
      </c>
      <c r="I47" t="s">
        <v>610</v>
      </c>
      <c r="J47" t="s">
        <v>604</v>
      </c>
      <c r="K47" t="str">
        <f>IF(表1_536[[#This Row],[配件1]]&lt;&gt;"",_xlfn.XLOOKUP(表1_536[[#This Row],[配件1]],显卡利益点对照表[型号],显卡利益点对照表[可显性],"ERROR"),"")</f>
        <v>GV-N509DAORUSM ICE-32GD</v>
      </c>
      <c r="L47" t="s">
        <v>609</v>
      </c>
      <c r="M47" t="s">
        <v>608</v>
      </c>
      <c r="N47" t="s">
        <v>573</v>
      </c>
    </row>
    <row r="49" spans="2:14" x14ac:dyDescent="0.2">
      <c r="B49" s="22">
        <v>10145436409689</v>
      </c>
      <c r="C49" t="s">
        <v>652</v>
      </c>
      <c r="E49" t="s">
        <v>653</v>
      </c>
      <c r="F49" t="s">
        <v>666</v>
      </c>
      <c r="G49" t="s">
        <v>664</v>
      </c>
      <c r="H49" t="s">
        <v>269</v>
      </c>
      <c r="I49" t="s">
        <v>665</v>
      </c>
      <c r="J49" t="s">
        <v>604</v>
      </c>
      <c r="K49" t="str">
        <f>IF(表1_536[[#This Row],[配件1]]&lt;&gt;"",_xlfn.XLOOKUP(表1_536[[#This Row],[配件1]],显卡利益点对照表[型号],显卡利益点对照表[可显性],"ERROR"),"")</f>
        <v>GV-R77XTGAMING OC-12GD</v>
      </c>
      <c r="M49" t="s">
        <v>651</v>
      </c>
      <c r="N49" t="s">
        <v>659</v>
      </c>
    </row>
    <row r="50" spans="2:14" x14ac:dyDescent="0.2">
      <c r="B50" s="22">
        <v>10167203802269</v>
      </c>
      <c r="C50" t="s">
        <v>482</v>
      </c>
      <c r="E50" t="s">
        <v>654</v>
      </c>
      <c r="F50" t="s">
        <v>666</v>
      </c>
      <c r="G50" t="s">
        <v>664</v>
      </c>
      <c r="H50" t="s">
        <v>667</v>
      </c>
      <c r="I50" t="s">
        <v>665</v>
      </c>
      <c r="J50" t="s">
        <v>604</v>
      </c>
      <c r="K50" t="str">
        <f>IF(表1_536[[#This Row],[配件1]]&lt;&gt;"",_xlfn.XLOOKUP(表1_536[[#This Row],[配件1]],显卡利益点对照表[型号],显卡利益点对照表[可显性],"ERROR"),"")</f>
        <v>GV-R9060XTGAMING-8GD</v>
      </c>
      <c r="M50" t="s">
        <v>651</v>
      </c>
      <c r="N50" t="s">
        <v>659</v>
      </c>
    </row>
    <row r="51" spans="2:14" x14ac:dyDescent="0.2">
      <c r="B51" s="22">
        <v>10167203802273</v>
      </c>
      <c r="C51" t="s">
        <v>483</v>
      </c>
      <c r="E51" t="s">
        <v>654</v>
      </c>
      <c r="F51" t="s">
        <v>666</v>
      </c>
      <c r="G51" t="s">
        <v>664</v>
      </c>
      <c r="H51" t="s">
        <v>667</v>
      </c>
      <c r="I51" t="s">
        <v>665</v>
      </c>
      <c r="J51" t="s">
        <v>604</v>
      </c>
      <c r="K51" t="str">
        <f>IF(表1_536[[#This Row],[配件1]]&lt;&gt;"",_xlfn.XLOOKUP(表1_536[[#This Row],[配件1]],显卡利益点对照表[型号],显卡利益点对照表[可显性],"ERROR"),"")</f>
        <v>GV-R9060XTGAMING-16GD</v>
      </c>
      <c r="M51" t="s">
        <v>651</v>
      </c>
      <c r="N51" t="s">
        <v>659</v>
      </c>
    </row>
    <row r="52" spans="2:14" x14ac:dyDescent="0.2">
      <c r="B52" s="22">
        <v>10145436409693</v>
      </c>
      <c r="C52" t="s">
        <v>426</v>
      </c>
      <c r="E52" t="s">
        <v>655</v>
      </c>
      <c r="F52" t="s">
        <v>666</v>
      </c>
      <c r="G52" t="s">
        <v>664</v>
      </c>
      <c r="H52" t="s">
        <v>335</v>
      </c>
      <c r="I52" t="s">
        <v>665</v>
      </c>
      <c r="J52" t="s">
        <v>604</v>
      </c>
      <c r="K52" t="str">
        <f>IF(表1_536[[#This Row],[配件1]]&lt;&gt;"",_xlfn.XLOOKUP(表1_536[[#This Row],[配件1]],显卡利益点对照表[型号],显卡利益点对照表[可显性],"ERROR"),"")</f>
        <v>GV-R907GREGAMING OC-12GD</v>
      </c>
      <c r="M52" t="s">
        <v>651</v>
      </c>
      <c r="N52" t="s">
        <v>659</v>
      </c>
    </row>
    <row r="53" spans="2:14" x14ac:dyDescent="0.2">
      <c r="B53" s="22">
        <v>10145436409697</v>
      </c>
      <c r="C53" t="s">
        <v>427</v>
      </c>
      <c r="E53" t="s">
        <v>656</v>
      </c>
      <c r="F53" t="s">
        <v>666</v>
      </c>
      <c r="G53" t="s">
        <v>664</v>
      </c>
      <c r="H53" t="s">
        <v>335</v>
      </c>
      <c r="I53" t="s">
        <v>665</v>
      </c>
      <c r="J53" t="s">
        <v>604</v>
      </c>
      <c r="K53" t="str">
        <f>IF(表1_536[[#This Row],[配件1]]&lt;&gt;"",_xlfn.XLOOKUP(表1_536[[#This Row],[配件1]],显卡利益点对照表[型号],显卡利益点对照表[可显性],"ERROR"),"")</f>
        <v>GV-R9070GAMING OC</v>
      </c>
      <c r="M53" t="s">
        <v>651</v>
      </c>
      <c r="N53" t="s">
        <v>659</v>
      </c>
    </row>
    <row r="54" spans="2:14" x14ac:dyDescent="0.2">
      <c r="B54" s="22">
        <v>10145436409701</v>
      </c>
      <c r="C54" t="s">
        <v>428</v>
      </c>
      <c r="E54" t="s">
        <v>657</v>
      </c>
      <c r="F54" t="s">
        <v>666</v>
      </c>
      <c r="G54" t="s">
        <v>664</v>
      </c>
      <c r="H54" t="s">
        <v>335</v>
      </c>
      <c r="I54" t="s">
        <v>665</v>
      </c>
      <c r="J54" t="s">
        <v>604</v>
      </c>
      <c r="K54" t="str">
        <f>IF(表1_536[[#This Row],[配件1]]&lt;&gt;"",_xlfn.XLOOKUP(表1_536[[#This Row],[配件1]],显卡利益点对照表[型号],显卡利益点对照表[可显性],"ERROR"),"")</f>
        <v>GV-R9070XTGAMING OC</v>
      </c>
      <c r="M54" t="s">
        <v>651</v>
      </c>
      <c r="N54" t="s">
        <v>659</v>
      </c>
    </row>
    <row r="55" spans="2:14" x14ac:dyDescent="0.2">
      <c r="B55" s="22">
        <v>10145436409705</v>
      </c>
      <c r="C55" t="s">
        <v>429</v>
      </c>
      <c r="E55" t="s">
        <v>658</v>
      </c>
      <c r="F55" t="s">
        <v>666</v>
      </c>
      <c r="G55" t="s">
        <v>664</v>
      </c>
      <c r="H55" t="s">
        <v>202</v>
      </c>
      <c r="I55" t="s">
        <v>665</v>
      </c>
      <c r="J55" t="s">
        <v>663</v>
      </c>
      <c r="K55" t="str">
        <f>IF(表1_536[[#This Row],[配件1]]&lt;&gt;"",_xlfn.XLOOKUP(表1_536[[#This Row],[配件1]],显卡利益点对照表[型号],显卡利益点对照表[可显性],"ERROR"),"")</f>
        <v>GV-R9070XTAORUS E</v>
      </c>
      <c r="M55" t="s">
        <v>651</v>
      </c>
      <c r="N55" t="s">
        <v>659</v>
      </c>
    </row>
    <row r="56" spans="2:14" x14ac:dyDescent="0.2">
      <c r="K56" t="str">
        <f>IF(表1_536[[#This Row],[配件1]]&lt;&gt;"",_xlfn.XLOOKUP(表1_536[[#This Row],[配件1]],显卡利益点对照表[型号],显卡利益点对照表[可显性],"ERROR"),"")</f>
        <v/>
      </c>
    </row>
    <row r="57" spans="2:14" x14ac:dyDescent="0.2">
      <c r="K57" t="str">
        <f>IF(表1_536[[#This Row],[配件1]]&lt;&gt;"",_xlfn.XLOOKUP(表1_536[[#This Row],[配件1]],显卡利益点对照表[型号],显卡利益点对照表[可显性],"ERROR"),"")</f>
        <v/>
      </c>
    </row>
    <row r="58" spans="2:14" x14ac:dyDescent="0.2">
      <c r="K58" t="str">
        <f>IF(表1_536[[#This Row],[配件1]]&lt;&gt;"",_xlfn.XLOOKUP(表1_536[[#This Row],[配件1]],显卡利益点对照表[型号],显卡利益点对照表[可显性],"ERROR"),"")</f>
        <v/>
      </c>
    </row>
    <row r="59" spans="2:14" x14ac:dyDescent="0.2">
      <c r="K59" t="str">
        <f>IF(表1_536[[#This Row],[配件1]]&lt;&gt;"",_xlfn.XLOOKUP(表1_536[[#This Row],[配件1]],显卡利益点对照表[型号],显卡利益点对照表[可显性],"ERROR"),"")</f>
        <v/>
      </c>
    </row>
    <row r="60" spans="2:14" x14ac:dyDescent="0.2">
      <c r="K60" t="str">
        <f>IF(表1_536[[#This Row],[配件1]]&lt;&gt;"",_xlfn.XLOOKUP(表1_536[[#This Row],[配件1]],显卡利益点对照表[型号],显卡利益点对照表[可显性],"ERROR"),"")</f>
        <v/>
      </c>
    </row>
    <row r="65" spans="5:11" x14ac:dyDescent="0.2">
      <c r="E65" t="s">
        <v>579</v>
      </c>
      <c r="F65" t="s">
        <v>226</v>
      </c>
      <c r="G65" t="s">
        <v>586</v>
      </c>
      <c r="H65" t="s">
        <v>580</v>
      </c>
      <c r="I65" t="s">
        <v>228</v>
      </c>
      <c r="J65" t="s">
        <v>229</v>
      </c>
      <c r="K65" t="s">
        <v>230</v>
      </c>
    </row>
    <row r="66" spans="5:11" x14ac:dyDescent="0.2">
      <c r="E66" t="s">
        <v>579</v>
      </c>
      <c r="F66" t="s">
        <v>238</v>
      </c>
      <c r="G66" t="s">
        <v>588</v>
      </c>
      <c r="H66" t="s">
        <v>239</v>
      </c>
      <c r="I66" t="s">
        <v>228</v>
      </c>
      <c r="J66" t="s">
        <v>240</v>
      </c>
      <c r="K66" t="s">
        <v>203</v>
      </c>
    </row>
    <row r="67" spans="5:11" x14ac:dyDescent="0.2">
      <c r="E67" t="s">
        <v>579</v>
      </c>
      <c r="F67" t="s">
        <v>581</v>
      </c>
      <c r="G67" t="s">
        <v>589</v>
      </c>
      <c r="H67" t="s">
        <v>211</v>
      </c>
      <c r="I67" t="s">
        <v>228</v>
      </c>
      <c r="J67" t="s">
        <v>241</v>
      </c>
      <c r="K67" t="s">
        <v>203</v>
      </c>
    </row>
    <row r="68" spans="5:11" x14ac:dyDescent="0.2">
      <c r="E68" t="s">
        <v>225</v>
      </c>
      <c r="F68" t="s">
        <v>226</v>
      </c>
      <c r="G68" t="s">
        <v>590</v>
      </c>
      <c r="H68" t="s">
        <v>232</v>
      </c>
      <c r="I68" t="s">
        <v>228</v>
      </c>
      <c r="J68" t="s">
        <v>229</v>
      </c>
      <c r="K68" t="s">
        <v>230</v>
      </c>
    </row>
    <row r="69" spans="5:11" x14ac:dyDescent="0.2">
      <c r="E69" t="s">
        <v>225</v>
      </c>
      <c r="F69" t="s">
        <v>238</v>
      </c>
      <c r="G69" t="s">
        <v>591</v>
      </c>
      <c r="H69" t="s">
        <v>239</v>
      </c>
      <c r="I69" t="s">
        <v>228</v>
      </c>
      <c r="J69" t="s">
        <v>240</v>
      </c>
      <c r="K69" t="s">
        <v>584</v>
      </c>
    </row>
    <row r="70" spans="5:11" x14ac:dyDescent="0.2">
      <c r="E70" t="s">
        <v>225</v>
      </c>
      <c r="F70" t="s">
        <v>198</v>
      </c>
      <c r="G70" t="s">
        <v>590</v>
      </c>
      <c r="H70" t="s">
        <v>232</v>
      </c>
      <c r="I70" t="s">
        <v>228</v>
      </c>
      <c r="J70" t="s">
        <v>229</v>
      </c>
      <c r="K70" t="s">
        <v>555</v>
      </c>
    </row>
    <row r="71" spans="5:11" x14ac:dyDescent="0.2">
      <c r="E71" t="s">
        <v>225</v>
      </c>
      <c r="F71" t="s">
        <v>199</v>
      </c>
      <c r="G71" t="s">
        <v>591</v>
      </c>
      <c r="H71" t="s">
        <v>239</v>
      </c>
      <c r="I71" t="s">
        <v>228</v>
      </c>
      <c r="J71" t="s">
        <v>240</v>
      </c>
      <c r="K71" t="s">
        <v>584</v>
      </c>
    </row>
    <row r="72" spans="5:11" x14ac:dyDescent="0.2">
      <c r="E72" t="s">
        <v>225</v>
      </c>
      <c r="F72" t="s">
        <v>582</v>
      </c>
      <c r="G72" t="s">
        <v>592</v>
      </c>
      <c r="H72" t="s">
        <v>211</v>
      </c>
      <c r="I72" t="s">
        <v>228</v>
      </c>
      <c r="J72" t="s">
        <v>241</v>
      </c>
      <c r="K72" t="s">
        <v>584</v>
      </c>
    </row>
    <row r="73" spans="5:11" x14ac:dyDescent="0.2">
      <c r="E73" t="s">
        <v>583</v>
      </c>
      <c r="F73" t="s">
        <v>358</v>
      </c>
      <c r="G73" t="s">
        <v>594</v>
      </c>
      <c r="H73" t="s">
        <v>327</v>
      </c>
      <c r="I73" t="s">
        <v>322</v>
      </c>
      <c r="J73" t="s">
        <v>323</v>
      </c>
      <c r="K73" t="s">
        <v>324</v>
      </c>
    </row>
    <row r="74" spans="5:11" x14ac:dyDescent="0.2">
      <c r="E74" t="s">
        <v>583</v>
      </c>
      <c r="F74" t="s">
        <v>359</v>
      </c>
      <c r="G74" t="s">
        <v>595</v>
      </c>
      <c r="H74" t="s">
        <v>328</v>
      </c>
      <c r="I74" t="s">
        <v>322</v>
      </c>
      <c r="J74" t="s">
        <v>323</v>
      </c>
      <c r="K74" t="s">
        <v>324</v>
      </c>
    </row>
    <row r="75" spans="5:11" x14ac:dyDescent="0.2">
      <c r="E75" t="s">
        <v>583</v>
      </c>
      <c r="F75" t="s">
        <v>360</v>
      </c>
      <c r="G75" t="s">
        <v>596</v>
      </c>
      <c r="H75" t="s">
        <v>329</v>
      </c>
      <c r="I75" t="s">
        <v>244</v>
      </c>
      <c r="J75" t="s">
        <v>202</v>
      </c>
      <c r="K75" t="s">
        <v>324</v>
      </c>
    </row>
    <row r="76" spans="5:11" x14ac:dyDescent="0.2">
      <c r="E76" t="s">
        <v>583</v>
      </c>
      <c r="F76" t="s">
        <v>361</v>
      </c>
      <c r="G76" t="s">
        <v>597</v>
      </c>
      <c r="H76" t="s">
        <v>211</v>
      </c>
      <c r="I76" t="s">
        <v>244</v>
      </c>
      <c r="J76" t="s">
        <v>325</v>
      </c>
      <c r="K76" t="s">
        <v>324</v>
      </c>
    </row>
    <row r="77" spans="5:11" x14ac:dyDescent="0.2">
      <c r="E77" t="s">
        <v>315</v>
      </c>
      <c r="F77" t="s">
        <v>317</v>
      </c>
      <c r="G77" t="s">
        <v>598</v>
      </c>
      <c r="H77" t="s">
        <v>327</v>
      </c>
      <c r="I77" t="s">
        <v>322</v>
      </c>
      <c r="J77" t="s">
        <v>323</v>
      </c>
      <c r="K77" t="s">
        <v>324</v>
      </c>
    </row>
    <row r="78" spans="5:11" x14ac:dyDescent="0.2">
      <c r="E78" t="s">
        <v>315</v>
      </c>
      <c r="F78" t="s">
        <v>318</v>
      </c>
      <c r="G78" t="s">
        <v>599</v>
      </c>
      <c r="H78" t="s">
        <v>328</v>
      </c>
      <c r="I78" t="s">
        <v>322</v>
      </c>
      <c r="J78" t="s">
        <v>323</v>
      </c>
      <c r="K78" t="s">
        <v>324</v>
      </c>
    </row>
    <row r="79" spans="5:11" x14ac:dyDescent="0.2">
      <c r="E79" t="s">
        <v>315</v>
      </c>
      <c r="F79" t="s">
        <v>319</v>
      </c>
      <c r="G79" t="s">
        <v>600</v>
      </c>
      <c r="H79" t="s">
        <v>329</v>
      </c>
      <c r="I79" t="s">
        <v>244</v>
      </c>
      <c r="J79" t="s">
        <v>202</v>
      </c>
      <c r="K79" t="s">
        <v>324</v>
      </c>
    </row>
    <row r="80" spans="5:11" x14ac:dyDescent="0.2">
      <c r="E80" t="s">
        <v>315</v>
      </c>
      <c r="F80" t="s">
        <v>320</v>
      </c>
      <c r="G80" t="s">
        <v>601</v>
      </c>
      <c r="H80" t="s">
        <v>211</v>
      </c>
      <c r="I80" t="s">
        <v>244</v>
      </c>
      <c r="J80" t="s">
        <v>325</v>
      </c>
      <c r="K80" t="s">
        <v>324</v>
      </c>
    </row>
  </sheetData>
  <mergeCells count="4">
    <mergeCell ref="E7:G8"/>
    <mergeCell ref="H7:J8"/>
    <mergeCell ref="K7:M8"/>
    <mergeCell ref="N7:N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AF3D-1BC2-4883-AD24-F9F7C28A1FC0}">
  <sheetPr codeName="Sheet9">
    <tabColor rgb="FFFFC000"/>
  </sheetPr>
  <dimension ref="A1:O80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14" sqref="B14:B18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35.875" bestFit="1" customWidth="1" outlineLevel="1"/>
    <col min="5" max="7" width="17.625" bestFit="1" customWidth="1"/>
    <col min="8" max="8" width="17.625" customWidth="1"/>
    <col min="9" max="11" width="20.625" bestFit="1" customWidth="1"/>
    <col min="12" max="12" width="29.125" bestFit="1" customWidth="1"/>
    <col min="13" max="13" width="30.875" bestFit="1" customWidth="1"/>
    <col min="14" max="14" width="30.875" customWidth="1"/>
    <col min="15" max="15" width="24.125" customWidth="1"/>
    <col min="16" max="16" width="17.375" bestFit="1" customWidth="1"/>
  </cols>
  <sheetData>
    <row r="1" spans="1:15" x14ac:dyDescent="0.2">
      <c r="A1" t="s">
        <v>175</v>
      </c>
      <c r="B1" s="22" t="s">
        <v>271</v>
      </c>
    </row>
    <row r="2" spans="1:15" x14ac:dyDescent="0.2">
      <c r="A2" t="s">
        <v>1</v>
      </c>
      <c r="B2" s="22" t="s">
        <v>867</v>
      </c>
    </row>
    <row r="3" spans="1:15" x14ac:dyDescent="0.2">
      <c r="A3" t="s">
        <v>2</v>
      </c>
      <c r="B3" s="22" t="s">
        <v>867</v>
      </c>
    </row>
    <row r="4" spans="1:15" x14ac:dyDescent="0.2">
      <c r="A4" t="s">
        <v>3</v>
      </c>
      <c r="B4" s="22" t="s">
        <v>4</v>
      </c>
    </row>
    <row r="5" spans="1:15" x14ac:dyDescent="0.2">
      <c r="A5" t="s">
        <v>5</v>
      </c>
      <c r="B5" s="23" t="s">
        <v>177</v>
      </c>
    </row>
    <row r="6" spans="1:15" ht="15" thickBot="1" x14ac:dyDescent="0.25"/>
    <row r="7" spans="1:15" ht="19.5" customHeight="1" thickTop="1" x14ac:dyDescent="0.2">
      <c r="E7" s="33" t="s">
        <v>178</v>
      </c>
      <c r="F7" s="34"/>
      <c r="G7" s="35"/>
      <c r="H7" s="45" t="s">
        <v>179</v>
      </c>
      <c r="I7" s="46"/>
      <c r="J7" s="46"/>
      <c r="K7" s="47"/>
      <c r="L7" s="39" t="s">
        <v>180</v>
      </c>
      <c r="M7" s="40"/>
      <c r="N7" s="43" t="s">
        <v>912</v>
      </c>
      <c r="O7" s="43" t="s">
        <v>245</v>
      </c>
    </row>
    <row r="8" spans="1:15" ht="19.5" customHeight="1" thickBot="1" x14ac:dyDescent="0.25">
      <c r="E8" s="36"/>
      <c r="F8" s="37"/>
      <c r="G8" s="38"/>
      <c r="H8" s="45"/>
      <c r="I8" s="46"/>
      <c r="J8" s="46"/>
      <c r="K8" s="47"/>
      <c r="L8" s="41"/>
      <c r="M8" s="42"/>
      <c r="N8" s="44"/>
      <c r="O8" s="44"/>
    </row>
    <row r="9" spans="1:15" ht="15.75" customHeight="1" thickTop="1" thickBot="1" x14ac:dyDescent="0.25"/>
    <row r="10" spans="1:15" ht="61.5" customHeight="1" thickTop="1" thickBot="1" x14ac:dyDescent="0.25">
      <c r="B10" s="21" t="s">
        <v>16</v>
      </c>
      <c r="C10" s="17" t="s">
        <v>247</v>
      </c>
      <c r="D10" s="17" t="s">
        <v>248</v>
      </c>
      <c r="E10" s="18" t="s">
        <v>18</v>
      </c>
      <c r="F10" s="19" t="s">
        <v>182</v>
      </c>
      <c r="G10" s="19" t="s">
        <v>183</v>
      </c>
      <c r="H10" s="19" t="s">
        <v>890</v>
      </c>
      <c r="I10" s="19" t="s">
        <v>889</v>
      </c>
      <c r="J10" s="19" t="s">
        <v>185</v>
      </c>
      <c r="K10" s="19" t="s">
        <v>186</v>
      </c>
      <c r="L10" s="10" t="s">
        <v>856</v>
      </c>
      <c r="M10" s="10" t="s">
        <v>569</v>
      </c>
      <c r="N10" s="10" t="s">
        <v>913</v>
      </c>
      <c r="O10" s="10" t="s">
        <v>189</v>
      </c>
    </row>
    <row r="11" spans="1:15" ht="15" thickTop="1" x14ac:dyDescent="0.2"/>
    <row r="14" spans="1:15" x14ac:dyDescent="0.2">
      <c r="B14" s="22">
        <v>10174209587511</v>
      </c>
      <c r="C14" t="s">
        <v>857</v>
      </c>
      <c r="D14" t="s">
        <v>866</v>
      </c>
      <c r="E14" t="s">
        <v>916</v>
      </c>
      <c r="F14" t="s">
        <v>880</v>
      </c>
      <c r="G14" t="s">
        <v>881</v>
      </c>
      <c r="H14" t="s">
        <v>908</v>
      </c>
      <c r="I14" t="s">
        <v>892</v>
      </c>
      <c r="J14" t="s">
        <v>906</v>
      </c>
      <c r="K14" t="s">
        <v>907</v>
      </c>
      <c r="L14" t="s">
        <v>874</v>
      </c>
      <c r="M14" t="s">
        <v>879</v>
      </c>
      <c r="N14" t="s">
        <v>914</v>
      </c>
      <c r="O14" t="s">
        <v>868</v>
      </c>
    </row>
    <row r="15" spans="1:15" x14ac:dyDescent="0.2">
      <c r="B15" s="22">
        <v>10174209587512</v>
      </c>
      <c r="C15" t="s">
        <v>885</v>
      </c>
      <c r="D15" t="s">
        <v>865</v>
      </c>
      <c r="E15" t="s">
        <v>917</v>
      </c>
      <c r="F15" t="s">
        <v>882</v>
      </c>
      <c r="G15" t="s">
        <v>886</v>
      </c>
      <c r="H15" t="s">
        <v>908</v>
      </c>
      <c r="I15" t="s">
        <v>892</v>
      </c>
      <c r="J15" t="s">
        <v>906</v>
      </c>
      <c r="K15" t="s">
        <v>909</v>
      </c>
      <c r="L15" t="s">
        <v>873</v>
      </c>
      <c r="M15" t="s">
        <v>878</v>
      </c>
      <c r="N15" t="s">
        <v>915</v>
      </c>
      <c r="O15" t="s">
        <v>868</v>
      </c>
    </row>
    <row r="16" spans="1:15" x14ac:dyDescent="0.2">
      <c r="B16" s="22">
        <v>10174209587513</v>
      </c>
      <c r="C16" t="s">
        <v>858</v>
      </c>
      <c r="D16" t="s">
        <v>866</v>
      </c>
      <c r="E16" t="s">
        <v>916</v>
      </c>
      <c r="F16" t="s">
        <v>883</v>
      </c>
      <c r="G16" t="s">
        <v>881</v>
      </c>
      <c r="H16" t="s">
        <v>905</v>
      </c>
      <c r="I16" t="s">
        <v>892</v>
      </c>
      <c r="J16" t="s">
        <v>906</v>
      </c>
      <c r="K16" t="s">
        <v>907</v>
      </c>
      <c r="L16" t="s">
        <v>874</v>
      </c>
      <c r="M16" t="s">
        <v>877</v>
      </c>
      <c r="N16" t="s">
        <v>914</v>
      </c>
      <c r="O16" t="s">
        <v>868</v>
      </c>
    </row>
    <row r="17" spans="2:15" x14ac:dyDescent="0.2">
      <c r="B17" s="22">
        <v>10174209587514</v>
      </c>
      <c r="C17" t="s">
        <v>859</v>
      </c>
      <c r="D17" t="s">
        <v>865</v>
      </c>
      <c r="E17" t="s">
        <v>917</v>
      </c>
      <c r="F17" t="s">
        <v>884</v>
      </c>
      <c r="G17" t="s">
        <v>886</v>
      </c>
      <c r="H17" t="s">
        <v>891</v>
      </c>
      <c r="I17" t="s">
        <v>892</v>
      </c>
      <c r="J17" t="s">
        <v>911</v>
      </c>
      <c r="K17" t="s">
        <v>910</v>
      </c>
      <c r="L17" t="s">
        <v>873</v>
      </c>
      <c r="M17" t="s">
        <v>876</v>
      </c>
      <c r="N17" t="s">
        <v>915</v>
      </c>
      <c r="O17" t="s">
        <v>868</v>
      </c>
    </row>
    <row r="18" spans="2:15" x14ac:dyDescent="0.2">
      <c r="B18" s="22">
        <v>10174209587515</v>
      </c>
      <c r="C18" t="s">
        <v>860</v>
      </c>
      <c r="D18" t="s">
        <v>866</v>
      </c>
      <c r="E18" t="s">
        <v>916</v>
      </c>
      <c r="F18" t="s">
        <v>888</v>
      </c>
      <c r="G18" t="s">
        <v>887</v>
      </c>
      <c r="H18" t="s">
        <v>891</v>
      </c>
      <c r="I18" t="s">
        <v>892</v>
      </c>
      <c r="J18" t="s">
        <v>911</v>
      </c>
      <c r="K18" t="s">
        <v>910</v>
      </c>
      <c r="L18" t="s">
        <v>874</v>
      </c>
      <c r="M18" t="s">
        <v>875</v>
      </c>
      <c r="N18" t="s">
        <v>914</v>
      </c>
      <c r="O18" t="s">
        <v>868</v>
      </c>
    </row>
    <row r="20" spans="2:15" x14ac:dyDescent="0.2">
      <c r="B20" s="22">
        <v>10174269708761</v>
      </c>
      <c r="C20" t="s">
        <v>861</v>
      </c>
      <c r="D20" t="s">
        <v>865</v>
      </c>
      <c r="E20" t="s">
        <v>904</v>
      </c>
      <c r="F20" t="s">
        <v>899</v>
      </c>
      <c r="G20" t="s">
        <v>898</v>
      </c>
      <c r="H20" t="s">
        <v>891</v>
      </c>
      <c r="I20" t="s">
        <v>892</v>
      </c>
      <c r="J20" t="s">
        <v>893</v>
      </c>
      <c r="K20" t="s">
        <v>894</v>
      </c>
      <c r="L20" t="s">
        <v>873</v>
      </c>
      <c r="M20" t="s">
        <v>869</v>
      </c>
      <c r="N20" t="s">
        <v>915</v>
      </c>
      <c r="O20" t="s">
        <v>868</v>
      </c>
    </row>
    <row r="21" spans="2:15" x14ac:dyDescent="0.2">
      <c r="B21" s="22">
        <v>10174269708762</v>
      </c>
      <c r="C21" t="s">
        <v>862</v>
      </c>
      <c r="D21" t="s">
        <v>866</v>
      </c>
      <c r="E21" t="s">
        <v>903</v>
      </c>
      <c r="F21" t="s">
        <v>900</v>
      </c>
      <c r="G21" t="s">
        <v>881</v>
      </c>
      <c r="H21" t="s">
        <v>891</v>
      </c>
      <c r="I21" t="s">
        <v>892</v>
      </c>
      <c r="J21" t="s">
        <v>893</v>
      </c>
      <c r="K21" t="s">
        <v>895</v>
      </c>
      <c r="L21" t="s">
        <v>874</v>
      </c>
      <c r="M21" t="s">
        <v>870</v>
      </c>
      <c r="N21" t="s">
        <v>914</v>
      </c>
      <c r="O21" t="s">
        <v>868</v>
      </c>
    </row>
    <row r="22" spans="2:15" x14ac:dyDescent="0.2">
      <c r="B22" s="22">
        <v>10174269708763</v>
      </c>
      <c r="C22" t="s">
        <v>863</v>
      </c>
      <c r="D22" t="s">
        <v>865</v>
      </c>
      <c r="E22" t="s">
        <v>904</v>
      </c>
      <c r="F22" t="s">
        <v>901</v>
      </c>
      <c r="G22" t="s">
        <v>898</v>
      </c>
      <c r="H22" t="s">
        <v>891</v>
      </c>
      <c r="I22" t="s">
        <v>892</v>
      </c>
      <c r="J22" t="s">
        <v>896</v>
      </c>
      <c r="K22" t="s">
        <v>897</v>
      </c>
      <c r="L22" t="s">
        <v>873</v>
      </c>
      <c r="M22" t="s">
        <v>871</v>
      </c>
      <c r="N22" t="s">
        <v>915</v>
      </c>
      <c r="O22" t="s">
        <v>868</v>
      </c>
    </row>
    <row r="23" spans="2:15" x14ac:dyDescent="0.2">
      <c r="B23" s="22">
        <v>10174269708764</v>
      </c>
      <c r="C23" t="s">
        <v>864</v>
      </c>
      <c r="D23" t="s">
        <v>866</v>
      </c>
      <c r="E23" t="s">
        <v>903</v>
      </c>
      <c r="F23" t="s">
        <v>902</v>
      </c>
      <c r="G23" t="s">
        <v>881</v>
      </c>
      <c r="H23" t="s">
        <v>891</v>
      </c>
      <c r="I23" t="s">
        <v>892</v>
      </c>
      <c r="J23" t="s">
        <v>896</v>
      </c>
      <c r="K23" t="s">
        <v>897</v>
      </c>
      <c r="L23" t="s">
        <v>874</v>
      </c>
      <c r="M23" t="s">
        <v>872</v>
      </c>
      <c r="N23" t="s">
        <v>914</v>
      </c>
      <c r="O23" t="s">
        <v>868</v>
      </c>
    </row>
    <row r="65" spans="5:12" x14ac:dyDescent="0.2">
      <c r="E65" t="s">
        <v>579</v>
      </c>
      <c r="F65" t="s">
        <v>226</v>
      </c>
      <c r="G65" t="s">
        <v>586</v>
      </c>
      <c r="I65" t="s">
        <v>580</v>
      </c>
      <c r="J65" t="s">
        <v>228</v>
      </c>
      <c r="K65" t="s">
        <v>229</v>
      </c>
      <c r="L65" t="s">
        <v>230</v>
      </c>
    </row>
    <row r="66" spans="5:12" x14ac:dyDescent="0.2">
      <c r="E66" t="s">
        <v>579</v>
      </c>
      <c r="F66" t="s">
        <v>238</v>
      </c>
      <c r="G66" t="s">
        <v>588</v>
      </c>
      <c r="I66" t="s">
        <v>239</v>
      </c>
      <c r="J66" t="s">
        <v>228</v>
      </c>
      <c r="K66" t="s">
        <v>240</v>
      </c>
      <c r="L66" t="s">
        <v>203</v>
      </c>
    </row>
    <row r="67" spans="5:12" x14ac:dyDescent="0.2">
      <c r="E67" t="s">
        <v>579</v>
      </c>
      <c r="F67" t="s">
        <v>581</v>
      </c>
      <c r="G67" t="s">
        <v>589</v>
      </c>
      <c r="I67" t="s">
        <v>211</v>
      </c>
      <c r="J67" t="s">
        <v>228</v>
      </c>
      <c r="K67" t="s">
        <v>241</v>
      </c>
      <c r="L67" t="s">
        <v>203</v>
      </c>
    </row>
    <row r="68" spans="5:12" x14ac:dyDescent="0.2">
      <c r="E68" t="s">
        <v>225</v>
      </c>
      <c r="F68" t="s">
        <v>226</v>
      </c>
      <c r="G68" t="s">
        <v>590</v>
      </c>
      <c r="I68" t="s">
        <v>232</v>
      </c>
      <c r="J68" t="s">
        <v>228</v>
      </c>
      <c r="K68" t="s">
        <v>229</v>
      </c>
      <c r="L68" t="s">
        <v>230</v>
      </c>
    </row>
    <row r="69" spans="5:12" x14ac:dyDescent="0.2">
      <c r="E69" t="s">
        <v>225</v>
      </c>
      <c r="F69" t="s">
        <v>238</v>
      </c>
      <c r="G69" t="s">
        <v>591</v>
      </c>
      <c r="I69" t="s">
        <v>239</v>
      </c>
      <c r="J69" t="s">
        <v>228</v>
      </c>
      <c r="K69" t="s">
        <v>240</v>
      </c>
      <c r="L69" t="s">
        <v>584</v>
      </c>
    </row>
    <row r="70" spans="5:12" x14ac:dyDescent="0.2">
      <c r="E70" t="s">
        <v>225</v>
      </c>
      <c r="F70" t="s">
        <v>198</v>
      </c>
      <c r="G70" t="s">
        <v>590</v>
      </c>
      <c r="I70" t="s">
        <v>232</v>
      </c>
      <c r="J70" t="s">
        <v>228</v>
      </c>
      <c r="K70" t="s">
        <v>229</v>
      </c>
      <c r="L70" t="s">
        <v>555</v>
      </c>
    </row>
    <row r="71" spans="5:12" x14ac:dyDescent="0.2">
      <c r="E71" t="s">
        <v>225</v>
      </c>
      <c r="F71" t="s">
        <v>199</v>
      </c>
      <c r="G71" t="s">
        <v>591</v>
      </c>
      <c r="I71" t="s">
        <v>239</v>
      </c>
      <c r="J71" t="s">
        <v>228</v>
      </c>
      <c r="K71" t="s">
        <v>240</v>
      </c>
      <c r="L71" t="s">
        <v>584</v>
      </c>
    </row>
    <row r="72" spans="5:12" x14ac:dyDescent="0.2">
      <c r="E72" t="s">
        <v>225</v>
      </c>
      <c r="F72" t="s">
        <v>582</v>
      </c>
      <c r="G72" t="s">
        <v>592</v>
      </c>
      <c r="I72" t="s">
        <v>211</v>
      </c>
      <c r="J72" t="s">
        <v>228</v>
      </c>
      <c r="K72" t="s">
        <v>241</v>
      </c>
      <c r="L72" t="s">
        <v>584</v>
      </c>
    </row>
    <row r="73" spans="5:12" x14ac:dyDescent="0.2">
      <c r="E73" t="s">
        <v>583</v>
      </c>
      <c r="F73" t="s">
        <v>358</v>
      </c>
      <c r="G73" t="s">
        <v>594</v>
      </c>
      <c r="I73" t="s">
        <v>327</v>
      </c>
      <c r="J73" t="s">
        <v>322</v>
      </c>
      <c r="K73" t="s">
        <v>323</v>
      </c>
      <c r="L73" t="s">
        <v>324</v>
      </c>
    </row>
    <row r="74" spans="5:12" x14ac:dyDescent="0.2">
      <c r="E74" t="s">
        <v>583</v>
      </c>
      <c r="F74" t="s">
        <v>359</v>
      </c>
      <c r="G74" t="s">
        <v>595</v>
      </c>
      <c r="I74" t="s">
        <v>328</v>
      </c>
      <c r="J74" t="s">
        <v>322</v>
      </c>
      <c r="K74" t="s">
        <v>323</v>
      </c>
      <c r="L74" t="s">
        <v>324</v>
      </c>
    </row>
    <row r="75" spans="5:12" x14ac:dyDescent="0.2">
      <c r="E75" t="s">
        <v>583</v>
      </c>
      <c r="F75" t="s">
        <v>360</v>
      </c>
      <c r="G75" t="s">
        <v>596</v>
      </c>
      <c r="I75" t="s">
        <v>329</v>
      </c>
      <c r="J75" t="s">
        <v>244</v>
      </c>
      <c r="K75" t="s">
        <v>202</v>
      </c>
      <c r="L75" t="s">
        <v>324</v>
      </c>
    </row>
    <row r="76" spans="5:12" x14ac:dyDescent="0.2">
      <c r="E76" t="s">
        <v>583</v>
      </c>
      <c r="F76" t="s">
        <v>361</v>
      </c>
      <c r="G76" t="s">
        <v>597</v>
      </c>
      <c r="I76" t="s">
        <v>211</v>
      </c>
      <c r="J76" t="s">
        <v>244</v>
      </c>
      <c r="K76" t="s">
        <v>325</v>
      </c>
      <c r="L76" t="s">
        <v>324</v>
      </c>
    </row>
    <row r="77" spans="5:12" x14ac:dyDescent="0.2">
      <c r="E77" t="s">
        <v>315</v>
      </c>
      <c r="F77" t="s">
        <v>317</v>
      </c>
      <c r="G77" t="s">
        <v>598</v>
      </c>
      <c r="I77" t="s">
        <v>327</v>
      </c>
      <c r="J77" t="s">
        <v>322</v>
      </c>
      <c r="K77" t="s">
        <v>323</v>
      </c>
      <c r="L77" t="s">
        <v>324</v>
      </c>
    </row>
    <row r="78" spans="5:12" x14ac:dyDescent="0.2">
      <c r="E78" t="s">
        <v>315</v>
      </c>
      <c r="F78" t="s">
        <v>318</v>
      </c>
      <c r="G78" t="s">
        <v>599</v>
      </c>
      <c r="I78" t="s">
        <v>328</v>
      </c>
      <c r="J78" t="s">
        <v>322</v>
      </c>
      <c r="K78" t="s">
        <v>323</v>
      </c>
      <c r="L78" t="s">
        <v>324</v>
      </c>
    </row>
    <row r="79" spans="5:12" x14ac:dyDescent="0.2">
      <c r="E79" t="s">
        <v>315</v>
      </c>
      <c r="F79" t="s">
        <v>319</v>
      </c>
      <c r="G79" t="s">
        <v>600</v>
      </c>
      <c r="I79" t="s">
        <v>329</v>
      </c>
      <c r="J79" t="s">
        <v>244</v>
      </c>
      <c r="K79" t="s">
        <v>202</v>
      </c>
      <c r="L79" t="s">
        <v>324</v>
      </c>
    </row>
    <row r="80" spans="5:12" x14ac:dyDescent="0.2">
      <c r="E80" t="s">
        <v>315</v>
      </c>
      <c r="F80" t="s">
        <v>320</v>
      </c>
      <c r="G80" t="s">
        <v>601</v>
      </c>
      <c r="I80" t="s">
        <v>211</v>
      </c>
      <c r="J80" t="s">
        <v>244</v>
      </c>
      <c r="K80" t="s">
        <v>325</v>
      </c>
      <c r="L80" t="s">
        <v>324</v>
      </c>
    </row>
  </sheetData>
  <mergeCells count="5">
    <mergeCell ref="E7:G8"/>
    <mergeCell ref="L7:M8"/>
    <mergeCell ref="O7:O8"/>
    <mergeCell ref="H7:K8"/>
    <mergeCell ref="N7:N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6DDC-9AE6-46A3-BAAB-F8EEC0C44997}">
  <sheetPr codeName="Sheet7">
    <tabColor rgb="FFFFC000"/>
  </sheetPr>
  <dimension ref="A1:N122"/>
  <sheetViews>
    <sheetView zoomScale="85" zoomScaleNormal="85" workbookViewId="0">
      <pane xSplit="1" ySplit="10" topLeftCell="B89" activePane="bottomRight" state="frozen"/>
      <selection pane="topRight" activeCell="B1" sqref="B1"/>
      <selection pane="bottomLeft" activeCell="A11" sqref="A11"/>
      <selection pane="bottomRight" activeCell="H100" sqref="H100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5" width="18.375" bestFit="1" customWidth="1"/>
    <col min="6" max="6" width="25.5" customWidth="1"/>
    <col min="7" max="7" width="17.625" bestFit="1" customWidth="1"/>
    <col min="8" max="8" width="23.75" bestFit="1" customWidth="1"/>
    <col min="9" max="10" width="20.625" bestFit="1" customWidth="1"/>
    <col min="11" max="11" width="24.875" bestFit="1" customWidth="1"/>
    <col min="12" max="12" width="32.125" bestFit="1" customWidth="1"/>
    <col min="13" max="13" width="32.125" customWidth="1"/>
    <col min="14" max="14" width="29.125" bestFit="1" customWidth="1"/>
    <col min="15" max="15" width="17.375" bestFit="1" customWidth="1"/>
  </cols>
  <sheetData>
    <row r="1" spans="1:14" x14ac:dyDescent="0.2">
      <c r="A1" t="s">
        <v>175</v>
      </c>
      <c r="B1" s="22" t="s">
        <v>271</v>
      </c>
    </row>
    <row r="2" spans="1:14" x14ac:dyDescent="0.2">
      <c r="A2" t="s">
        <v>1</v>
      </c>
      <c r="B2" s="22" t="s">
        <v>649</v>
      </c>
    </row>
    <row r="3" spans="1:14" x14ac:dyDescent="0.2">
      <c r="A3" t="s">
        <v>2</v>
      </c>
      <c r="B3" s="22" t="s">
        <v>649</v>
      </c>
    </row>
    <row r="4" spans="1:14" x14ac:dyDescent="0.2">
      <c r="A4" t="s">
        <v>3</v>
      </c>
      <c r="B4" s="22" t="s">
        <v>4</v>
      </c>
    </row>
    <row r="5" spans="1:14" x14ac:dyDescent="0.2">
      <c r="A5" t="s">
        <v>5</v>
      </c>
      <c r="B5" s="23" t="s">
        <v>177</v>
      </c>
    </row>
    <row r="6" spans="1:14" ht="15" thickBot="1" x14ac:dyDescent="0.25"/>
    <row r="7" spans="1:14" ht="19.5" customHeight="1" thickTop="1" x14ac:dyDescent="0.2">
      <c r="E7" s="33" t="s">
        <v>178</v>
      </c>
      <c r="F7" s="34"/>
      <c r="G7" s="35"/>
      <c r="H7" s="45" t="s">
        <v>179</v>
      </c>
      <c r="I7" s="46"/>
      <c r="J7" s="46"/>
      <c r="K7" s="25"/>
      <c r="L7" s="39" t="s">
        <v>180</v>
      </c>
      <c r="M7" s="31"/>
      <c r="N7" s="39" t="s">
        <v>180</v>
      </c>
    </row>
    <row r="8" spans="1:14" ht="19.5" customHeight="1" thickBot="1" x14ac:dyDescent="0.25">
      <c r="E8" s="36"/>
      <c r="F8" s="37"/>
      <c r="G8" s="38"/>
      <c r="H8" s="45"/>
      <c r="I8" s="46"/>
      <c r="J8" s="46"/>
      <c r="K8" s="25"/>
      <c r="L8" s="41"/>
      <c r="M8" s="32"/>
      <c r="N8" s="41"/>
    </row>
    <row r="9" spans="1:14" ht="15.75" thickTop="1" thickBot="1" x14ac:dyDescent="0.25"/>
    <row r="10" spans="1:14" ht="61.5" customHeight="1" thickTop="1" thickBot="1" x14ac:dyDescent="0.25">
      <c r="B10" s="21" t="s">
        <v>16</v>
      </c>
      <c r="C10" s="17" t="s">
        <v>247</v>
      </c>
      <c r="D10" s="17" t="s">
        <v>248</v>
      </c>
      <c r="E10" s="18" t="s">
        <v>18</v>
      </c>
      <c r="F10" s="19" t="s">
        <v>182</v>
      </c>
      <c r="G10" s="19" t="s">
        <v>183</v>
      </c>
      <c r="H10" s="19" t="s">
        <v>184</v>
      </c>
      <c r="I10" s="19" t="s">
        <v>185</v>
      </c>
      <c r="J10" s="19" t="s">
        <v>186</v>
      </c>
      <c r="K10" s="19" t="s">
        <v>630</v>
      </c>
      <c r="L10" s="10" t="s">
        <v>639</v>
      </c>
      <c r="M10" s="10" t="s">
        <v>922</v>
      </c>
      <c r="N10" s="10" t="s">
        <v>19</v>
      </c>
    </row>
    <row r="11" spans="1:14" ht="15" thickTop="1" x14ac:dyDescent="0.2">
      <c r="B11" s="28"/>
      <c r="G11" s="27"/>
    </row>
    <row r="12" spans="1:14" x14ac:dyDescent="0.2">
      <c r="B12" s="28">
        <v>10130270103904</v>
      </c>
      <c r="C12" t="s">
        <v>785</v>
      </c>
      <c r="E12" t="s">
        <v>791</v>
      </c>
      <c r="F12" t="s">
        <v>797</v>
      </c>
      <c r="G12" s="27">
        <v>499</v>
      </c>
      <c r="H12" t="s">
        <v>802</v>
      </c>
      <c r="I12" t="s">
        <v>806</v>
      </c>
      <c r="J12" t="s">
        <v>803</v>
      </c>
      <c r="K12" t="s">
        <v>754</v>
      </c>
      <c r="L12" t="s">
        <v>785</v>
      </c>
    </row>
    <row r="13" spans="1:14" x14ac:dyDescent="0.2">
      <c r="B13" s="28">
        <v>10130270103905</v>
      </c>
      <c r="C13" t="s">
        <v>786</v>
      </c>
      <c r="E13" t="s">
        <v>792</v>
      </c>
      <c r="F13" t="s">
        <v>798</v>
      </c>
      <c r="G13" s="27">
        <v>519</v>
      </c>
      <c r="H13" t="s">
        <v>802</v>
      </c>
      <c r="I13" t="s">
        <v>806</v>
      </c>
      <c r="J13" t="s">
        <v>803</v>
      </c>
      <c r="K13" t="s">
        <v>754</v>
      </c>
      <c r="L13" t="s">
        <v>786</v>
      </c>
    </row>
    <row r="14" spans="1:14" x14ac:dyDescent="0.2">
      <c r="B14" s="28">
        <v>10093947059308</v>
      </c>
      <c r="C14" t="s">
        <v>787</v>
      </c>
      <c r="E14" t="s">
        <v>793</v>
      </c>
      <c r="F14" t="s">
        <v>808</v>
      </c>
      <c r="G14" s="27">
        <v>749</v>
      </c>
      <c r="H14" t="s">
        <v>805</v>
      </c>
      <c r="I14" t="s">
        <v>806</v>
      </c>
      <c r="J14" t="s">
        <v>807</v>
      </c>
      <c r="K14" t="s">
        <v>754</v>
      </c>
      <c r="L14" t="s">
        <v>787</v>
      </c>
    </row>
    <row r="15" spans="1:14" x14ac:dyDescent="0.2">
      <c r="B15" s="28">
        <v>10093947059309</v>
      </c>
      <c r="C15" t="s">
        <v>788</v>
      </c>
      <c r="E15" t="s">
        <v>794</v>
      </c>
      <c r="F15" t="s">
        <v>809</v>
      </c>
      <c r="G15" s="27">
        <v>799</v>
      </c>
      <c r="H15" t="s">
        <v>805</v>
      </c>
      <c r="I15" t="s">
        <v>806</v>
      </c>
      <c r="J15" t="s">
        <v>807</v>
      </c>
      <c r="K15" t="s">
        <v>754</v>
      </c>
      <c r="L15" t="s">
        <v>788</v>
      </c>
    </row>
    <row r="16" spans="1:14" x14ac:dyDescent="0.2">
      <c r="B16" s="28">
        <v>10101354230339</v>
      </c>
      <c r="C16" t="s">
        <v>789</v>
      </c>
      <c r="E16" t="s">
        <v>796</v>
      </c>
      <c r="F16" t="s">
        <v>810</v>
      </c>
      <c r="G16" s="27">
        <v>1899</v>
      </c>
      <c r="H16" t="s">
        <v>799</v>
      </c>
      <c r="I16" t="s">
        <v>801</v>
      </c>
      <c r="J16" t="s">
        <v>800</v>
      </c>
      <c r="K16" t="s">
        <v>804</v>
      </c>
      <c r="L16" t="s">
        <v>789</v>
      </c>
    </row>
    <row r="17" spans="2:14" x14ac:dyDescent="0.2">
      <c r="B17" s="28">
        <v>10101354230340</v>
      </c>
      <c r="C17" t="s">
        <v>790</v>
      </c>
      <c r="E17" t="s">
        <v>795</v>
      </c>
      <c r="F17" t="s">
        <v>811</v>
      </c>
      <c r="G17" s="27">
        <v>1999</v>
      </c>
      <c r="H17" t="s">
        <v>799</v>
      </c>
      <c r="I17" t="s">
        <v>801</v>
      </c>
      <c r="J17" t="s">
        <v>800</v>
      </c>
      <c r="K17" t="s">
        <v>804</v>
      </c>
      <c r="L17" t="s">
        <v>790</v>
      </c>
    </row>
    <row r="18" spans="2:14" x14ac:dyDescent="0.2">
      <c r="B18" s="28"/>
      <c r="G18" s="27"/>
    </row>
    <row r="19" spans="2:14" x14ac:dyDescent="0.2">
      <c r="B19" s="28">
        <v>10071374699664</v>
      </c>
      <c r="C19" t="s">
        <v>773</v>
      </c>
      <c r="E19" t="s">
        <v>191</v>
      </c>
      <c r="F19" t="s">
        <v>781</v>
      </c>
      <c r="G19" s="27">
        <v>319</v>
      </c>
      <c r="H19" t="s">
        <v>777</v>
      </c>
      <c r="I19" t="s">
        <v>979</v>
      </c>
      <c r="J19" t="s">
        <v>779</v>
      </c>
      <c r="K19" t="s">
        <v>760</v>
      </c>
      <c r="L19" t="s">
        <v>773</v>
      </c>
      <c r="N19" t="s">
        <v>780</v>
      </c>
    </row>
    <row r="20" spans="2:14" x14ac:dyDescent="0.2">
      <c r="B20" s="28">
        <v>65785249824</v>
      </c>
      <c r="C20" t="s">
        <v>774</v>
      </c>
      <c r="E20" t="s">
        <v>194</v>
      </c>
      <c r="F20" t="s">
        <v>782</v>
      </c>
      <c r="G20" s="27">
        <v>329</v>
      </c>
      <c r="H20" t="s">
        <v>778</v>
      </c>
      <c r="I20" t="s">
        <v>979</v>
      </c>
      <c r="J20" t="s">
        <v>779</v>
      </c>
      <c r="K20" t="s">
        <v>760</v>
      </c>
      <c r="L20" t="s">
        <v>774</v>
      </c>
      <c r="N20" t="s">
        <v>780</v>
      </c>
    </row>
    <row r="21" spans="2:14" x14ac:dyDescent="0.2">
      <c r="B21" s="28">
        <v>55331741607</v>
      </c>
      <c r="C21" t="s">
        <v>775</v>
      </c>
      <c r="E21" t="s">
        <v>265</v>
      </c>
      <c r="F21" t="s">
        <v>783</v>
      </c>
      <c r="G21" s="27">
        <v>369</v>
      </c>
      <c r="H21" t="s">
        <v>777</v>
      </c>
      <c r="I21" t="s">
        <v>979</v>
      </c>
      <c r="J21" t="s">
        <v>779</v>
      </c>
      <c r="K21" t="s">
        <v>760</v>
      </c>
      <c r="L21" t="s">
        <v>775</v>
      </c>
      <c r="N21" t="s">
        <v>780</v>
      </c>
    </row>
    <row r="22" spans="2:14" x14ac:dyDescent="0.2">
      <c r="B22" s="28">
        <v>10118370262002</v>
      </c>
      <c r="C22" t="s">
        <v>776</v>
      </c>
      <c r="E22" t="s">
        <v>197</v>
      </c>
      <c r="F22" t="s">
        <v>784</v>
      </c>
      <c r="G22" s="27">
        <v>389</v>
      </c>
      <c r="H22" t="s">
        <v>778</v>
      </c>
      <c r="I22" t="s">
        <v>979</v>
      </c>
      <c r="J22" t="s">
        <v>779</v>
      </c>
      <c r="K22" t="s">
        <v>760</v>
      </c>
      <c r="L22" t="s">
        <v>776</v>
      </c>
      <c r="N22" t="s">
        <v>780</v>
      </c>
    </row>
    <row r="23" spans="2:14" x14ac:dyDescent="0.2">
      <c r="B23" s="28"/>
      <c r="G23" s="27"/>
    </row>
    <row r="24" spans="2:14" x14ac:dyDescent="0.2">
      <c r="B24" s="28">
        <v>10096032839705</v>
      </c>
      <c r="C24" t="s">
        <v>736</v>
      </c>
      <c r="E24" t="s">
        <v>746</v>
      </c>
      <c r="F24" t="s">
        <v>747</v>
      </c>
      <c r="G24" s="27">
        <v>419</v>
      </c>
      <c r="H24" t="s">
        <v>757</v>
      </c>
      <c r="I24" t="s">
        <v>756</v>
      </c>
      <c r="J24" t="s">
        <v>754</v>
      </c>
      <c r="K24" t="s">
        <v>761</v>
      </c>
      <c r="L24" t="s">
        <v>736</v>
      </c>
      <c r="N24" t="s">
        <v>758</v>
      </c>
    </row>
    <row r="25" spans="2:14" x14ac:dyDescent="0.2">
      <c r="B25" s="28">
        <v>10096032839706</v>
      </c>
      <c r="C25" t="s">
        <v>737</v>
      </c>
      <c r="E25" t="s">
        <v>745</v>
      </c>
      <c r="F25" t="s">
        <v>748</v>
      </c>
      <c r="G25" s="27">
        <v>599</v>
      </c>
      <c r="H25" t="s">
        <v>757</v>
      </c>
      <c r="I25" t="s">
        <v>756</v>
      </c>
      <c r="J25" t="s">
        <v>754</v>
      </c>
      <c r="K25" t="s">
        <v>761</v>
      </c>
      <c r="L25" t="s">
        <v>737</v>
      </c>
      <c r="N25" t="s">
        <v>758</v>
      </c>
    </row>
    <row r="26" spans="2:14" x14ac:dyDescent="0.2">
      <c r="B26" s="28">
        <v>10096032839707</v>
      </c>
      <c r="C26" t="s">
        <v>738</v>
      </c>
      <c r="E26" t="s">
        <v>764</v>
      </c>
      <c r="F26" t="s">
        <v>749</v>
      </c>
      <c r="G26" s="27">
        <v>649</v>
      </c>
      <c r="H26" t="s">
        <v>757</v>
      </c>
      <c r="I26" t="s">
        <v>756</v>
      </c>
      <c r="J26" t="s">
        <v>754</v>
      </c>
      <c r="K26" t="s">
        <v>761</v>
      </c>
      <c r="L26" t="s">
        <v>738</v>
      </c>
      <c r="N26" t="s">
        <v>758</v>
      </c>
    </row>
    <row r="27" spans="2:14" x14ac:dyDescent="0.2">
      <c r="B27" s="28">
        <v>10137585223209</v>
      </c>
      <c r="C27" t="s">
        <v>739</v>
      </c>
      <c r="E27" t="s">
        <v>765</v>
      </c>
      <c r="F27" t="s">
        <v>750</v>
      </c>
      <c r="G27" s="27">
        <v>799</v>
      </c>
      <c r="H27" t="s">
        <v>757</v>
      </c>
      <c r="I27" t="s">
        <v>756</v>
      </c>
      <c r="J27" t="s">
        <v>754</v>
      </c>
      <c r="K27" t="s">
        <v>761</v>
      </c>
      <c r="L27" t="s">
        <v>739</v>
      </c>
      <c r="N27" t="s">
        <v>758</v>
      </c>
    </row>
    <row r="28" spans="2:14" x14ac:dyDescent="0.2">
      <c r="B28" s="28">
        <v>10137585223208</v>
      </c>
      <c r="C28" t="s">
        <v>740</v>
      </c>
      <c r="E28" t="s">
        <v>766</v>
      </c>
      <c r="F28" t="s">
        <v>751</v>
      </c>
      <c r="G28" s="27">
        <v>999</v>
      </c>
      <c r="H28" t="s">
        <v>757</v>
      </c>
      <c r="I28" t="s">
        <v>756</v>
      </c>
      <c r="J28" t="s">
        <v>755</v>
      </c>
      <c r="K28" t="s">
        <v>761</v>
      </c>
      <c r="L28" t="s">
        <v>740</v>
      </c>
      <c r="N28" t="s">
        <v>758</v>
      </c>
    </row>
    <row r="29" spans="2:14" x14ac:dyDescent="0.2">
      <c r="B29" s="28">
        <v>10102257752099</v>
      </c>
      <c r="C29" t="s">
        <v>925</v>
      </c>
      <c r="E29" t="s">
        <v>767</v>
      </c>
      <c r="F29" t="s">
        <v>980</v>
      </c>
      <c r="G29" s="27">
        <v>799</v>
      </c>
      <c r="H29" t="s">
        <v>757</v>
      </c>
      <c r="I29" t="s">
        <v>979</v>
      </c>
      <c r="J29" t="s">
        <v>754</v>
      </c>
      <c r="K29" t="s">
        <v>761</v>
      </c>
      <c r="L29" t="s">
        <v>925</v>
      </c>
      <c r="N29" t="s">
        <v>758</v>
      </c>
    </row>
    <row r="30" spans="2:14" x14ac:dyDescent="0.2">
      <c r="B30" s="28">
        <v>10178252466981</v>
      </c>
      <c r="C30" t="s">
        <v>926</v>
      </c>
      <c r="E30" t="s">
        <v>982</v>
      </c>
      <c r="F30" t="s">
        <v>981</v>
      </c>
      <c r="G30" s="27">
        <v>649</v>
      </c>
      <c r="H30" t="s">
        <v>757</v>
      </c>
      <c r="I30" t="s">
        <v>979</v>
      </c>
      <c r="J30" t="s">
        <v>754</v>
      </c>
      <c r="K30" t="s">
        <v>761</v>
      </c>
      <c r="L30" t="s">
        <v>926</v>
      </c>
      <c r="N30" t="s">
        <v>758</v>
      </c>
    </row>
    <row r="31" spans="2:14" x14ac:dyDescent="0.2">
      <c r="B31" s="28">
        <v>10096032839708</v>
      </c>
      <c r="C31" t="s">
        <v>741</v>
      </c>
      <c r="E31" t="s">
        <v>768</v>
      </c>
      <c r="F31" t="s">
        <v>752</v>
      </c>
      <c r="G31" s="27">
        <v>899</v>
      </c>
      <c r="H31" t="s">
        <v>757</v>
      </c>
      <c r="I31" t="s">
        <v>756</v>
      </c>
      <c r="J31" t="s">
        <v>754</v>
      </c>
      <c r="K31" t="s">
        <v>761</v>
      </c>
      <c r="L31" t="s">
        <v>741</v>
      </c>
      <c r="N31" t="s">
        <v>758</v>
      </c>
    </row>
    <row r="32" spans="2:14" x14ac:dyDescent="0.2">
      <c r="B32" s="28">
        <v>10096032839709</v>
      </c>
      <c r="C32" t="s">
        <v>742</v>
      </c>
      <c r="E32" t="s">
        <v>769</v>
      </c>
      <c r="F32" t="s">
        <v>772</v>
      </c>
      <c r="G32" s="27">
        <v>969</v>
      </c>
      <c r="H32" t="s">
        <v>757</v>
      </c>
      <c r="I32" t="s">
        <v>756</v>
      </c>
      <c r="J32" t="s">
        <v>754</v>
      </c>
      <c r="K32" t="s">
        <v>761</v>
      </c>
      <c r="L32" t="s">
        <v>742</v>
      </c>
      <c r="N32" t="s">
        <v>758</v>
      </c>
    </row>
    <row r="33" spans="2:14" x14ac:dyDescent="0.2">
      <c r="B33" s="28">
        <v>10096032839710</v>
      </c>
      <c r="C33" t="s">
        <v>743</v>
      </c>
      <c r="E33" t="s">
        <v>770</v>
      </c>
      <c r="F33" t="s">
        <v>753</v>
      </c>
      <c r="G33" s="27">
        <v>1199</v>
      </c>
      <c r="H33" t="s">
        <v>757</v>
      </c>
      <c r="I33" t="s">
        <v>756</v>
      </c>
      <c r="J33" t="s">
        <v>755</v>
      </c>
      <c r="K33" t="s">
        <v>761</v>
      </c>
      <c r="L33" t="s">
        <v>743</v>
      </c>
      <c r="N33" t="s">
        <v>758</v>
      </c>
    </row>
    <row r="34" spans="2:14" x14ac:dyDescent="0.2">
      <c r="B34" s="28">
        <v>10096032850211</v>
      </c>
      <c r="C34" t="s">
        <v>744</v>
      </c>
      <c r="E34" t="s">
        <v>771</v>
      </c>
      <c r="F34" t="s">
        <v>851</v>
      </c>
      <c r="G34" s="27">
        <v>1699</v>
      </c>
      <c r="H34" t="s">
        <v>757</v>
      </c>
      <c r="I34" t="s">
        <v>756</v>
      </c>
      <c r="J34" t="s">
        <v>755</v>
      </c>
      <c r="K34" t="s">
        <v>761</v>
      </c>
      <c r="L34" t="s">
        <v>744</v>
      </c>
      <c r="N34" t="s">
        <v>758</v>
      </c>
    </row>
    <row r="35" spans="2:14" x14ac:dyDescent="0.2">
      <c r="B35" s="28"/>
      <c r="G35" s="27"/>
    </row>
    <row r="36" spans="2:14" x14ac:dyDescent="0.2">
      <c r="B36" s="28">
        <v>10166624395401</v>
      </c>
      <c r="C36" t="s">
        <v>632</v>
      </c>
      <c r="E36" t="s">
        <v>628</v>
      </c>
      <c r="F36" t="s">
        <v>734</v>
      </c>
      <c r="G36" s="27">
        <v>999</v>
      </c>
      <c r="H36" t="s">
        <v>638</v>
      </c>
      <c r="I36" t="s">
        <v>629</v>
      </c>
      <c r="J36" t="s">
        <v>755</v>
      </c>
      <c r="K36" t="s">
        <v>761</v>
      </c>
      <c r="L36" t="s">
        <v>631</v>
      </c>
      <c r="N36" t="s">
        <v>759</v>
      </c>
    </row>
    <row r="37" spans="2:14" x14ac:dyDescent="0.2">
      <c r="B37" s="28">
        <v>10166624395402</v>
      </c>
      <c r="C37" t="s">
        <v>636</v>
      </c>
      <c r="E37" t="s">
        <v>628</v>
      </c>
      <c r="F37" t="s">
        <v>762</v>
      </c>
      <c r="G37" s="27">
        <v>1099</v>
      </c>
      <c r="H37" t="s">
        <v>638</v>
      </c>
      <c r="I37" t="s">
        <v>629</v>
      </c>
      <c r="J37" t="s">
        <v>755</v>
      </c>
      <c r="K37" t="s">
        <v>761</v>
      </c>
      <c r="L37" t="s">
        <v>633</v>
      </c>
      <c r="N37" t="s">
        <v>759</v>
      </c>
    </row>
    <row r="38" spans="2:14" x14ac:dyDescent="0.2">
      <c r="B38" s="28">
        <v>10109250593836</v>
      </c>
      <c r="C38" t="s">
        <v>637</v>
      </c>
      <c r="E38" t="s">
        <v>628</v>
      </c>
      <c r="F38" t="s">
        <v>735</v>
      </c>
      <c r="G38" s="27">
        <v>1399</v>
      </c>
      <c r="H38" t="s">
        <v>638</v>
      </c>
      <c r="I38" t="s">
        <v>629</v>
      </c>
      <c r="J38" t="s">
        <v>755</v>
      </c>
      <c r="K38" t="s">
        <v>761</v>
      </c>
      <c r="L38" t="s">
        <v>634</v>
      </c>
      <c r="N38" t="s">
        <v>759</v>
      </c>
    </row>
    <row r="39" spans="2:14" x14ac:dyDescent="0.2">
      <c r="B39" s="28">
        <v>10109250593837</v>
      </c>
      <c r="C39" t="s">
        <v>635</v>
      </c>
      <c r="E39" t="s">
        <v>628</v>
      </c>
      <c r="F39" t="s">
        <v>763</v>
      </c>
      <c r="G39" s="27">
        <v>1499</v>
      </c>
      <c r="H39" t="s">
        <v>638</v>
      </c>
      <c r="I39" t="s">
        <v>629</v>
      </c>
      <c r="J39" t="s">
        <v>755</v>
      </c>
      <c r="K39" t="s">
        <v>761</v>
      </c>
      <c r="L39" t="s">
        <v>635</v>
      </c>
      <c r="N39" t="s">
        <v>759</v>
      </c>
    </row>
    <row r="40" spans="2:14" x14ac:dyDescent="0.2">
      <c r="B40" s="28"/>
      <c r="G40" s="27"/>
    </row>
    <row r="41" spans="2:14" x14ac:dyDescent="0.2">
      <c r="B41" s="28"/>
      <c r="G41" s="27"/>
    </row>
    <row r="42" spans="2:14" x14ac:dyDescent="0.2">
      <c r="B42" s="28"/>
      <c r="G42" s="27"/>
    </row>
    <row r="43" spans="2:14" x14ac:dyDescent="0.2">
      <c r="B43" s="28"/>
      <c r="G43" s="27"/>
    </row>
    <row r="44" spans="2:14" x14ac:dyDescent="0.2">
      <c r="B44" s="28">
        <v>10091261517882</v>
      </c>
      <c r="C44" t="s">
        <v>676</v>
      </c>
      <c r="E44" t="s">
        <v>676</v>
      </c>
      <c r="F44" t="s">
        <v>692</v>
      </c>
      <c r="G44" s="29" t="s">
        <v>702</v>
      </c>
      <c r="H44" t="s">
        <v>647</v>
      </c>
      <c r="I44" t="s">
        <v>689</v>
      </c>
      <c r="J44" t="s">
        <v>690</v>
      </c>
      <c r="K44" t="s">
        <v>691</v>
      </c>
      <c r="L44" t="s">
        <v>676</v>
      </c>
    </row>
    <row r="45" spans="2:14" x14ac:dyDescent="0.2">
      <c r="B45" s="28">
        <v>10103853504131</v>
      </c>
      <c r="C45" t="s">
        <v>677</v>
      </c>
      <c r="E45" t="s">
        <v>677</v>
      </c>
      <c r="F45" t="s">
        <v>688</v>
      </c>
      <c r="G45" s="23" t="s">
        <v>716</v>
      </c>
      <c r="H45" t="s">
        <v>647</v>
      </c>
      <c r="I45" t="s">
        <v>689</v>
      </c>
      <c r="J45" t="s">
        <v>690</v>
      </c>
      <c r="K45" t="s">
        <v>691</v>
      </c>
      <c r="L45" t="s">
        <v>677</v>
      </c>
    </row>
    <row r="46" spans="2:14" x14ac:dyDescent="0.2">
      <c r="B46" s="28">
        <v>10088432102348</v>
      </c>
      <c r="C46" t="s">
        <v>678</v>
      </c>
      <c r="E46" t="s">
        <v>678</v>
      </c>
      <c r="F46" t="s">
        <v>688</v>
      </c>
      <c r="G46" s="23">
        <v>1699</v>
      </c>
      <c r="H46" t="s">
        <v>647</v>
      </c>
      <c r="I46" t="s">
        <v>689</v>
      </c>
      <c r="J46" t="s">
        <v>690</v>
      </c>
      <c r="K46" t="s">
        <v>691</v>
      </c>
      <c r="L46" t="s">
        <v>678</v>
      </c>
    </row>
    <row r="47" spans="2:14" x14ac:dyDescent="0.2">
      <c r="B47" s="28"/>
      <c r="G47" s="27"/>
    </row>
    <row r="48" spans="2:14" x14ac:dyDescent="0.2">
      <c r="B48" s="28">
        <v>10030351085942</v>
      </c>
      <c r="C48" t="s">
        <v>693</v>
      </c>
      <c r="E48" t="s">
        <v>693</v>
      </c>
      <c r="F48" t="s">
        <v>697</v>
      </c>
      <c r="G48" s="27">
        <v>629</v>
      </c>
      <c r="H48" t="s">
        <v>647</v>
      </c>
      <c r="I48" t="s">
        <v>689</v>
      </c>
      <c r="J48" t="s">
        <v>690</v>
      </c>
      <c r="K48" t="s">
        <v>699</v>
      </c>
      <c r="L48" t="s">
        <v>693</v>
      </c>
    </row>
    <row r="49" spans="2:12" x14ac:dyDescent="0.2">
      <c r="B49" s="28">
        <v>71357337413</v>
      </c>
      <c r="C49" t="s">
        <v>694</v>
      </c>
      <c r="E49" t="s">
        <v>694</v>
      </c>
      <c r="F49" t="s">
        <v>698</v>
      </c>
      <c r="G49" s="27">
        <v>949</v>
      </c>
      <c r="H49" t="s">
        <v>647</v>
      </c>
      <c r="I49" t="s">
        <v>689</v>
      </c>
      <c r="J49" t="s">
        <v>701</v>
      </c>
      <c r="K49" t="s">
        <v>699</v>
      </c>
      <c r="L49" t="s">
        <v>694</v>
      </c>
    </row>
    <row r="50" spans="2:12" x14ac:dyDescent="0.2">
      <c r="B50" s="28">
        <v>10139145914356</v>
      </c>
      <c r="C50" t="s">
        <v>695</v>
      </c>
      <c r="E50" t="s">
        <v>695</v>
      </c>
      <c r="F50" t="s">
        <v>700</v>
      </c>
      <c r="G50" s="27">
        <v>1699</v>
      </c>
      <c r="H50" t="s">
        <v>647</v>
      </c>
      <c r="I50" t="s">
        <v>689</v>
      </c>
      <c r="J50" t="s">
        <v>701</v>
      </c>
      <c r="K50" t="s">
        <v>699</v>
      </c>
      <c r="L50" t="s">
        <v>695</v>
      </c>
    </row>
    <row r="51" spans="2:12" x14ac:dyDescent="0.2">
      <c r="B51" s="28">
        <v>10021525459615</v>
      </c>
      <c r="C51" t="s">
        <v>696</v>
      </c>
      <c r="E51" t="s">
        <v>696</v>
      </c>
      <c r="F51" t="s">
        <v>698</v>
      </c>
      <c r="G51" s="27">
        <v>1499</v>
      </c>
      <c r="H51" t="s">
        <v>645</v>
      </c>
      <c r="I51" t="s">
        <v>647</v>
      </c>
      <c r="J51" t="s">
        <v>689</v>
      </c>
      <c r="K51" t="s">
        <v>699</v>
      </c>
      <c r="L51" t="s">
        <v>696</v>
      </c>
    </row>
    <row r="52" spans="2:12" x14ac:dyDescent="0.2">
      <c r="B52" s="28"/>
      <c r="G52" s="27"/>
    </row>
    <row r="53" spans="2:12" x14ac:dyDescent="0.2">
      <c r="B53" s="28">
        <v>10021524980748</v>
      </c>
      <c r="C53" t="s">
        <v>696</v>
      </c>
      <c r="E53" t="s">
        <v>696</v>
      </c>
      <c r="F53" t="s">
        <v>698</v>
      </c>
      <c r="G53" s="27">
        <v>1499</v>
      </c>
      <c r="H53" t="s">
        <v>645</v>
      </c>
      <c r="I53" t="s">
        <v>647</v>
      </c>
      <c r="J53" t="s">
        <v>689</v>
      </c>
      <c r="K53" t="s">
        <v>699</v>
      </c>
      <c r="L53" t="s">
        <v>696</v>
      </c>
    </row>
    <row r="54" spans="2:12" x14ac:dyDescent="0.2">
      <c r="B54" s="28">
        <v>10108527146197</v>
      </c>
      <c r="C54" t="s">
        <v>704</v>
      </c>
      <c r="E54" t="s">
        <v>704</v>
      </c>
      <c r="F54" t="s">
        <v>712</v>
      </c>
      <c r="G54" s="27">
        <v>1449</v>
      </c>
      <c r="H54" t="s">
        <v>647</v>
      </c>
      <c r="I54" t="s">
        <v>689</v>
      </c>
      <c r="J54" t="s">
        <v>701</v>
      </c>
      <c r="K54" t="s">
        <v>699</v>
      </c>
      <c r="L54" t="s">
        <v>704</v>
      </c>
    </row>
    <row r="55" spans="2:12" x14ac:dyDescent="0.2">
      <c r="B55" s="28">
        <v>10162905479849</v>
      </c>
      <c r="C55" t="s">
        <v>640</v>
      </c>
      <c r="E55" t="s">
        <v>640</v>
      </c>
      <c r="F55" t="s">
        <v>707</v>
      </c>
      <c r="G55" s="27">
        <v>1699</v>
      </c>
      <c r="H55" t="s">
        <v>715</v>
      </c>
      <c r="I55" t="s">
        <v>708</v>
      </c>
      <c r="J55" t="s">
        <v>709</v>
      </c>
      <c r="K55" t="s">
        <v>647</v>
      </c>
      <c r="L55" t="s">
        <v>640</v>
      </c>
    </row>
    <row r="56" spans="2:12" x14ac:dyDescent="0.2">
      <c r="B56" s="28">
        <v>10035626675403</v>
      </c>
      <c r="C56" t="s">
        <v>705</v>
      </c>
      <c r="E56" t="s">
        <v>705</v>
      </c>
      <c r="F56" t="s">
        <v>710</v>
      </c>
      <c r="G56" s="27">
        <v>2699</v>
      </c>
      <c r="H56" t="s">
        <v>645</v>
      </c>
      <c r="I56" t="s">
        <v>647</v>
      </c>
      <c r="J56" t="s">
        <v>689</v>
      </c>
      <c r="K56" t="s">
        <v>699</v>
      </c>
      <c r="L56" t="s">
        <v>705</v>
      </c>
    </row>
    <row r="57" spans="2:12" x14ac:dyDescent="0.2">
      <c r="B57" s="28">
        <v>10125785668421</v>
      </c>
      <c r="C57" t="s">
        <v>706</v>
      </c>
      <c r="E57" t="s">
        <v>706</v>
      </c>
      <c r="F57" t="s">
        <v>711</v>
      </c>
      <c r="G57" s="27">
        <v>1999</v>
      </c>
      <c r="H57" t="s">
        <v>647</v>
      </c>
      <c r="I57" t="s">
        <v>689</v>
      </c>
      <c r="J57" t="s">
        <v>690</v>
      </c>
      <c r="K57" t="s">
        <v>699</v>
      </c>
      <c r="L57" t="s">
        <v>706</v>
      </c>
    </row>
    <row r="58" spans="2:12" x14ac:dyDescent="0.2">
      <c r="B58" s="28"/>
      <c r="G58" s="27"/>
    </row>
    <row r="59" spans="2:12" x14ac:dyDescent="0.2">
      <c r="B59" s="28">
        <v>10162907121614</v>
      </c>
      <c r="C59" t="s">
        <v>640</v>
      </c>
      <c r="E59" t="s">
        <v>641</v>
      </c>
      <c r="F59" t="s">
        <v>707</v>
      </c>
      <c r="G59" s="27">
        <v>1699</v>
      </c>
      <c r="H59" t="s">
        <v>715</v>
      </c>
      <c r="I59" t="s">
        <v>708</v>
      </c>
      <c r="J59" t="s">
        <v>709</v>
      </c>
      <c r="K59" t="s">
        <v>647</v>
      </c>
      <c r="L59" t="s">
        <v>640</v>
      </c>
    </row>
    <row r="60" spans="2:12" x14ac:dyDescent="0.2">
      <c r="B60" s="28"/>
      <c r="G60" s="27"/>
    </row>
    <row r="61" spans="2:12" x14ac:dyDescent="0.2">
      <c r="B61" s="28">
        <v>10147249762730</v>
      </c>
      <c r="C61" t="s">
        <v>703</v>
      </c>
      <c r="E61" t="s">
        <v>703</v>
      </c>
      <c r="F61" t="s">
        <v>712</v>
      </c>
      <c r="G61" s="27">
        <v>3199</v>
      </c>
      <c r="H61" t="s">
        <v>713</v>
      </c>
      <c r="I61" t="s">
        <v>714</v>
      </c>
      <c r="J61" t="s">
        <v>709</v>
      </c>
      <c r="K61" t="s">
        <v>647</v>
      </c>
      <c r="L61" t="s">
        <v>703</v>
      </c>
    </row>
    <row r="62" spans="2:12" x14ac:dyDescent="0.2">
      <c r="B62" s="28"/>
      <c r="G62" s="27"/>
    </row>
    <row r="63" spans="2:12" x14ac:dyDescent="0.2">
      <c r="B63" s="28">
        <v>10117965576192</v>
      </c>
      <c r="C63" t="s">
        <v>643</v>
      </c>
      <c r="E63" t="s">
        <v>643</v>
      </c>
      <c r="F63" t="s">
        <v>648</v>
      </c>
      <c r="G63" s="27">
        <v>3699</v>
      </c>
      <c r="H63" t="s">
        <v>679</v>
      </c>
      <c r="I63" t="s">
        <v>680</v>
      </c>
      <c r="J63" t="s">
        <v>681</v>
      </c>
      <c r="K63" t="s">
        <v>646</v>
      </c>
      <c r="L63" t="s">
        <v>643</v>
      </c>
    </row>
    <row r="64" spans="2:12" x14ac:dyDescent="0.2">
      <c r="B64" s="28">
        <v>10117965576193</v>
      </c>
      <c r="C64" t="s">
        <v>644</v>
      </c>
      <c r="E64" t="s">
        <v>644</v>
      </c>
      <c r="F64" t="s">
        <v>682</v>
      </c>
      <c r="G64" s="27">
        <v>4899</v>
      </c>
      <c r="H64" t="s">
        <v>679</v>
      </c>
      <c r="I64" t="s">
        <v>680</v>
      </c>
      <c r="J64" t="s">
        <v>681</v>
      </c>
      <c r="K64" t="s">
        <v>646</v>
      </c>
      <c r="L64" t="s">
        <v>644</v>
      </c>
    </row>
    <row r="65" spans="2:14" x14ac:dyDescent="0.2">
      <c r="B65" s="28">
        <v>10166682363955</v>
      </c>
      <c r="C65" t="s">
        <v>642</v>
      </c>
      <c r="E65" t="s">
        <v>642</v>
      </c>
      <c r="F65" t="s">
        <v>683</v>
      </c>
      <c r="G65" s="27">
        <v>6999</v>
      </c>
      <c r="H65" t="s">
        <v>684</v>
      </c>
      <c r="I65" t="s">
        <v>685</v>
      </c>
      <c r="J65" t="s">
        <v>686</v>
      </c>
      <c r="K65" t="s">
        <v>687</v>
      </c>
      <c r="L65" t="s">
        <v>642</v>
      </c>
    </row>
    <row r="66" spans="2:14" x14ac:dyDescent="0.2">
      <c r="B66" s="28"/>
      <c r="G66" s="27"/>
    </row>
    <row r="67" spans="2:14" x14ac:dyDescent="0.2">
      <c r="B67" s="28"/>
      <c r="G67" s="27"/>
    </row>
    <row r="68" spans="2:14" x14ac:dyDescent="0.2">
      <c r="B68" s="28">
        <v>10097440713247</v>
      </c>
      <c r="C68" t="s">
        <v>923</v>
      </c>
      <c r="D68" t="s">
        <v>468</v>
      </c>
      <c r="E68" t="s">
        <v>927</v>
      </c>
      <c r="F68" t="s">
        <v>953</v>
      </c>
      <c r="G68" s="27">
        <v>329</v>
      </c>
      <c r="H68" t="s">
        <v>933</v>
      </c>
      <c r="I68" t="s">
        <v>929</v>
      </c>
      <c r="J68" t="s">
        <v>930</v>
      </c>
      <c r="K68" t="s">
        <v>931</v>
      </c>
      <c r="L68" t="s">
        <v>923</v>
      </c>
    </row>
    <row r="69" spans="2:14" x14ac:dyDescent="0.2">
      <c r="B69" s="28">
        <v>10097440713246</v>
      </c>
      <c r="C69" t="s">
        <v>924</v>
      </c>
      <c r="D69" t="s">
        <v>468</v>
      </c>
      <c r="E69" t="s">
        <v>928</v>
      </c>
      <c r="F69" t="s">
        <v>953</v>
      </c>
      <c r="G69" s="27">
        <v>349</v>
      </c>
      <c r="H69" t="s">
        <v>933</v>
      </c>
      <c r="I69" t="s">
        <v>929</v>
      </c>
      <c r="J69" t="s">
        <v>930</v>
      </c>
      <c r="K69" t="s">
        <v>931</v>
      </c>
      <c r="L69" t="s">
        <v>924</v>
      </c>
    </row>
    <row r="70" spans="2:14" x14ac:dyDescent="0.2">
      <c r="B70" s="28">
        <v>10137552955906</v>
      </c>
      <c r="C70" t="s">
        <v>923</v>
      </c>
      <c r="D70" t="s">
        <v>773</v>
      </c>
      <c r="E70" t="s">
        <v>927</v>
      </c>
      <c r="F70" t="s">
        <v>935</v>
      </c>
      <c r="G70" s="27">
        <v>529</v>
      </c>
      <c r="H70" t="s">
        <v>933</v>
      </c>
      <c r="I70" t="s">
        <v>929</v>
      </c>
      <c r="J70" t="s">
        <v>930</v>
      </c>
      <c r="K70" t="s">
        <v>931</v>
      </c>
      <c r="L70" t="s">
        <v>923</v>
      </c>
      <c r="M70" t="s">
        <v>773</v>
      </c>
      <c r="N70" t="s">
        <v>942</v>
      </c>
    </row>
    <row r="71" spans="2:14" x14ac:dyDescent="0.2">
      <c r="B71" s="28">
        <v>10137552955907</v>
      </c>
      <c r="C71" t="s">
        <v>924</v>
      </c>
      <c r="D71" t="s">
        <v>774</v>
      </c>
      <c r="E71" t="s">
        <v>928</v>
      </c>
      <c r="F71" t="s">
        <v>937</v>
      </c>
      <c r="G71" s="27">
        <v>549</v>
      </c>
      <c r="H71" t="s">
        <v>933</v>
      </c>
      <c r="I71" t="s">
        <v>929</v>
      </c>
      <c r="J71" t="s">
        <v>930</v>
      </c>
      <c r="K71" t="s">
        <v>931</v>
      </c>
      <c r="L71" t="s">
        <v>924</v>
      </c>
      <c r="M71" t="s">
        <v>774</v>
      </c>
      <c r="N71" t="s">
        <v>942</v>
      </c>
    </row>
    <row r="72" spans="2:14" x14ac:dyDescent="0.2">
      <c r="B72" s="28">
        <v>10098418930173</v>
      </c>
      <c r="C72" t="s">
        <v>923</v>
      </c>
      <c r="D72" t="s">
        <v>775</v>
      </c>
      <c r="E72" t="s">
        <v>927</v>
      </c>
      <c r="F72" t="s">
        <v>939</v>
      </c>
      <c r="G72" s="27">
        <v>679</v>
      </c>
      <c r="H72" t="s">
        <v>933</v>
      </c>
      <c r="I72" t="s">
        <v>929</v>
      </c>
      <c r="J72" t="s">
        <v>930</v>
      </c>
      <c r="K72" t="s">
        <v>931</v>
      </c>
      <c r="L72" t="s">
        <v>923</v>
      </c>
      <c r="M72" t="s">
        <v>775</v>
      </c>
      <c r="N72" t="s">
        <v>942</v>
      </c>
    </row>
    <row r="73" spans="2:14" x14ac:dyDescent="0.2">
      <c r="B73" s="28">
        <v>10098418930172</v>
      </c>
      <c r="C73" t="s">
        <v>924</v>
      </c>
      <c r="D73" t="s">
        <v>776</v>
      </c>
      <c r="E73" t="s">
        <v>928</v>
      </c>
      <c r="F73" t="s">
        <v>941</v>
      </c>
      <c r="G73" s="27">
        <v>699</v>
      </c>
      <c r="H73" t="s">
        <v>933</v>
      </c>
      <c r="I73" t="s">
        <v>929</v>
      </c>
      <c r="J73" t="s">
        <v>930</v>
      </c>
      <c r="K73" t="s">
        <v>931</v>
      </c>
      <c r="L73" t="s">
        <v>924</v>
      </c>
      <c r="M73" t="s">
        <v>776</v>
      </c>
      <c r="N73" t="s">
        <v>942</v>
      </c>
    </row>
    <row r="74" spans="2:14" x14ac:dyDescent="0.2">
      <c r="B74" s="28">
        <v>10098590566171</v>
      </c>
      <c r="C74" t="s">
        <v>923</v>
      </c>
      <c r="D74" t="s">
        <v>925</v>
      </c>
      <c r="E74" t="s">
        <v>927</v>
      </c>
      <c r="F74" t="s">
        <v>944</v>
      </c>
      <c r="G74" s="27">
        <v>869</v>
      </c>
      <c r="H74" t="s">
        <v>933</v>
      </c>
      <c r="I74" t="s">
        <v>929</v>
      </c>
      <c r="J74" t="s">
        <v>930</v>
      </c>
      <c r="K74" t="s">
        <v>931</v>
      </c>
      <c r="L74" t="s">
        <v>923</v>
      </c>
      <c r="M74" t="s">
        <v>925</v>
      </c>
      <c r="N74" t="s">
        <v>942</v>
      </c>
    </row>
    <row r="75" spans="2:14" x14ac:dyDescent="0.2">
      <c r="B75" s="28">
        <v>10098590566170</v>
      </c>
      <c r="C75" t="s">
        <v>924</v>
      </c>
      <c r="D75" t="s">
        <v>926</v>
      </c>
      <c r="E75" t="s">
        <v>928</v>
      </c>
      <c r="F75" t="s">
        <v>946</v>
      </c>
      <c r="G75" s="27">
        <v>879</v>
      </c>
      <c r="H75" t="s">
        <v>933</v>
      </c>
      <c r="I75" t="s">
        <v>929</v>
      </c>
      <c r="J75" t="s">
        <v>930</v>
      </c>
      <c r="K75" t="s">
        <v>931</v>
      </c>
      <c r="L75" t="s">
        <v>924</v>
      </c>
      <c r="M75" t="s">
        <v>926</v>
      </c>
      <c r="N75" t="s">
        <v>942</v>
      </c>
    </row>
    <row r="76" spans="2:14" x14ac:dyDescent="0.2">
      <c r="B76" s="28">
        <v>10098418930177</v>
      </c>
      <c r="C76" t="s">
        <v>923</v>
      </c>
      <c r="D76" t="s">
        <v>741</v>
      </c>
      <c r="E76" t="s">
        <v>927</v>
      </c>
      <c r="F76" t="s">
        <v>948</v>
      </c>
      <c r="G76" s="27">
        <v>1079</v>
      </c>
      <c r="H76" t="s">
        <v>933</v>
      </c>
      <c r="I76" t="s">
        <v>929</v>
      </c>
      <c r="J76" t="s">
        <v>930</v>
      </c>
      <c r="K76" t="s">
        <v>931</v>
      </c>
      <c r="L76" t="s">
        <v>923</v>
      </c>
      <c r="M76" t="s">
        <v>741</v>
      </c>
      <c r="N76" t="s">
        <v>942</v>
      </c>
    </row>
    <row r="77" spans="2:14" x14ac:dyDescent="0.2">
      <c r="B77" s="28">
        <v>10098418930176</v>
      </c>
      <c r="C77" t="s">
        <v>924</v>
      </c>
      <c r="D77" t="s">
        <v>742</v>
      </c>
      <c r="E77" t="s">
        <v>928</v>
      </c>
      <c r="F77" t="s">
        <v>950</v>
      </c>
      <c r="G77" s="27">
        <v>1099</v>
      </c>
      <c r="H77" t="s">
        <v>933</v>
      </c>
      <c r="I77" t="s">
        <v>929</v>
      </c>
      <c r="J77" t="s">
        <v>930</v>
      </c>
      <c r="K77" t="s">
        <v>931</v>
      </c>
      <c r="L77" t="s">
        <v>924</v>
      </c>
      <c r="M77" t="s">
        <v>742</v>
      </c>
      <c r="N77" t="s">
        <v>942</v>
      </c>
    </row>
    <row r="78" spans="2:14" x14ac:dyDescent="0.2">
      <c r="B78" s="28"/>
      <c r="G78" s="27"/>
    </row>
    <row r="79" spans="2:14" x14ac:dyDescent="0.2">
      <c r="B79" s="28"/>
      <c r="G79" s="27"/>
    </row>
    <row r="80" spans="2:14" x14ac:dyDescent="0.2">
      <c r="B80" s="28"/>
      <c r="G80" s="27"/>
    </row>
    <row r="81" spans="2:14" x14ac:dyDescent="0.2">
      <c r="B81" s="28">
        <v>70081768544</v>
      </c>
      <c r="C81" t="s">
        <v>951</v>
      </c>
      <c r="D81" t="s">
        <v>468</v>
      </c>
      <c r="E81" t="s">
        <v>952</v>
      </c>
      <c r="F81" t="s">
        <v>932</v>
      </c>
      <c r="G81" s="27">
        <v>179</v>
      </c>
      <c r="H81" t="s">
        <v>933</v>
      </c>
      <c r="I81" t="s">
        <v>929</v>
      </c>
      <c r="J81" t="s">
        <v>930</v>
      </c>
      <c r="K81" t="s">
        <v>931</v>
      </c>
      <c r="L81" t="s">
        <v>951</v>
      </c>
    </row>
    <row r="82" spans="2:14" x14ac:dyDescent="0.2">
      <c r="B82" s="28">
        <v>10025744550162</v>
      </c>
      <c r="C82" t="s">
        <v>951</v>
      </c>
      <c r="D82" t="s">
        <v>773</v>
      </c>
      <c r="E82" t="s">
        <v>952</v>
      </c>
      <c r="F82" t="s">
        <v>935</v>
      </c>
      <c r="G82" s="27">
        <v>449</v>
      </c>
      <c r="H82" t="s">
        <v>933</v>
      </c>
      <c r="I82" t="s">
        <v>929</v>
      </c>
      <c r="J82" t="s">
        <v>930</v>
      </c>
      <c r="K82" t="s">
        <v>931</v>
      </c>
      <c r="L82" t="s">
        <v>951</v>
      </c>
      <c r="M82" t="s">
        <v>773</v>
      </c>
      <c r="N82" t="s">
        <v>942</v>
      </c>
    </row>
    <row r="83" spans="2:14" x14ac:dyDescent="0.2">
      <c r="B83" s="28">
        <v>10025744550163</v>
      </c>
      <c r="C83" t="s">
        <v>951</v>
      </c>
      <c r="D83" t="s">
        <v>775</v>
      </c>
      <c r="E83" t="s">
        <v>952</v>
      </c>
      <c r="F83" t="s">
        <v>939</v>
      </c>
      <c r="G83" s="27">
        <v>529</v>
      </c>
      <c r="H83" t="s">
        <v>933</v>
      </c>
      <c r="I83" t="s">
        <v>929</v>
      </c>
      <c r="J83" t="s">
        <v>930</v>
      </c>
      <c r="K83" t="s">
        <v>931</v>
      </c>
      <c r="L83" t="s">
        <v>951</v>
      </c>
      <c r="M83" t="s">
        <v>775</v>
      </c>
      <c r="N83" t="s">
        <v>942</v>
      </c>
    </row>
    <row r="84" spans="2:14" x14ac:dyDescent="0.2">
      <c r="B84" s="28">
        <v>10025744550164</v>
      </c>
      <c r="C84" t="s">
        <v>951</v>
      </c>
      <c r="D84" t="s">
        <v>925</v>
      </c>
      <c r="E84" t="s">
        <v>952</v>
      </c>
      <c r="F84" t="s">
        <v>944</v>
      </c>
      <c r="G84" s="27">
        <v>799</v>
      </c>
      <c r="H84" t="s">
        <v>933</v>
      </c>
      <c r="I84" t="s">
        <v>929</v>
      </c>
      <c r="J84" t="s">
        <v>930</v>
      </c>
      <c r="K84" t="s">
        <v>931</v>
      </c>
      <c r="L84" t="s">
        <v>951</v>
      </c>
      <c r="M84" t="s">
        <v>925</v>
      </c>
      <c r="N84" t="s">
        <v>942</v>
      </c>
    </row>
    <row r="85" spans="2:14" x14ac:dyDescent="0.2">
      <c r="B85" s="28">
        <v>10069543169969</v>
      </c>
      <c r="C85" t="s">
        <v>951</v>
      </c>
      <c r="D85" t="s">
        <v>741</v>
      </c>
      <c r="E85" t="s">
        <v>952</v>
      </c>
      <c r="F85" t="s">
        <v>948</v>
      </c>
      <c r="G85" s="27">
        <v>949</v>
      </c>
      <c r="H85" t="s">
        <v>933</v>
      </c>
      <c r="I85" t="s">
        <v>929</v>
      </c>
      <c r="J85" t="s">
        <v>930</v>
      </c>
      <c r="K85" t="s">
        <v>931</v>
      </c>
      <c r="L85" t="s">
        <v>951</v>
      </c>
      <c r="M85" t="s">
        <v>741</v>
      </c>
      <c r="N85" t="s">
        <v>942</v>
      </c>
    </row>
    <row r="86" spans="2:14" x14ac:dyDescent="0.2">
      <c r="B86" s="28"/>
      <c r="G86" s="27"/>
    </row>
    <row r="87" spans="2:14" x14ac:dyDescent="0.2">
      <c r="B87" s="28">
        <v>10100675083252</v>
      </c>
      <c r="C87" t="s">
        <v>954</v>
      </c>
      <c r="D87" t="s">
        <v>468</v>
      </c>
      <c r="E87" t="s">
        <v>956</v>
      </c>
      <c r="F87" t="s">
        <v>958</v>
      </c>
      <c r="G87" s="27">
        <v>349</v>
      </c>
      <c r="H87" t="s">
        <v>959</v>
      </c>
      <c r="I87" t="s">
        <v>960</v>
      </c>
      <c r="J87" t="s">
        <v>930</v>
      </c>
      <c r="K87" t="s">
        <v>931</v>
      </c>
      <c r="L87" t="s">
        <v>954</v>
      </c>
      <c r="M87" t="s">
        <v>468</v>
      </c>
    </row>
    <row r="88" spans="2:14" x14ac:dyDescent="0.2">
      <c r="B88" s="28">
        <v>10100675083257</v>
      </c>
      <c r="C88" t="s">
        <v>955</v>
      </c>
      <c r="D88" t="s">
        <v>468</v>
      </c>
      <c r="E88" t="s">
        <v>957</v>
      </c>
      <c r="F88" t="s">
        <v>958</v>
      </c>
      <c r="G88" s="27">
        <v>369</v>
      </c>
      <c r="H88" t="s">
        <v>959</v>
      </c>
      <c r="I88" t="s">
        <v>960</v>
      </c>
      <c r="J88" t="s">
        <v>930</v>
      </c>
      <c r="K88" t="s">
        <v>931</v>
      </c>
      <c r="L88" t="s">
        <v>955</v>
      </c>
      <c r="M88" t="s">
        <v>468</v>
      </c>
    </row>
    <row r="89" spans="2:14" x14ac:dyDescent="0.2">
      <c r="B89" s="28">
        <v>10137553491859</v>
      </c>
      <c r="C89" t="s">
        <v>954</v>
      </c>
      <c r="D89" t="s">
        <v>773</v>
      </c>
      <c r="E89" t="s">
        <v>956</v>
      </c>
      <c r="F89" t="s">
        <v>934</v>
      </c>
      <c r="G89" s="27">
        <v>539</v>
      </c>
      <c r="H89" t="s">
        <v>959</v>
      </c>
      <c r="I89" t="s">
        <v>960</v>
      </c>
      <c r="J89" t="s">
        <v>930</v>
      </c>
      <c r="K89" t="s">
        <v>931</v>
      </c>
      <c r="L89" t="s">
        <v>954</v>
      </c>
      <c r="M89" t="s">
        <v>773</v>
      </c>
      <c r="N89" t="s">
        <v>942</v>
      </c>
    </row>
    <row r="90" spans="2:14" x14ac:dyDescent="0.2">
      <c r="B90" s="28">
        <v>10137553491860</v>
      </c>
      <c r="C90" t="s">
        <v>955</v>
      </c>
      <c r="D90" t="s">
        <v>774</v>
      </c>
      <c r="E90" t="s">
        <v>957</v>
      </c>
      <c r="F90" t="s">
        <v>936</v>
      </c>
      <c r="G90" s="27">
        <v>559</v>
      </c>
      <c r="H90" t="s">
        <v>959</v>
      </c>
      <c r="I90" t="s">
        <v>960</v>
      </c>
      <c r="J90" t="s">
        <v>930</v>
      </c>
      <c r="K90" t="s">
        <v>931</v>
      </c>
      <c r="L90" t="s">
        <v>955</v>
      </c>
      <c r="M90" t="s">
        <v>774</v>
      </c>
      <c r="N90" t="s">
        <v>942</v>
      </c>
    </row>
    <row r="91" spans="2:14" x14ac:dyDescent="0.2">
      <c r="B91" s="28">
        <v>10100675083253</v>
      </c>
      <c r="C91" t="s">
        <v>954</v>
      </c>
      <c r="D91" t="s">
        <v>775</v>
      </c>
      <c r="E91" t="s">
        <v>956</v>
      </c>
      <c r="F91" t="s">
        <v>938</v>
      </c>
      <c r="G91" s="27">
        <v>679</v>
      </c>
      <c r="H91" t="s">
        <v>959</v>
      </c>
      <c r="I91" t="s">
        <v>960</v>
      </c>
      <c r="J91" t="s">
        <v>930</v>
      </c>
      <c r="K91" t="s">
        <v>931</v>
      </c>
      <c r="L91" t="s">
        <v>954</v>
      </c>
      <c r="M91" t="s">
        <v>775</v>
      </c>
      <c r="N91" t="s">
        <v>942</v>
      </c>
    </row>
    <row r="92" spans="2:14" x14ac:dyDescent="0.2">
      <c r="B92" s="28">
        <v>10100675083258</v>
      </c>
      <c r="C92" t="s">
        <v>955</v>
      </c>
      <c r="D92" t="s">
        <v>776</v>
      </c>
      <c r="E92" t="s">
        <v>957</v>
      </c>
      <c r="F92" t="s">
        <v>940</v>
      </c>
      <c r="G92" s="27">
        <v>699</v>
      </c>
      <c r="H92" t="s">
        <v>959</v>
      </c>
      <c r="I92" t="s">
        <v>960</v>
      </c>
      <c r="J92" t="s">
        <v>930</v>
      </c>
      <c r="K92" t="s">
        <v>931</v>
      </c>
      <c r="L92" t="s">
        <v>955</v>
      </c>
      <c r="M92" t="s">
        <v>776</v>
      </c>
      <c r="N92" t="s">
        <v>942</v>
      </c>
    </row>
    <row r="93" spans="2:14" x14ac:dyDescent="0.2">
      <c r="B93" s="28">
        <v>10100675083254</v>
      </c>
      <c r="C93" t="s">
        <v>954</v>
      </c>
      <c r="D93" t="s">
        <v>925</v>
      </c>
      <c r="E93" t="s">
        <v>956</v>
      </c>
      <c r="F93" t="s">
        <v>943</v>
      </c>
      <c r="G93" s="27">
        <v>879</v>
      </c>
      <c r="H93" t="s">
        <v>959</v>
      </c>
      <c r="I93" t="s">
        <v>960</v>
      </c>
      <c r="J93" t="s">
        <v>930</v>
      </c>
      <c r="K93" t="s">
        <v>931</v>
      </c>
      <c r="L93" t="s">
        <v>954</v>
      </c>
      <c r="M93" t="s">
        <v>925</v>
      </c>
      <c r="N93" t="s">
        <v>942</v>
      </c>
    </row>
    <row r="94" spans="2:14" x14ac:dyDescent="0.2">
      <c r="B94" s="28">
        <v>10100675083259</v>
      </c>
      <c r="C94" t="s">
        <v>955</v>
      </c>
      <c r="D94" t="s">
        <v>926</v>
      </c>
      <c r="E94" t="s">
        <v>957</v>
      </c>
      <c r="F94" t="s">
        <v>945</v>
      </c>
      <c r="G94" s="27">
        <v>899</v>
      </c>
      <c r="H94" t="s">
        <v>959</v>
      </c>
      <c r="I94" t="s">
        <v>960</v>
      </c>
      <c r="J94" t="s">
        <v>930</v>
      </c>
      <c r="K94" t="s">
        <v>931</v>
      </c>
      <c r="L94" t="s">
        <v>955</v>
      </c>
      <c r="M94" t="s">
        <v>926</v>
      </c>
      <c r="N94" t="s">
        <v>942</v>
      </c>
    </row>
    <row r="95" spans="2:14" x14ac:dyDescent="0.2">
      <c r="B95" s="28">
        <v>10100675083255</v>
      </c>
      <c r="C95" t="s">
        <v>954</v>
      </c>
      <c r="D95" t="s">
        <v>741</v>
      </c>
      <c r="E95" t="s">
        <v>956</v>
      </c>
      <c r="F95" t="s">
        <v>947</v>
      </c>
      <c r="G95" s="27">
        <v>1049</v>
      </c>
      <c r="H95" t="s">
        <v>959</v>
      </c>
      <c r="I95" t="s">
        <v>960</v>
      </c>
      <c r="J95" t="s">
        <v>930</v>
      </c>
      <c r="K95" t="s">
        <v>931</v>
      </c>
      <c r="L95" t="s">
        <v>954</v>
      </c>
      <c r="M95" t="s">
        <v>741</v>
      </c>
      <c r="N95" t="s">
        <v>942</v>
      </c>
    </row>
    <row r="96" spans="2:14" x14ac:dyDescent="0.2">
      <c r="B96" s="28">
        <v>10100675083260</v>
      </c>
      <c r="C96" t="s">
        <v>955</v>
      </c>
      <c r="D96" t="s">
        <v>742</v>
      </c>
      <c r="E96" t="s">
        <v>957</v>
      </c>
      <c r="F96" t="s">
        <v>949</v>
      </c>
      <c r="G96" s="27">
        <v>1099</v>
      </c>
      <c r="H96" t="s">
        <v>959</v>
      </c>
      <c r="I96" t="s">
        <v>960</v>
      </c>
      <c r="J96" t="s">
        <v>930</v>
      </c>
      <c r="K96" t="s">
        <v>931</v>
      </c>
      <c r="L96" t="s">
        <v>955</v>
      </c>
      <c r="M96" t="s">
        <v>742</v>
      </c>
      <c r="N96" t="s">
        <v>942</v>
      </c>
    </row>
    <row r="97" spans="2:14" x14ac:dyDescent="0.2">
      <c r="B97" s="28"/>
      <c r="G97" s="27"/>
    </row>
    <row r="98" spans="2:14" x14ac:dyDescent="0.2">
      <c r="B98" s="28"/>
      <c r="G98" s="27"/>
    </row>
    <row r="99" spans="2:14" x14ac:dyDescent="0.2">
      <c r="B99" s="28">
        <v>55310453520</v>
      </c>
      <c r="C99" t="s">
        <v>812</v>
      </c>
      <c r="D99" t="s">
        <v>468</v>
      </c>
      <c r="E99" t="s">
        <v>962</v>
      </c>
      <c r="F99" t="s">
        <v>932</v>
      </c>
      <c r="G99" s="27">
        <v>399</v>
      </c>
      <c r="H99" t="s">
        <v>964</v>
      </c>
      <c r="I99" t="s">
        <v>963</v>
      </c>
      <c r="J99" t="s">
        <v>930</v>
      </c>
      <c r="K99" t="s">
        <v>931</v>
      </c>
      <c r="L99" t="s">
        <v>812</v>
      </c>
    </row>
    <row r="100" spans="2:14" x14ac:dyDescent="0.2">
      <c r="B100" s="28">
        <v>10058667052372</v>
      </c>
      <c r="C100" t="s">
        <v>813</v>
      </c>
      <c r="D100" t="s">
        <v>468</v>
      </c>
      <c r="E100" t="s">
        <v>961</v>
      </c>
      <c r="F100" t="s">
        <v>932</v>
      </c>
      <c r="G100" s="27">
        <v>449</v>
      </c>
      <c r="H100" t="s">
        <v>964</v>
      </c>
      <c r="I100" t="s">
        <v>963</v>
      </c>
      <c r="J100" t="s">
        <v>930</v>
      </c>
      <c r="K100" t="s">
        <v>931</v>
      </c>
      <c r="L100" t="s">
        <v>813</v>
      </c>
    </row>
    <row r="101" spans="2:14" x14ac:dyDescent="0.2">
      <c r="B101" s="28">
        <v>55920843059</v>
      </c>
      <c r="C101" t="s">
        <v>812</v>
      </c>
      <c r="D101" t="s">
        <v>773</v>
      </c>
      <c r="E101" t="s">
        <v>962</v>
      </c>
      <c r="F101" t="s">
        <v>934</v>
      </c>
      <c r="G101" s="27">
        <v>599</v>
      </c>
      <c r="H101" t="s">
        <v>964</v>
      </c>
      <c r="I101" t="s">
        <v>963</v>
      </c>
      <c r="J101" t="s">
        <v>930</v>
      </c>
      <c r="K101" t="s">
        <v>931</v>
      </c>
      <c r="L101" t="s">
        <v>812</v>
      </c>
      <c r="M101" t="s">
        <v>773</v>
      </c>
      <c r="N101" t="s">
        <v>942</v>
      </c>
    </row>
    <row r="102" spans="2:14" x14ac:dyDescent="0.2">
      <c r="B102" s="28">
        <v>10058667052373</v>
      </c>
      <c r="C102" t="s">
        <v>813</v>
      </c>
      <c r="D102" t="s">
        <v>774</v>
      </c>
      <c r="E102" t="s">
        <v>961</v>
      </c>
      <c r="F102" t="s">
        <v>936</v>
      </c>
      <c r="G102" s="27">
        <v>649</v>
      </c>
      <c r="H102" t="s">
        <v>964</v>
      </c>
      <c r="I102" t="s">
        <v>963</v>
      </c>
      <c r="J102" t="s">
        <v>930</v>
      </c>
      <c r="K102" t="s">
        <v>931</v>
      </c>
      <c r="L102" t="s">
        <v>813</v>
      </c>
      <c r="M102" t="s">
        <v>774</v>
      </c>
      <c r="N102" t="s">
        <v>942</v>
      </c>
    </row>
    <row r="103" spans="2:14" x14ac:dyDescent="0.2">
      <c r="B103" s="28">
        <v>55920843058</v>
      </c>
      <c r="C103" t="s">
        <v>812</v>
      </c>
      <c r="D103" t="s">
        <v>775</v>
      </c>
      <c r="E103" t="s">
        <v>962</v>
      </c>
      <c r="F103" t="s">
        <v>938</v>
      </c>
      <c r="G103" s="27">
        <v>699</v>
      </c>
      <c r="H103" t="s">
        <v>964</v>
      </c>
      <c r="I103" t="s">
        <v>963</v>
      </c>
      <c r="J103" t="s">
        <v>930</v>
      </c>
      <c r="K103" t="s">
        <v>931</v>
      </c>
      <c r="L103" t="s">
        <v>812</v>
      </c>
      <c r="M103" t="s">
        <v>775</v>
      </c>
      <c r="N103" t="s">
        <v>942</v>
      </c>
    </row>
    <row r="104" spans="2:14" x14ac:dyDescent="0.2">
      <c r="B104" s="28">
        <v>10058667052374</v>
      </c>
      <c r="C104" t="s">
        <v>813</v>
      </c>
      <c r="D104" t="s">
        <v>776</v>
      </c>
      <c r="E104" t="s">
        <v>961</v>
      </c>
      <c r="F104" t="s">
        <v>940</v>
      </c>
      <c r="G104" s="27">
        <v>749</v>
      </c>
      <c r="H104" t="s">
        <v>964</v>
      </c>
      <c r="I104" t="s">
        <v>963</v>
      </c>
      <c r="J104" t="s">
        <v>930</v>
      </c>
      <c r="K104" t="s">
        <v>931</v>
      </c>
      <c r="L104" t="s">
        <v>813</v>
      </c>
      <c r="M104" t="s">
        <v>776</v>
      </c>
      <c r="N104" t="s">
        <v>942</v>
      </c>
    </row>
    <row r="105" spans="2:14" x14ac:dyDescent="0.2">
      <c r="B105" s="28">
        <v>55920843057</v>
      </c>
      <c r="C105" t="s">
        <v>1080</v>
      </c>
      <c r="D105" t="s">
        <v>925</v>
      </c>
      <c r="E105" t="s">
        <v>962</v>
      </c>
      <c r="F105" t="s">
        <v>943</v>
      </c>
      <c r="G105" s="27">
        <v>929</v>
      </c>
      <c r="H105" t="s">
        <v>964</v>
      </c>
      <c r="I105" t="s">
        <v>963</v>
      </c>
      <c r="J105" t="s">
        <v>930</v>
      </c>
      <c r="K105" t="s">
        <v>931</v>
      </c>
      <c r="L105" t="s">
        <v>812</v>
      </c>
      <c r="M105" t="s">
        <v>925</v>
      </c>
      <c r="N105" t="s">
        <v>942</v>
      </c>
    </row>
    <row r="106" spans="2:14" x14ac:dyDescent="0.2">
      <c r="B106" s="28">
        <v>10058667052375</v>
      </c>
      <c r="C106" t="s">
        <v>1079</v>
      </c>
      <c r="D106" t="s">
        <v>926</v>
      </c>
      <c r="E106" t="s">
        <v>961</v>
      </c>
      <c r="F106" t="s">
        <v>945</v>
      </c>
      <c r="G106" s="27">
        <v>949</v>
      </c>
      <c r="H106" t="s">
        <v>964</v>
      </c>
      <c r="I106" t="s">
        <v>963</v>
      </c>
      <c r="J106" t="s">
        <v>930</v>
      </c>
      <c r="K106" t="s">
        <v>931</v>
      </c>
      <c r="L106" t="s">
        <v>813</v>
      </c>
      <c r="M106" t="s">
        <v>926</v>
      </c>
      <c r="N106" t="s">
        <v>942</v>
      </c>
    </row>
    <row r="107" spans="2:14" x14ac:dyDescent="0.2">
      <c r="B107" s="28">
        <v>10032342968660</v>
      </c>
      <c r="C107" t="s">
        <v>812</v>
      </c>
      <c r="D107" t="s">
        <v>741</v>
      </c>
      <c r="E107" t="s">
        <v>962</v>
      </c>
      <c r="F107" t="s">
        <v>947</v>
      </c>
      <c r="G107" s="27">
        <v>1099</v>
      </c>
      <c r="H107" t="s">
        <v>964</v>
      </c>
      <c r="I107" t="s">
        <v>963</v>
      </c>
      <c r="J107" t="s">
        <v>930</v>
      </c>
      <c r="K107" t="s">
        <v>931</v>
      </c>
      <c r="L107" t="s">
        <v>812</v>
      </c>
      <c r="M107" t="s">
        <v>741</v>
      </c>
      <c r="N107" t="s">
        <v>942</v>
      </c>
    </row>
    <row r="108" spans="2:14" x14ac:dyDescent="0.2">
      <c r="B108" s="28">
        <v>10058667052376</v>
      </c>
      <c r="C108" t="s">
        <v>813</v>
      </c>
      <c r="D108" t="s">
        <v>742</v>
      </c>
      <c r="E108" t="s">
        <v>961</v>
      </c>
      <c r="F108" t="s">
        <v>949</v>
      </c>
      <c r="G108" s="27">
        <v>1149</v>
      </c>
      <c r="H108" t="s">
        <v>964</v>
      </c>
      <c r="I108" t="s">
        <v>963</v>
      </c>
      <c r="J108" t="s">
        <v>930</v>
      </c>
      <c r="K108" t="s">
        <v>931</v>
      </c>
      <c r="L108" t="s">
        <v>813</v>
      </c>
      <c r="M108" t="s">
        <v>742</v>
      </c>
      <c r="N108" t="s">
        <v>942</v>
      </c>
    </row>
    <row r="109" spans="2:14" x14ac:dyDescent="0.2">
      <c r="B109" s="28"/>
      <c r="G109" s="27"/>
    </row>
    <row r="110" spans="2:14" x14ac:dyDescent="0.2">
      <c r="B110" s="28">
        <v>10102075754933</v>
      </c>
      <c r="C110" t="s">
        <v>965</v>
      </c>
      <c r="D110" t="s">
        <v>468</v>
      </c>
      <c r="E110" t="s">
        <v>967</v>
      </c>
      <c r="F110" t="s">
        <v>968</v>
      </c>
      <c r="G110" s="27">
        <v>2199</v>
      </c>
      <c r="H110" t="s">
        <v>975</v>
      </c>
      <c r="I110" t="s">
        <v>963</v>
      </c>
      <c r="J110" t="s">
        <v>976</v>
      </c>
      <c r="K110" t="s">
        <v>977</v>
      </c>
      <c r="L110" t="s">
        <v>965</v>
      </c>
      <c r="M110" t="s">
        <v>468</v>
      </c>
    </row>
    <row r="111" spans="2:14" x14ac:dyDescent="0.2">
      <c r="B111" s="28">
        <v>10102075754934</v>
      </c>
      <c r="C111" t="s">
        <v>966</v>
      </c>
      <c r="D111" t="s">
        <v>468</v>
      </c>
      <c r="E111" t="s">
        <v>978</v>
      </c>
      <c r="F111" t="s">
        <v>968</v>
      </c>
      <c r="G111" s="27">
        <v>2399</v>
      </c>
      <c r="H111" t="s">
        <v>975</v>
      </c>
      <c r="I111" t="s">
        <v>963</v>
      </c>
      <c r="J111" t="s">
        <v>976</v>
      </c>
      <c r="K111" t="s">
        <v>977</v>
      </c>
      <c r="L111" t="s">
        <v>966</v>
      </c>
      <c r="M111" t="s">
        <v>468</v>
      </c>
    </row>
    <row r="112" spans="2:14" x14ac:dyDescent="0.2">
      <c r="B112" s="28">
        <v>10171543094502</v>
      </c>
      <c r="C112" t="s">
        <v>965</v>
      </c>
      <c r="D112" t="s">
        <v>741</v>
      </c>
      <c r="E112" t="s">
        <v>967</v>
      </c>
      <c r="F112" t="s">
        <v>947</v>
      </c>
      <c r="G112" s="27">
        <v>2699</v>
      </c>
      <c r="H112" t="s">
        <v>975</v>
      </c>
      <c r="I112" t="s">
        <v>963</v>
      </c>
      <c r="J112" t="s">
        <v>976</v>
      </c>
      <c r="K112" t="s">
        <v>977</v>
      </c>
      <c r="L112" t="s">
        <v>965</v>
      </c>
      <c r="M112" t="s">
        <v>741</v>
      </c>
      <c r="N112" t="s">
        <v>942</v>
      </c>
    </row>
    <row r="113" spans="2:14" x14ac:dyDescent="0.2">
      <c r="B113" s="28">
        <v>10171543094503</v>
      </c>
      <c r="C113" t="s">
        <v>966</v>
      </c>
      <c r="D113" t="s">
        <v>742</v>
      </c>
      <c r="E113" t="s">
        <v>978</v>
      </c>
      <c r="F113" t="s">
        <v>949</v>
      </c>
      <c r="G113" s="27">
        <v>2799</v>
      </c>
      <c r="H113" t="s">
        <v>975</v>
      </c>
      <c r="I113" t="s">
        <v>963</v>
      </c>
      <c r="J113" t="s">
        <v>976</v>
      </c>
      <c r="K113" t="s">
        <v>977</v>
      </c>
      <c r="L113" t="s">
        <v>966</v>
      </c>
      <c r="M113" t="s">
        <v>742</v>
      </c>
      <c r="N113" t="s">
        <v>942</v>
      </c>
    </row>
    <row r="114" spans="2:14" x14ac:dyDescent="0.2">
      <c r="B114" s="28">
        <v>10102075754935</v>
      </c>
      <c r="C114" t="s">
        <v>965</v>
      </c>
      <c r="D114" t="s">
        <v>743</v>
      </c>
      <c r="E114" t="s">
        <v>967</v>
      </c>
      <c r="F114" t="s">
        <v>969</v>
      </c>
      <c r="G114" s="27">
        <v>2899</v>
      </c>
      <c r="H114" t="s">
        <v>975</v>
      </c>
      <c r="I114" t="s">
        <v>963</v>
      </c>
      <c r="J114" t="s">
        <v>976</v>
      </c>
      <c r="K114" t="s">
        <v>977</v>
      </c>
      <c r="L114" t="s">
        <v>965</v>
      </c>
      <c r="M114" t="s">
        <v>743</v>
      </c>
      <c r="N114" t="s">
        <v>942</v>
      </c>
    </row>
    <row r="115" spans="2:14" x14ac:dyDescent="0.2">
      <c r="B115" s="28">
        <v>10102075754936</v>
      </c>
      <c r="C115" t="s">
        <v>966</v>
      </c>
      <c r="D115" t="s">
        <v>743</v>
      </c>
      <c r="E115" t="s">
        <v>978</v>
      </c>
      <c r="F115" t="s">
        <v>969</v>
      </c>
      <c r="G115" s="27">
        <v>2999</v>
      </c>
      <c r="H115" t="s">
        <v>975</v>
      </c>
      <c r="I115" t="s">
        <v>963</v>
      </c>
      <c r="J115" t="s">
        <v>976</v>
      </c>
      <c r="K115" t="s">
        <v>977</v>
      </c>
      <c r="L115" t="s">
        <v>966</v>
      </c>
      <c r="M115" t="s">
        <v>743</v>
      </c>
      <c r="N115" t="s">
        <v>942</v>
      </c>
    </row>
    <row r="116" spans="2:14" x14ac:dyDescent="0.2">
      <c r="B116" s="28">
        <v>10102075754937</v>
      </c>
      <c r="C116" t="s">
        <v>965</v>
      </c>
      <c r="D116" t="s">
        <v>744</v>
      </c>
      <c r="E116" t="s">
        <v>967</v>
      </c>
      <c r="F116" t="s">
        <v>970</v>
      </c>
      <c r="G116" s="27">
        <v>3399</v>
      </c>
      <c r="H116" t="s">
        <v>975</v>
      </c>
      <c r="I116" t="s">
        <v>963</v>
      </c>
      <c r="J116" t="s">
        <v>976</v>
      </c>
      <c r="K116" t="s">
        <v>977</v>
      </c>
      <c r="L116" t="s">
        <v>965</v>
      </c>
      <c r="M116" t="s">
        <v>744</v>
      </c>
      <c r="N116" t="s">
        <v>942</v>
      </c>
    </row>
    <row r="117" spans="2:14" x14ac:dyDescent="0.2">
      <c r="B117" s="28">
        <v>10102075754938</v>
      </c>
      <c r="C117" t="s">
        <v>966</v>
      </c>
      <c r="D117" t="s">
        <v>744</v>
      </c>
      <c r="E117" t="s">
        <v>978</v>
      </c>
      <c r="F117" t="s">
        <v>970</v>
      </c>
      <c r="G117" s="27">
        <v>3499</v>
      </c>
      <c r="H117" t="s">
        <v>975</v>
      </c>
      <c r="I117" t="s">
        <v>963</v>
      </c>
      <c r="J117" t="s">
        <v>976</v>
      </c>
      <c r="K117" t="s">
        <v>977</v>
      </c>
      <c r="L117" t="s">
        <v>966</v>
      </c>
      <c r="M117" t="s">
        <v>744</v>
      </c>
      <c r="N117" t="s">
        <v>942</v>
      </c>
    </row>
    <row r="118" spans="2:14" x14ac:dyDescent="0.2">
      <c r="B118" s="28">
        <v>10102075754939</v>
      </c>
      <c r="C118" t="s">
        <v>965</v>
      </c>
      <c r="D118" t="s">
        <v>787</v>
      </c>
      <c r="E118" t="s">
        <v>967</v>
      </c>
      <c r="F118" t="s">
        <v>972</v>
      </c>
      <c r="G118" s="27">
        <v>2599</v>
      </c>
      <c r="H118" t="s">
        <v>975</v>
      </c>
      <c r="I118" t="s">
        <v>963</v>
      </c>
      <c r="J118" t="s">
        <v>976</v>
      </c>
      <c r="K118" t="s">
        <v>977</v>
      </c>
      <c r="L118" t="s">
        <v>965</v>
      </c>
      <c r="M118" t="s">
        <v>787</v>
      </c>
      <c r="N118" t="s">
        <v>942</v>
      </c>
    </row>
    <row r="119" spans="2:14" x14ac:dyDescent="0.2">
      <c r="B119" s="28">
        <v>10102075754940</v>
      </c>
      <c r="C119" t="s">
        <v>966</v>
      </c>
      <c r="D119" t="s">
        <v>788</v>
      </c>
      <c r="E119" t="s">
        <v>978</v>
      </c>
      <c r="F119" t="s">
        <v>971</v>
      </c>
      <c r="G119" s="27">
        <v>2699</v>
      </c>
      <c r="H119" t="s">
        <v>975</v>
      </c>
      <c r="I119" t="s">
        <v>963</v>
      </c>
      <c r="J119" t="s">
        <v>976</v>
      </c>
      <c r="K119" t="s">
        <v>977</v>
      </c>
      <c r="L119" t="s">
        <v>966</v>
      </c>
      <c r="M119" t="s">
        <v>788</v>
      </c>
      <c r="N119" t="s">
        <v>942</v>
      </c>
    </row>
    <row r="120" spans="2:14" x14ac:dyDescent="0.2">
      <c r="B120" s="28">
        <v>10102077058078</v>
      </c>
      <c r="C120" t="s">
        <v>965</v>
      </c>
      <c r="D120" t="s">
        <v>789</v>
      </c>
      <c r="E120" t="s">
        <v>967</v>
      </c>
      <c r="F120" t="s">
        <v>974</v>
      </c>
      <c r="G120" s="27">
        <v>3499</v>
      </c>
      <c r="H120" t="s">
        <v>975</v>
      </c>
      <c r="I120" t="s">
        <v>963</v>
      </c>
      <c r="J120" t="s">
        <v>976</v>
      </c>
      <c r="K120" t="s">
        <v>977</v>
      </c>
      <c r="L120" t="s">
        <v>965</v>
      </c>
      <c r="M120" t="s">
        <v>789</v>
      </c>
      <c r="N120" t="s">
        <v>942</v>
      </c>
    </row>
    <row r="121" spans="2:14" x14ac:dyDescent="0.2">
      <c r="B121" s="28">
        <v>10102077058079</v>
      </c>
      <c r="C121" t="s">
        <v>966</v>
      </c>
      <c r="D121" t="s">
        <v>790</v>
      </c>
      <c r="E121" t="s">
        <v>978</v>
      </c>
      <c r="F121" t="s">
        <v>973</v>
      </c>
      <c r="G121" s="27">
        <v>3699</v>
      </c>
      <c r="H121" t="s">
        <v>975</v>
      </c>
      <c r="I121" t="s">
        <v>963</v>
      </c>
      <c r="J121" t="s">
        <v>976</v>
      </c>
      <c r="K121" t="s">
        <v>977</v>
      </c>
      <c r="L121" t="s">
        <v>966</v>
      </c>
      <c r="M121" t="s">
        <v>790</v>
      </c>
      <c r="N121" t="s">
        <v>942</v>
      </c>
    </row>
    <row r="122" spans="2:14" x14ac:dyDescent="0.2">
      <c r="B122" s="28"/>
      <c r="G122" s="27"/>
    </row>
  </sheetData>
  <mergeCells count="4">
    <mergeCell ref="E7:G8"/>
    <mergeCell ref="H7:J8"/>
    <mergeCell ref="N7:N8"/>
    <mergeCell ref="L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2E19E-32A4-4CE1-93F0-640B51A66C6B}">
  <sheetPr codeName="Sheet8">
    <tabColor rgb="FFFFC000"/>
  </sheetPr>
  <dimension ref="A1:G87"/>
  <sheetViews>
    <sheetView zoomScaleNormal="100" workbookViewId="0">
      <pane xSplit="1" ySplit="10" topLeftCell="B22" activePane="bottomRight" state="frozen"/>
      <selection pane="topRight" activeCell="B1" sqref="B1"/>
      <selection pane="bottomLeft" activeCell="A11" sqref="A11"/>
      <selection pane="bottomRight" activeCell="B5" sqref="B5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5" width="29.75" customWidth="1"/>
    <col min="6" max="6" width="36.25" customWidth="1"/>
    <col min="7" max="7" width="29.125" bestFit="1" customWidth="1"/>
    <col min="8" max="8" width="17.375" bestFit="1" customWidth="1"/>
  </cols>
  <sheetData>
    <row r="1" spans="1:7" x14ac:dyDescent="0.2">
      <c r="A1" t="s">
        <v>175</v>
      </c>
      <c r="B1" s="22" t="s">
        <v>271</v>
      </c>
    </row>
    <row r="2" spans="1:7" x14ac:dyDescent="0.2">
      <c r="A2" t="s">
        <v>1</v>
      </c>
      <c r="B2" s="22" t="s">
        <v>719</v>
      </c>
    </row>
    <row r="3" spans="1:7" x14ac:dyDescent="0.2">
      <c r="A3" t="s">
        <v>2</v>
      </c>
      <c r="B3" s="22" t="s">
        <v>718</v>
      </c>
    </row>
    <row r="4" spans="1:7" x14ac:dyDescent="0.2">
      <c r="A4" t="s">
        <v>3</v>
      </c>
      <c r="B4" s="22" t="s">
        <v>4</v>
      </c>
    </row>
    <row r="5" spans="1:7" x14ac:dyDescent="0.2">
      <c r="A5" t="s">
        <v>5</v>
      </c>
      <c r="B5" s="23" t="s">
        <v>177</v>
      </c>
    </row>
    <row r="6" spans="1:7" ht="15" thickBot="1" x14ac:dyDescent="0.25"/>
    <row r="7" spans="1:7" ht="19.5" customHeight="1" thickTop="1" x14ac:dyDescent="0.2">
      <c r="E7" s="33" t="s">
        <v>178</v>
      </c>
      <c r="F7" s="34"/>
      <c r="G7" s="39" t="s">
        <v>180</v>
      </c>
    </row>
    <row r="8" spans="1:7" ht="19.5" customHeight="1" thickBot="1" x14ac:dyDescent="0.25">
      <c r="E8" s="36"/>
      <c r="F8" s="37"/>
      <c r="G8" s="41"/>
    </row>
    <row r="9" spans="1:7" ht="15.75" thickTop="1" thickBot="1" x14ac:dyDescent="0.25"/>
    <row r="10" spans="1:7" ht="61.5" customHeight="1" thickTop="1" thickBot="1" x14ac:dyDescent="0.25">
      <c r="B10" s="21" t="s">
        <v>16</v>
      </c>
      <c r="C10" s="17" t="s">
        <v>717</v>
      </c>
      <c r="D10" s="17" t="s">
        <v>983</v>
      </c>
      <c r="E10" s="18" t="s">
        <v>18</v>
      </c>
      <c r="F10" s="19" t="s">
        <v>182</v>
      </c>
      <c r="G10" s="10" t="s">
        <v>639</v>
      </c>
    </row>
    <row r="11" spans="1:7" ht="15" thickTop="1" x14ac:dyDescent="0.2">
      <c r="B11" s="28"/>
    </row>
    <row r="12" spans="1:7" x14ac:dyDescent="0.2">
      <c r="B12" s="28">
        <v>10140726297327</v>
      </c>
      <c r="E12" t="s">
        <v>852</v>
      </c>
      <c r="F12">
        <v>50</v>
      </c>
    </row>
    <row r="13" spans="1:7" x14ac:dyDescent="0.2">
      <c r="B13" s="28">
        <v>10159897401508</v>
      </c>
      <c r="E13" t="s">
        <v>852</v>
      </c>
      <c r="F13">
        <v>100</v>
      </c>
    </row>
    <row r="14" spans="1:7" x14ac:dyDescent="0.2">
      <c r="B14" s="28">
        <v>10159897401509</v>
      </c>
      <c r="E14" t="s">
        <v>852</v>
      </c>
      <c r="F14">
        <v>100</v>
      </c>
    </row>
    <row r="15" spans="1:7" x14ac:dyDescent="0.2">
      <c r="B15" s="28"/>
    </row>
    <row r="16" spans="1:7" x14ac:dyDescent="0.2">
      <c r="B16" s="28"/>
    </row>
    <row r="17" spans="2:6" x14ac:dyDescent="0.2">
      <c r="B17" s="28"/>
    </row>
    <row r="18" spans="2:6" x14ac:dyDescent="0.2">
      <c r="B18" s="28"/>
    </row>
    <row r="19" spans="2:6" x14ac:dyDescent="0.2">
      <c r="B19" s="28"/>
    </row>
    <row r="20" spans="2:6" x14ac:dyDescent="0.2">
      <c r="B20" s="28">
        <v>10140726297327</v>
      </c>
      <c r="E20" t="s">
        <v>984</v>
      </c>
      <c r="F20">
        <v>50</v>
      </c>
    </row>
    <row r="21" spans="2:6" x14ac:dyDescent="0.2">
      <c r="B21" s="28">
        <v>10159897401508</v>
      </c>
      <c r="E21" t="s">
        <v>984</v>
      </c>
      <c r="F21">
        <v>50</v>
      </c>
    </row>
    <row r="22" spans="2:6" x14ac:dyDescent="0.2">
      <c r="B22" s="28">
        <v>10140729674199</v>
      </c>
      <c r="E22" t="s">
        <v>984</v>
      </c>
      <c r="F22">
        <v>100</v>
      </c>
    </row>
    <row r="23" spans="2:6" x14ac:dyDescent="0.2">
      <c r="B23" s="28">
        <v>10140729674200</v>
      </c>
      <c r="E23" t="s">
        <v>984</v>
      </c>
      <c r="F23">
        <v>50</v>
      </c>
    </row>
    <row r="24" spans="2:6" x14ac:dyDescent="0.2">
      <c r="B24" s="28"/>
    </row>
    <row r="25" spans="2:6" x14ac:dyDescent="0.2">
      <c r="B25" s="28" t="s">
        <v>985</v>
      </c>
      <c r="E25" t="s">
        <v>984</v>
      </c>
      <c r="F25">
        <v>50</v>
      </c>
    </row>
    <row r="26" spans="2:6" x14ac:dyDescent="0.2">
      <c r="B26" s="28" t="s">
        <v>986</v>
      </c>
      <c r="E26" t="s">
        <v>984</v>
      </c>
      <c r="F26">
        <v>100</v>
      </c>
    </row>
    <row r="27" spans="2:6" x14ac:dyDescent="0.2">
      <c r="B27" s="28" t="s">
        <v>987</v>
      </c>
      <c r="E27" t="s">
        <v>984</v>
      </c>
      <c r="F27">
        <v>50</v>
      </c>
    </row>
    <row r="28" spans="2:6" x14ac:dyDescent="0.2">
      <c r="B28" s="28"/>
    </row>
    <row r="29" spans="2:6" x14ac:dyDescent="0.2">
      <c r="B29" s="28"/>
    </row>
    <row r="30" spans="2:6" x14ac:dyDescent="0.2">
      <c r="B30" s="28"/>
    </row>
    <row r="31" spans="2:6" x14ac:dyDescent="0.2">
      <c r="B31" s="28">
        <v>10088205246365</v>
      </c>
      <c r="C31" t="s">
        <v>1045</v>
      </c>
      <c r="E31" t="s">
        <v>1087</v>
      </c>
      <c r="F31">
        <v>50</v>
      </c>
    </row>
    <row r="32" spans="2:6" x14ac:dyDescent="0.2">
      <c r="B32" s="28">
        <v>10088205246366</v>
      </c>
      <c r="C32" t="s">
        <v>1045</v>
      </c>
      <c r="E32" t="s">
        <v>1087</v>
      </c>
      <c r="F32">
        <v>50</v>
      </c>
    </row>
    <row r="33" spans="2:6" x14ac:dyDescent="0.2">
      <c r="B33" s="28">
        <v>10164264386142</v>
      </c>
      <c r="C33" t="s">
        <v>1045</v>
      </c>
      <c r="E33" t="s">
        <v>1087</v>
      </c>
      <c r="F33">
        <v>50</v>
      </c>
    </row>
    <row r="34" spans="2:6" x14ac:dyDescent="0.2">
      <c r="B34" s="28">
        <v>10096442288392</v>
      </c>
      <c r="C34" t="s">
        <v>1045</v>
      </c>
      <c r="E34" t="s">
        <v>1087</v>
      </c>
      <c r="F34">
        <v>50</v>
      </c>
    </row>
    <row r="35" spans="2:6" x14ac:dyDescent="0.2">
      <c r="B35" s="28">
        <v>10099361159606</v>
      </c>
      <c r="C35" t="s">
        <v>1045</v>
      </c>
      <c r="E35" t="s">
        <v>1087</v>
      </c>
      <c r="F35">
        <v>50</v>
      </c>
    </row>
    <row r="36" spans="2:6" x14ac:dyDescent="0.2">
      <c r="B36" s="28">
        <v>10099361159607</v>
      </c>
      <c r="C36" t="s">
        <v>1045</v>
      </c>
      <c r="E36" t="s">
        <v>1087</v>
      </c>
      <c r="F36">
        <v>50</v>
      </c>
    </row>
    <row r="37" spans="2:6" x14ac:dyDescent="0.2">
      <c r="B37" s="28">
        <v>10088232013094</v>
      </c>
      <c r="C37" t="s">
        <v>1045</v>
      </c>
      <c r="E37" t="s">
        <v>1087</v>
      </c>
      <c r="F37">
        <v>50</v>
      </c>
    </row>
    <row r="38" spans="2:6" x14ac:dyDescent="0.2">
      <c r="B38" s="28">
        <v>10148996551154</v>
      </c>
      <c r="C38" t="s">
        <v>1045</v>
      </c>
      <c r="E38" t="s">
        <v>1087</v>
      </c>
      <c r="F38">
        <v>50</v>
      </c>
    </row>
    <row r="39" spans="2:6" x14ac:dyDescent="0.2">
      <c r="B39" s="28">
        <v>10188155800646</v>
      </c>
      <c r="C39" t="s">
        <v>1045</v>
      </c>
      <c r="E39" t="s">
        <v>1087</v>
      </c>
      <c r="F39">
        <v>50</v>
      </c>
    </row>
    <row r="40" spans="2:6" x14ac:dyDescent="0.2">
      <c r="B40" s="28">
        <v>10148996551156</v>
      </c>
      <c r="C40" t="s">
        <v>1045</v>
      </c>
      <c r="E40" t="s">
        <v>1087</v>
      </c>
      <c r="F40">
        <v>50</v>
      </c>
    </row>
    <row r="41" spans="2:6" x14ac:dyDescent="0.2">
      <c r="B41" s="28">
        <v>10164262139763</v>
      </c>
      <c r="C41" t="s">
        <v>1045</v>
      </c>
      <c r="E41" t="s">
        <v>1087</v>
      </c>
      <c r="F41">
        <v>50</v>
      </c>
    </row>
    <row r="42" spans="2:6" x14ac:dyDescent="0.2">
      <c r="B42" s="28">
        <v>10148996551158</v>
      </c>
      <c r="C42" t="s">
        <v>1045</v>
      </c>
      <c r="E42" t="s">
        <v>1087</v>
      </c>
      <c r="F42">
        <v>50</v>
      </c>
    </row>
    <row r="43" spans="2:6" x14ac:dyDescent="0.2">
      <c r="B43" s="28">
        <v>10097031109520</v>
      </c>
      <c r="C43" t="s">
        <v>1045</v>
      </c>
      <c r="E43" t="s">
        <v>1087</v>
      </c>
      <c r="F43">
        <v>50</v>
      </c>
    </row>
    <row r="44" spans="2:6" x14ac:dyDescent="0.2">
      <c r="B44" s="28">
        <v>10088232013095</v>
      </c>
      <c r="C44" t="s">
        <v>1045</v>
      </c>
      <c r="E44" t="s">
        <v>1087</v>
      </c>
      <c r="F44">
        <v>50</v>
      </c>
    </row>
    <row r="45" spans="2:6" x14ac:dyDescent="0.2">
      <c r="B45" s="28"/>
    </row>
    <row r="46" spans="2:6" x14ac:dyDescent="0.2">
      <c r="B46" s="28"/>
    </row>
    <row r="47" spans="2:6" x14ac:dyDescent="0.2">
      <c r="B47" s="28"/>
    </row>
    <row r="48" spans="2:6" x14ac:dyDescent="0.2">
      <c r="B48" s="28"/>
    </row>
    <row r="49" spans="2:2" x14ac:dyDescent="0.2">
      <c r="B49" s="28"/>
    </row>
    <row r="50" spans="2:2" x14ac:dyDescent="0.2">
      <c r="B50" s="28"/>
    </row>
    <row r="51" spans="2:2" x14ac:dyDescent="0.2">
      <c r="B51" s="28"/>
    </row>
    <row r="52" spans="2:2" x14ac:dyDescent="0.2">
      <c r="B52" s="28"/>
    </row>
    <row r="53" spans="2:2" x14ac:dyDescent="0.2">
      <c r="B53" s="28"/>
    </row>
    <row r="54" spans="2:2" x14ac:dyDescent="0.2">
      <c r="B54" s="28"/>
    </row>
    <row r="55" spans="2:2" x14ac:dyDescent="0.2">
      <c r="B55" s="28"/>
    </row>
    <row r="56" spans="2:2" x14ac:dyDescent="0.2">
      <c r="B56" s="28"/>
    </row>
    <row r="72" spans="5:7" x14ac:dyDescent="0.2">
      <c r="E72" t="s">
        <v>579</v>
      </c>
      <c r="F72" t="s">
        <v>226</v>
      </c>
      <c r="G72" t="s">
        <v>230</v>
      </c>
    </row>
    <row r="73" spans="5:7" x14ac:dyDescent="0.2">
      <c r="E73" t="s">
        <v>579</v>
      </c>
      <c r="F73" t="s">
        <v>238</v>
      </c>
      <c r="G73" t="s">
        <v>203</v>
      </c>
    </row>
    <row r="74" spans="5:7" x14ac:dyDescent="0.2">
      <c r="E74" t="s">
        <v>579</v>
      </c>
      <c r="F74" t="s">
        <v>581</v>
      </c>
      <c r="G74" t="s">
        <v>203</v>
      </c>
    </row>
    <row r="75" spans="5:7" x14ac:dyDescent="0.2">
      <c r="E75" t="s">
        <v>225</v>
      </c>
      <c r="F75" t="s">
        <v>226</v>
      </c>
      <c r="G75" t="s">
        <v>230</v>
      </c>
    </row>
    <row r="76" spans="5:7" x14ac:dyDescent="0.2">
      <c r="E76" t="s">
        <v>225</v>
      </c>
      <c r="F76" t="s">
        <v>238</v>
      </c>
      <c r="G76" t="s">
        <v>584</v>
      </c>
    </row>
    <row r="77" spans="5:7" x14ac:dyDescent="0.2">
      <c r="E77" t="s">
        <v>225</v>
      </c>
      <c r="F77" t="s">
        <v>198</v>
      </c>
      <c r="G77" t="s">
        <v>555</v>
      </c>
    </row>
    <row r="78" spans="5:7" x14ac:dyDescent="0.2">
      <c r="E78" t="s">
        <v>225</v>
      </c>
      <c r="F78" t="s">
        <v>199</v>
      </c>
      <c r="G78" t="s">
        <v>584</v>
      </c>
    </row>
    <row r="79" spans="5:7" x14ac:dyDescent="0.2">
      <c r="E79" t="s">
        <v>225</v>
      </c>
      <c r="F79" t="s">
        <v>582</v>
      </c>
      <c r="G79" t="s">
        <v>584</v>
      </c>
    </row>
    <row r="80" spans="5:7" x14ac:dyDescent="0.2">
      <c r="E80" t="s">
        <v>583</v>
      </c>
      <c r="F80" t="s">
        <v>358</v>
      </c>
      <c r="G80" t="s">
        <v>324</v>
      </c>
    </row>
    <row r="81" spans="5:7" x14ac:dyDescent="0.2">
      <c r="E81" t="s">
        <v>583</v>
      </c>
      <c r="F81" t="s">
        <v>359</v>
      </c>
      <c r="G81" t="s">
        <v>324</v>
      </c>
    </row>
    <row r="82" spans="5:7" x14ac:dyDescent="0.2">
      <c r="E82" t="s">
        <v>583</v>
      </c>
      <c r="F82" t="s">
        <v>360</v>
      </c>
      <c r="G82" t="s">
        <v>324</v>
      </c>
    </row>
    <row r="83" spans="5:7" x14ac:dyDescent="0.2">
      <c r="E83" t="s">
        <v>583</v>
      </c>
      <c r="F83" t="s">
        <v>361</v>
      </c>
      <c r="G83" t="s">
        <v>324</v>
      </c>
    </row>
    <row r="84" spans="5:7" x14ac:dyDescent="0.2">
      <c r="E84" t="s">
        <v>315</v>
      </c>
      <c r="F84" t="s">
        <v>317</v>
      </c>
      <c r="G84" t="s">
        <v>324</v>
      </c>
    </row>
    <row r="85" spans="5:7" x14ac:dyDescent="0.2">
      <c r="E85" t="s">
        <v>315</v>
      </c>
      <c r="F85" t="s">
        <v>318</v>
      </c>
      <c r="G85" t="s">
        <v>324</v>
      </c>
    </row>
    <row r="86" spans="5:7" x14ac:dyDescent="0.2">
      <c r="E86" t="s">
        <v>315</v>
      </c>
      <c r="F86" t="s">
        <v>319</v>
      </c>
      <c r="G86" t="s">
        <v>324</v>
      </c>
    </row>
    <row r="87" spans="5:7" x14ac:dyDescent="0.2">
      <c r="E87" t="s">
        <v>315</v>
      </c>
      <c r="F87" t="s">
        <v>320</v>
      </c>
      <c r="G87" t="s">
        <v>324</v>
      </c>
    </row>
  </sheetData>
  <mergeCells count="2">
    <mergeCell ref="E7:F8"/>
    <mergeCell ref="G7:G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9ADCA-271B-4338-B443-5654380BB73E}">
  <dimension ref="H15:J24"/>
  <sheetViews>
    <sheetView workbookViewId="0">
      <selection activeCell="O26" sqref="O26"/>
    </sheetView>
  </sheetViews>
  <sheetFormatPr defaultRowHeight="14.25" x14ac:dyDescent="0.2"/>
  <cols>
    <col min="10" max="10" width="27.375" bestFit="1" customWidth="1"/>
  </cols>
  <sheetData>
    <row r="15" spans="8:10" x14ac:dyDescent="0.2">
      <c r="H15" s="14" t="s">
        <v>1025</v>
      </c>
      <c r="I15" s="14" t="s">
        <v>1035</v>
      </c>
      <c r="J15" t="str">
        <f>H15&amp;" "&amp;I15</f>
        <v>半高卡 Low Profile</v>
      </c>
    </row>
    <row r="16" spans="8:10" x14ac:dyDescent="0.2">
      <c r="H16" s="14" t="s">
        <v>1026</v>
      </c>
      <c r="I16" s="14" t="s">
        <v>1036</v>
      </c>
      <c r="J16" t="str">
        <f t="shared" ref="J16:J24" si="0">H16&amp;" "&amp;I16</f>
        <v>风魔 WF</v>
      </c>
    </row>
    <row r="17" spans="8:10" x14ac:dyDescent="0.2">
      <c r="H17" s="14" t="s">
        <v>1027</v>
      </c>
      <c r="I17" s="14" t="s">
        <v>327</v>
      </c>
      <c r="J17" t="str">
        <f t="shared" si="0"/>
        <v>猎鹰 EAGLE</v>
      </c>
    </row>
    <row r="18" spans="8:10" x14ac:dyDescent="0.2">
      <c r="H18" s="14" t="s">
        <v>1028</v>
      </c>
      <c r="I18" s="14" t="s">
        <v>1037</v>
      </c>
      <c r="J18" t="str">
        <f t="shared" si="0"/>
        <v>冰猎鹰 EAGLE ICE</v>
      </c>
    </row>
    <row r="19" spans="8:10" x14ac:dyDescent="0.2">
      <c r="H19" s="14" t="s">
        <v>1029</v>
      </c>
      <c r="I19" s="14" t="s">
        <v>1038</v>
      </c>
      <c r="J19" t="str">
        <f t="shared" si="0"/>
        <v>魔鹰 GAMING</v>
      </c>
    </row>
    <row r="20" spans="8:10" x14ac:dyDescent="0.2">
      <c r="H20" s="14" t="s">
        <v>1030</v>
      </c>
      <c r="I20" s="14" t="s">
        <v>1039</v>
      </c>
      <c r="J20" t="str">
        <f t="shared" si="0"/>
        <v>雪鹰 AERO</v>
      </c>
    </row>
    <row r="21" spans="8:10" x14ac:dyDescent="0.2">
      <c r="H21" s="14" t="s">
        <v>1031</v>
      </c>
      <c r="I21" s="14" t="s">
        <v>243</v>
      </c>
      <c r="J21" t="str">
        <f t="shared" si="0"/>
        <v>小雕 AORUS ELITE</v>
      </c>
    </row>
    <row r="22" spans="8:10" x14ac:dyDescent="0.2">
      <c r="H22" s="14" t="s">
        <v>1032</v>
      </c>
      <c r="I22" s="14" t="s">
        <v>1040</v>
      </c>
      <c r="J22" t="str">
        <f t="shared" si="0"/>
        <v>超级雕 AORUS MASTER</v>
      </c>
    </row>
    <row r="23" spans="8:10" x14ac:dyDescent="0.2">
      <c r="H23" s="14" t="s">
        <v>1033</v>
      </c>
      <c r="I23" s="14" t="s">
        <v>1041</v>
      </c>
      <c r="J23" t="str">
        <f t="shared" si="0"/>
        <v>超级雕白 AORUS MASTER ICE</v>
      </c>
    </row>
    <row r="24" spans="8:10" x14ac:dyDescent="0.2">
      <c r="H24" s="14" t="s">
        <v>1034</v>
      </c>
      <c r="I24" s="14" t="s">
        <v>1042</v>
      </c>
      <c r="J24" t="str">
        <f t="shared" si="0"/>
        <v>一体水雕 AORUS X W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36</vt:i4>
      </vt:variant>
    </vt:vector>
  </HeadingPairs>
  <TitlesOfParts>
    <vt:vector size="46" baseType="lpstr">
      <vt:lpstr>显卡参数新</vt:lpstr>
      <vt:lpstr>显卡</vt:lpstr>
      <vt:lpstr>利益点对照表</vt:lpstr>
      <vt:lpstr>显卡新设计</vt:lpstr>
      <vt:lpstr>利益点对照表 (新设计)</vt:lpstr>
      <vt:lpstr>板U卡</vt:lpstr>
      <vt:lpstr>主板内存</vt:lpstr>
      <vt:lpstr>机电散显</vt:lpstr>
      <vt:lpstr>晒单模板</vt:lpstr>
      <vt:lpstr>Sheet1</vt:lpstr>
      <vt:lpstr>colse_ps</vt:lpstr>
      <vt:lpstr>板U卡!export_folder</vt:lpstr>
      <vt:lpstr>机电散显!export_folder</vt:lpstr>
      <vt:lpstr>晒单模板!export_folder</vt:lpstr>
      <vt:lpstr>显卡!export_folder</vt:lpstr>
      <vt:lpstr>显卡参数新!export_folder</vt:lpstr>
      <vt:lpstr>显卡新设计!export_folder</vt:lpstr>
      <vt:lpstr>主板内存!export_folder</vt:lpstr>
      <vt:lpstr>板U卡!file_format</vt:lpstr>
      <vt:lpstr>机电散显!file_format</vt:lpstr>
      <vt:lpstr>晒单模板!file_format</vt:lpstr>
      <vt:lpstr>显卡!file_format</vt:lpstr>
      <vt:lpstr>显卡参数新!file_format</vt:lpstr>
      <vt:lpstr>显卡新设计!file_format</vt:lpstr>
      <vt:lpstr>主板内存!file_format</vt:lpstr>
      <vt:lpstr>板U卡!psd_file_path</vt:lpstr>
      <vt:lpstr>机电散显!psd_file_path</vt:lpstr>
      <vt:lpstr>晒单模板!psd_file_path</vt:lpstr>
      <vt:lpstr>显卡!psd_file_path</vt:lpstr>
      <vt:lpstr>显卡参数新!psd_file_path</vt:lpstr>
      <vt:lpstr>显卡新设计!psd_file_path</vt:lpstr>
      <vt:lpstr>主板内存!psd_file_path</vt:lpstr>
      <vt:lpstr>板U卡!psd_name</vt:lpstr>
      <vt:lpstr>机电散显!psd_name</vt:lpstr>
      <vt:lpstr>晒单模板!psd_name</vt:lpstr>
      <vt:lpstr>显卡!psd_name</vt:lpstr>
      <vt:lpstr>显卡参数新!psd_name</vt:lpstr>
      <vt:lpstr>显卡新设计!psd_name</vt:lpstr>
      <vt:lpstr>主板内存!psd_name</vt:lpstr>
      <vt:lpstr>板U卡!suffix</vt:lpstr>
      <vt:lpstr>机电散显!suffix</vt:lpstr>
      <vt:lpstr>晒单模板!suffix</vt:lpstr>
      <vt:lpstr>显卡!suffix</vt:lpstr>
      <vt:lpstr>显卡参数新!suffix</vt:lpstr>
      <vt:lpstr>显卡新设计!suffix</vt:lpstr>
      <vt:lpstr>主板内存!suffix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2025-11-01T06:59:48Z</dcterms:modified>
</cp:coreProperties>
</file>