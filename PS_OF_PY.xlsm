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E:\Git\ps_of_py\"/>
    </mc:Choice>
  </mc:AlternateContent>
  <xr:revisionPtr revIDLastSave="0" documentId="13_ncr:1_{C29CBF23-C858-40E4-9C6D-BCD7D029F2EF}" xr6:coauthVersionLast="47" xr6:coauthVersionMax="47" xr10:uidLastSave="{00000000-0000-0000-0000-000000000000}"/>
  <bookViews>
    <workbookView xWindow="-120" yWindow="-120" windowWidth="38640" windowHeight="21120" xr2:uid="{00000000-000D-0000-FFFF-FFFF00000000}"/>
  </bookViews>
  <sheets>
    <sheet name="显卡参数新" sheetId="2" r:id="rId1"/>
    <sheet name="显卡" sheetId="3" r:id="rId2"/>
    <sheet name="利益点对照表" sheetId="1" r:id="rId3"/>
  </sheets>
  <definedNames>
    <definedName name="_xleta.OR" hidden="1" xlm="1">#NAME?</definedName>
    <definedName name="export_folder" localSheetId="1">显卡!$B$3</definedName>
    <definedName name="export_folder" localSheetId="0">显卡参数新!$B$3</definedName>
    <definedName name="file_format" localSheetId="1">显卡!$B$4</definedName>
    <definedName name="file_format" localSheetId="0">显卡参数新!$B$4</definedName>
    <definedName name="psd_file_path" localSheetId="1">显卡!$B$1</definedName>
    <definedName name="psd_file_path" localSheetId="0">显卡参数新!$B$1</definedName>
    <definedName name="psd_name" localSheetId="1">显卡!$B$2</definedName>
    <definedName name="psd_name" localSheetId="0">显卡参数新!$B$2</definedName>
    <definedName name="suffix" localSheetId="1">显卡!$B$5</definedName>
    <definedName name="suffix" localSheetId="0">显卡参数新!$B$5</definedName>
  </definedNames>
  <calcPr calcId="191029" iterate="1" iterateCount="500" iterateDelta="0.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61" i="3" l="1"/>
  <c r="G61" i="3"/>
  <c r="H61" i="3"/>
  <c r="I61" i="3"/>
  <c r="J61" i="3"/>
  <c r="K61" i="3"/>
  <c r="L61" i="3"/>
  <c r="Q61" i="3" s="1" a="1"/>
  <c r="Q61" i="3" s="1"/>
  <c r="M61" i="3"/>
  <c r="N61" i="3"/>
  <c r="O61" i="3"/>
  <c r="F62" i="3"/>
  <c r="G62" i="3"/>
  <c r="H62" i="3"/>
  <c r="I62" i="3"/>
  <c r="J62" i="3"/>
  <c r="K62" i="3"/>
  <c r="L62" i="3"/>
  <c r="Q62" i="3" s="1" a="1"/>
  <c r="Q62" i="3" s="1"/>
  <c r="M62" i="3"/>
  <c r="N62" i="3"/>
  <c r="O62" i="3"/>
  <c r="F63" i="3"/>
  <c r="G63" i="3"/>
  <c r="H63" i="3"/>
  <c r="I63" i="3"/>
  <c r="J63" i="3"/>
  <c r="K63" i="3"/>
  <c r="L63" i="3"/>
  <c r="Q63" i="3" s="1" a="1"/>
  <c r="Q63" i="3" s="1"/>
  <c r="M63" i="3"/>
  <c r="N63" i="3"/>
  <c r="O63" i="3"/>
  <c r="F64" i="3"/>
  <c r="G64" i="3"/>
  <c r="H64" i="3"/>
  <c r="I64" i="3"/>
  <c r="J64" i="3"/>
  <c r="K64" i="3"/>
  <c r="L64" i="3"/>
  <c r="Q64" i="3" s="1" a="1"/>
  <c r="Q64" i="3" s="1"/>
  <c r="M64" i="3"/>
  <c r="N64" i="3"/>
  <c r="O64" i="3"/>
  <c r="F65" i="3"/>
  <c r="G65" i="3"/>
  <c r="H65" i="3"/>
  <c r="I65" i="3"/>
  <c r="J65" i="3"/>
  <c r="K65" i="3"/>
  <c r="L65" i="3"/>
  <c r="Q65" i="3" s="1" a="1"/>
  <c r="Q65" i="3" s="1"/>
  <c r="M65" i="3"/>
  <c r="N65" i="3"/>
  <c r="O65" i="3"/>
  <c r="F66" i="3"/>
  <c r="G66" i="3"/>
  <c r="H66" i="3"/>
  <c r="I66" i="3"/>
  <c r="J66" i="3"/>
  <c r="K66" i="3"/>
  <c r="L66" i="3"/>
  <c r="Q66" i="3" s="1" a="1"/>
  <c r="Q66" i="3" s="1"/>
  <c r="M66" i="3"/>
  <c r="N66" i="3"/>
  <c r="O66" i="3"/>
  <c r="F67" i="3"/>
  <c r="G67" i="3"/>
  <c r="H67" i="3"/>
  <c r="I67" i="3"/>
  <c r="J67" i="3"/>
  <c r="K67" i="3"/>
  <c r="L67" i="3"/>
  <c r="Q67" i="3" s="1" a="1"/>
  <c r="Q67" i="3" s="1"/>
  <c r="M67" i="3"/>
  <c r="N67" i="3"/>
  <c r="O67" i="3"/>
  <c r="F68" i="3"/>
  <c r="G68" i="3"/>
  <c r="H68" i="3"/>
  <c r="I68" i="3"/>
  <c r="J68" i="3"/>
  <c r="K68" i="3"/>
  <c r="L68" i="3"/>
  <c r="Q68" i="3" s="1" a="1"/>
  <c r="Q68" i="3" s="1"/>
  <c r="M68" i="3"/>
  <c r="N68" i="3"/>
  <c r="O68" i="3"/>
  <c r="F69" i="3"/>
  <c r="G69" i="3"/>
  <c r="H69" i="3"/>
  <c r="I69" i="3"/>
  <c r="J69" i="3"/>
  <c r="K69" i="3"/>
  <c r="L69" i="3"/>
  <c r="Q69" i="3" s="1" a="1"/>
  <c r="Q69" i="3" s="1"/>
  <c r="M69" i="3"/>
  <c r="N69" i="3"/>
  <c r="O69" i="3"/>
  <c r="F70" i="3"/>
  <c r="G70" i="3"/>
  <c r="H70" i="3"/>
  <c r="I70" i="3"/>
  <c r="J70" i="3"/>
  <c r="K70" i="3"/>
  <c r="L70" i="3"/>
  <c r="Q70" i="3" s="1" a="1"/>
  <c r="Q70" i="3" s="1"/>
  <c r="M70" i="3"/>
  <c r="N70" i="3"/>
  <c r="O70" i="3"/>
  <c r="F83" i="3" l="1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F106" i="3"/>
  <c r="F107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G99" i="3"/>
  <c r="G100" i="3"/>
  <c r="G101" i="3"/>
  <c r="G102" i="3"/>
  <c r="G103" i="3"/>
  <c r="G104" i="3"/>
  <c r="G105" i="3"/>
  <c r="G106" i="3"/>
  <c r="G107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K83" i="3"/>
  <c r="K84" i="3"/>
  <c r="K85" i="3"/>
  <c r="K86" i="3"/>
  <c r="K87" i="3"/>
  <c r="K88" i="3"/>
  <c r="K89" i="3"/>
  <c r="K90" i="3"/>
  <c r="K91" i="3"/>
  <c r="K92" i="3"/>
  <c r="K93" i="3"/>
  <c r="K94" i="3"/>
  <c r="K95" i="3"/>
  <c r="K96" i="3"/>
  <c r="K97" i="3"/>
  <c r="K98" i="3"/>
  <c r="K99" i="3"/>
  <c r="K100" i="3"/>
  <c r="K101" i="3"/>
  <c r="K102" i="3"/>
  <c r="K103" i="3"/>
  <c r="K104" i="3"/>
  <c r="K105" i="3"/>
  <c r="K106" i="3"/>
  <c r="K107" i="3"/>
  <c r="L83" i="3"/>
  <c r="Q83" i="3" s="1" a="1"/>
  <c r="Q83" i="3" s="1"/>
  <c r="L84" i="3"/>
  <c r="Q84" i="3" s="1" a="1"/>
  <c r="Q84" i="3" s="1"/>
  <c r="L85" i="3"/>
  <c r="Q85" i="3" s="1" a="1"/>
  <c r="Q85" i="3" s="1"/>
  <c r="L86" i="3"/>
  <c r="Q86" i="3" s="1" a="1"/>
  <c r="Q86" i="3" s="1"/>
  <c r="L87" i="3"/>
  <c r="Q87" i="3" s="1" a="1"/>
  <c r="Q87" i="3" s="1"/>
  <c r="L88" i="3"/>
  <c r="Q88" i="3" s="1" a="1"/>
  <c r="Q88" i="3" s="1"/>
  <c r="L89" i="3"/>
  <c r="Q89" i="3" s="1" a="1"/>
  <c r="Q89" i="3" s="1"/>
  <c r="L90" i="3"/>
  <c r="Q90" i="3" s="1" a="1"/>
  <c r="Q90" i="3" s="1"/>
  <c r="L91" i="3"/>
  <c r="Q91" i="3" s="1" a="1"/>
  <c r="Q91" i="3" s="1"/>
  <c r="L92" i="3"/>
  <c r="Q92" i="3" s="1" a="1"/>
  <c r="Q92" i="3" s="1"/>
  <c r="L93" i="3"/>
  <c r="Q93" i="3" s="1" a="1"/>
  <c r="Q93" i="3" s="1"/>
  <c r="L94" i="3"/>
  <c r="Q94" i="3" s="1" a="1"/>
  <c r="Q94" i="3" s="1"/>
  <c r="L95" i="3"/>
  <c r="Q95" i="3" s="1" a="1"/>
  <c r="Q95" i="3" s="1"/>
  <c r="L96" i="3"/>
  <c r="Q96" i="3" s="1" a="1"/>
  <c r="Q96" i="3" s="1"/>
  <c r="L97" i="3"/>
  <c r="Q97" i="3" s="1" a="1"/>
  <c r="Q97" i="3" s="1"/>
  <c r="L98" i="3"/>
  <c r="Q98" i="3" s="1" a="1"/>
  <c r="Q98" i="3" s="1"/>
  <c r="L99" i="3"/>
  <c r="Q99" i="3" s="1" a="1"/>
  <c r="Q99" i="3" s="1"/>
  <c r="L100" i="3"/>
  <c r="Q100" i="3" s="1" a="1"/>
  <c r="Q100" i="3" s="1"/>
  <c r="L101" i="3"/>
  <c r="Q101" i="3" s="1" a="1"/>
  <c r="Q101" i="3" s="1"/>
  <c r="L102" i="3"/>
  <c r="Q102" i="3" s="1" a="1"/>
  <c r="Q102" i="3" s="1"/>
  <c r="L103" i="3"/>
  <c r="Q103" i="3" s="1" a="1"/>
  <c r="Q103" i="3" s="1"/>
  <c r="L104" i="3"/>
  <c r="Q104" i="3" s="1" a="1"/>
  <c r="Q104" i="3" s="1"/>
  <c r="L105" i="3"/>
  <c r="Q105" i="3" s="1" a="1"/>
  <c r="Q105" i="3" s="1"/>
  <c r="L106" i="3"/>
  <c r="Q106" i="3" s="1" a="1"/>
  <c r="Q106" i="3" s="1"/>
  <c r="L107" i="3"/>
  <c r="Q107" i="3" s="1" a="1"/>
  <c r="Q107" i="3" s="1"/>
  <c r="M83" i="3"/>
  <c r="M84" i="3"/>
  <c r="M85" i="3"/>
  <c r="M86" i="3"/>
  <c r="M87" i="3"/>
  <c r="M88" i="3"/>
  <c r="M89" i="3"/>
  <c r="M90" i="3"/>
  <c r="M91" i="3"/>
  <c r="M92" i="3"/>
  <c r="M93" i="3"/>
  <c r="M94" i="3"/>
  <c r="M95" i="3"/>
  <c r="M96" i="3"/>
  <c r="M97" i="3"/>
  <c r="M98" i="3"/>
  <c r="M99" i="3"/>
  <c r="M100" i="3"/>
  <c r="M101" i="3"/>
  <c r="M102" i="3"/>
  <c r="M103" i="3"/>
  <c r="M104" i="3"/>
  <c r="M105" i="3"/>
  <c r="M106" i="3"/>
  <c r="M107" i="3"/>
  <c r="N83" i="3"/>
  <c r="N84" i="3"/>
  <c r="N85" i="3"/>
  <c r="N86" i="3"/>
  <c r="N87" i="3"/>
  <c r="N88" i="3"/>
  <c r="N89" i="3"/>
  <c r="N90" i="3"/>
  <c r="N91" i="3"/>
  <c r="N92" i="3"/>
  <c r="N93" i="3"/>
  <c r="N94" i="3"/>
  <c r="N95" i="3"/>
  <c r="N96" i="3"/>
  <c r="N97" i="3"/>
  <c r="N98" i="3"/>
  <c r="N99" i="3"/>
  <c r="N100" i="3"/>
  <c r="N101" i="3"/>
  <c r="N102" i="3"/>
  <c r="N103" i="3"/>
  <c r="N104" i="3"/>
  <c r="N105" i="3"/>
  <c r="N106" i="3"/>
  <c r="N107" i="3"/>
  <c r="O83" i="3"/>
  <c r="O84" i="3"/>
  <c r="O85" i="3"/>
  <c r="O86" i="3"/>
  <c r="O87" i="3"/>
  <c r="O88" i="3"/>
  <c r="O89" i="3"/>
  <c r="O90" i="3"/>
  <c r="O91" i="3"/>
  <c r="O92" i="3"/>
  <c r="O93" i="3"/>
  <c r="O94" i="3"/>
  <c r="O95" i="3"/>
  <c r="O96" i="3"/>
  <c r="O97" i="3"/>
  <c r="O98" i="3"/>
  <c r="O99" i="3"/>
  <c r="O100" i="3"/>
  <c r="O101" i="3"/>
  <c r="O102" i="3"/>
  <c r="O103" i="3"/>
  <c r="O104" i="3"/>
  <c r="O105" i="3"/>
  <c r="O106" i="3"/>
  <c r="O107" i="3"/>
  <c r="F14" i="3"/>
  <c r="G14" i="3"/>
  <c r="H14" i="3"/>
  <c r="I14" i="3"/>
  <c r="J14" i="3"/>
  <c r="K14" i="3"/>
  <c r="L14" i="3"/>
  <c r="Q14" i="3" s="1" a="1"/>
  <c r="Q14" i="3" s="1"/>
  <c r="M14" i="3"/>
  <c r="N14" i="3"/>
  <c r="O14" i="3"/>
  <c r="F13" i="3"/>
  <c r="G13" i="3"/>
  <c r="H13" i="3"/>
  <c r="I13" i="3"/>
  <c r="J13" i="3"/>
  <c r="K13" i="3"/>
  <c r="L13" i="3"/>
  <c r="Q13" i="3" s="1" a="1"/>
  <c r="Q13" i="3" s="1"/>
  <c r="M13" i="3"/>
  <c r="N13" i="3"/>
  <c r="O13" i="3"/>
  <c r="F15" i="3"/>
  <c r="G15" i="3"/>
  <c r="H15" i="3"/>
  <c r="I15" i="3"/>
  <c r="J15" i="3"/>
  <c r="K15" i="3"/>
  <c r="L15" i="3"/>
  <c r="Q15" i="3" s="1" a="1"/>
  <c r="Q15" i="3" s="1"/>
  <c r="M15" i="3"/>
  <c r="N15" i="3"/>
  <c r="O15" i="3"/>
  <c r="F16" i="3"/>
  <c r="G16" i="3"/>
  <c r="H16" i="3"/>
  <c r="I16" i="3"/>
  <c r="J16" i="3"/>
  <c r="K16" i="3"/>
  <c r="L16" i="3"/>
  <c r="Q16" i="3" s="1" a="1"/>
  <c r="Q16" i="3" s="1"/>
  <c r="M16" i="3"/>
  <c r="N16" i="3"/>
  <c r="O16" i="3"/>
  <c r="F17" i="3"/>
  <c r="G17" i="3"/>
  <c r="H17" i="3"/>
  <c r="I17" i="3"/>
  <c r="J17" i="3"/>
  <c r="K17" i="3"/>
  <c r="L17" i="3"/>
  <c r="Q17" i="3" s="1" a="1"/>
  <c r="Q17" i="3" s="1"/>
  <c r="M17" i="3"/>
  <c r="N17" i="3"/>
  <c r="O17" i="3"/>
  <c r="F18" i="3"/>
  <c r="G18" i="3"/>
  <c r="H18" i="3"/>
  <c r="I18" i="3"/>
  <c r="J18" i="3"/>
  <c r="K18" i="3"/>
  <c r="L18" i="3"/>
  <c r="Q18" i="3" s="1" a="1"/>
  <c r="Q18" i="3" s="1"/>
  <c r="M18" i="3"/>
  <c r="N18" i="3"/>
  <c r="O18" i="3"/>
  <c r="N81" i="3" l="1"/>
  <c r="M81" i="3"/>
  <c r="L81" i="3"/>
  <c r="K81" i="3"/>
  <c r="J81" i="3"/>
  <c r="I81" i="3"/>
  <c r="H81" i="3"/>
  <c r="G81" i="3"/>
  <c r="F81" i="3"/>
  <c r="O11" i="3"/>
  <c r="O12" i="3"/>
  <c r="O19" i="3"/>
  <c r="O20" i="3"/>
  <c r="O21" i="3"/>
  <c r="O22" i="3"/>
  <c r="O23" i="3"/>
  <c r="O24" i="3"/>
  <c r="O25" i="3"/>
  <c r="O26" i="3"/>
  <c r="O27" i="3"/>
  <c r="O28" i="3"/>
  <c r="O29" i="3"/>
  <c r="O30" i="3"/>
  <c r="O31" i="3"/>
  <c r="O32" i="3"/>
  <c r="O33" i="3"/>
  <c r="O34" i="3"/>
  <c r="O35" i="3"/>
  <c r="O36" i="3"/>
  <c r="O37" i="3"/>
  <c r="O38" i="3"/>
  <c r="O39" i="3"/>
  <c r="O40" i="3"/>
  <c r="O41" i="3"/>
  <c r="O42" i="3"/>
  <c r="O43" i="3"/>
  <c r="O44" i="3"/>
  <c r="O45" i="3"/>
  <c r="O46" i="3"/>
  <c r="O47" i="3"/>
  <c r="O48" i="3"/>
  <c r="O49" i="3"/>
  <c r="O50" i="3"/>
  <c r="O51" i="3"/>
  <c r="O52" i="3"/>
  <c r="O53" i="3"/>
  <c r="O54" i="3"/>
  <c r="O55" i="3"/>
  <c r="O56" i="3"/>
  <c r="O57" i="3"/>
  <c r="O58" i="3"/>
  <c r="O59" i="3"/>
  <c r="O60" i="3"/>
  <c r="O71" i="3"/>
  <c r="O72" i="3"/>
  <c r="O73" i="3"/>
  <c r="O74" i="3"/>
  <c r="O75" i="3"/>
  <c r="O76" i="3"/>
  <c r="O77" i="3"/>
  <c r="O78" i="3"/>
  <c r="O79" i="3"/>
  <c r="O80" i="3"/>
  <c r="O82" i="3"/>
  <c r="L77" i="3"/>
  <c r="Q77" i="3" s="1" a="1"/>
  <c r="Q77" i="3" s="1"/>
  <c r="F77" i="3" l="1"/>
  <c r="F78" i="3"/>
  <c r="F79" i="3"/>
  <c r="F80" i="3"/>
  <c r="F82" i="3"/>
  <c r="G77" i="3"/>
  <c r="G78" i="3"/>
  <c r="G79" i="3"/>
  <c r="G80" i="3"/>
  <c r="G82" i="3"/>
  <c r="H77" i="3"/>
  <c r="H78" i="3"/>
  <c r="H79" i="3"/>
  <c r="H80" i="3"/>
  <c r="H82" i="3"/>
  <c r="I77" i="3"/>
  <c r="I78" i="3"/>
  <c r="I79" i="3"/>
  <c r="I80" i="3"/>
  <c r="I82" i="3"/>
  <c r="J77" i="3"/>
  <c r="J78" i="3"/>
  <c r="J79" i="3"/>
  <c r="J80" i="3"/>
  <c r="J82" i="3"/>
  <c r="K77" i="3"/>
  <c r="K78" i="3"/>
  <c r="K79" i="3"/>
  <c r="K80" i="3"/>
  <c r="K82" i="3"/>
  <c r="L78" i="3"/>
  <c r="Q78" i="3" s="1" a="1"/>
  <c r="Q78" i="3" s="1"/>
  <c r="L79" i="3"/>
  <c r="Q79" i="3" s="1" a="1"/>
  <c r="Q79" i="3" s="1"/>
  <c r="L80" i="3"/>
  <c r="Q80" i="3" s="1" a="1"/>
  <c r="Q80" i="3" s="1"/>
  <c r="L82" i="3"/>
  <c r="Q82" i="3" s="1" a="1"/>
  <c r="Q82" i="3" s="1"/>
  <c r="M77" i="3"/>
  <c r="M78" i="3"/>
  <c r="M79" i="3"/>
  <c r="M80" i="3"/>
  <c r="M82" i="3"/>
  <c r="N77" i="3"/>
  <c r="N78" i="3"/>
  <c r="N79" i="3"/>
  <c r="N80" i="3"/>
  <c r="N82" i="3"/>
  <c r="N32" i="3"/>
  <c r="F24" i="3" l="1"/>
  <c r="G24" i="3"/>
  <c r="H24" i="3"/>
  <c r="I24" i="3"/>
  <c r="J24" i="3"/>
  <c r="K24" i="3"/>
  <c r="L24" i="3"/>
  <c r="Q24" i="3" s="1" a="1"/>
  <c r="Q24" i="3" s="1"/>
  <c r="M24" i="3"/>
  <c r="N24" i="3"/>
  <c r="F25" i="3"/>
  <c r="G25" i="3"/>
  <c r="H25" i="3"/>
  <c r="I25" i="3"/>
  <c r="J25" i="3"/>
  <c r="K25" i="3"/>
  <c r="L25" i="3"/>
  <c r="Q25" i="3" s="1" a="1"/>
  <c r="Q25" i="3" s="1"/>
  <c r="M25" i="3"/>
  <c r="N25" i="3"/>
  <c r="F26" i="3"/>
  <c r="G26" i="3"/>
  <c r="H26" i="3"/>
  <c r="I26" i="3"/>
  <c r="J26" i="3"/>
  <c r="K26" i="3"/>
  <c r="L26" i="3"/>
  <c r="Q26" i="3" s="1" a="1"/>
  <c r="Q26" i="3" s="1"/>
  <c r="M26" i="3"/>
  <c r="N26" i="3"/>
  <c r="F27" i="3"/>
  <c r="G27" i="3"/>
  <c r="H27" i="3"/>
  <c r="I27" i="3"/>
  <c r="J27" i="3"/>
  <c r="K27" i="3"/>
  <c r="L27" i="3"/>
  <c r="Q27" i="3" s="1" a="1"/>
  <c r="Q27" i="3" s="1"/>
  <c r="M27" i="3"/>
  <c r="N27" i="3"/>
  <c r="F28" i="3"/>
  <c r="G28" i="3"/>
  <c r="H28" i="3"/>
  <c r="I28" i="3"/>
  <c r="J28" i="3"/>
  <c r="K28" i="3"/>
  <c r="L28" i="3"/>
  <c r="Q28" i="3" s="1" a="1"/>
  <c r="Q28" i="3" s="1"/>
  <c r="M28" i="3"/>
  <c r="N28" i="3"/>
  <c r="F29" i="3"/>
  <c r="G29" i="3"/>
  <c r="H29" i="3"/>
  <c r="I29" i="3"/>
  <c r="J29" i="3"/>
  <c r="K29" i="3"/>
  <c r="L29" i="3"/>
  <c r="Q29" i="3" s="1" a="1"/>
  <c r="Q29" i="3" s="1"/>
  <c r="M29" i="3"/>
  <c r="N29" i="3"/>
  <c r="F30" i="3"/>
  <c r="G30" i="3"/>
  <c r="H30" i="3"/>
  <c r="I30" i="3"/>
  <c r="J30" i="3"/>
  <c r="K30" i="3"/>
  <c r="L30" i="3"/>
  <c r="Q30" i="3" s="1" a="1"/>
  <c r="Q30" i="3" s="1"/>
  <c r="M30" i="3"/>
  <c r="N30" i="3"/>
  <c r="F31" i="3"/>
  <c r="G31" i="3"/>
  <c r="H31" i="3"/>
  <c r="I31" i="3"/>
  <c r="J31" i="3"/>
  <c r="K31" i="3"/>
  <c r="L31" i="3"/>
  <c r="Q31" i="3" s="1" a="1"/>
  <c r="Q31" i="3" s="1"/>
  <c r="M31" i="3"/>
  <c r="N31" i="3"/>
  <c r="F32" i="3"/>
  <c r="G32" i="3"/>
  <c r="H32" i="3"/>
  <c r="I32" i="3"/>
  <c r="J32" i="3"/>
  <c r="K32" i="3"/>
  <c r="L32" i="3"/>
  <c r="Q32" i="3" s="1" a="1"/>
  <c r="Q32" i="3" s="1"/>
  <c r="M32" i="3"/>
  <c r="F33" i="3"/>
  <c r="G33" i="3"/>
  <c r="H33" i="3"/>
  <c r="I33" i="3"/>
  <c r="J33" i="3"/>
  <c r="K33" i="3"/>
  <c r="L33" i="3"/>
  <c r="Q33" i="3" s="1" a="1"/>
  <c r="Q33" i="3" s="1"/>
  <c r="M33" i="3"/>
  <c r="N33" i="3"/>
  <c r="F34" i="3"/>
  <c r="G34" i="3"/>
  <c r="H34" i="3"/>
  <c r="I34" i="3"/>
  <c r="J34" i="3"/>
  <c r="K34" i="3"/>
  <c r="L34" i="3"/>
  <c r="Q34" i="3" s="1" a="1"/>
  <c r="Q34" i="3" s="1"/>
  <c r="M34" i="3"/>
  <c r="N34" i="3"/>
  <c r="F35" i="3"/>
  <c r="G35" i="3"/>
  <c r="H35" i="3"/>
  <c r="I35" i="3"/>
  <c r="J35" i="3"/>
  <c r="K35" i="3"/>
  <c r="L35" i="3"/>
  <c r="Q35" i="3" s="1" a="1"/>
  <c r="Q35" i="3" s="1"/>
  <c r="M35" i="3"/>
  <c r="N35" i="3"/>
  <c r="F36" i="3"/>
  <c r="G36" i="3"/>
  <c r="H36" i="3"/>
  <c r="I36" i="3"/>
  <c r="J36" i="3"/>
  <c r="K36" i="3"/>
  <c r="L36" i="3"/>
  <c r="Q36" i="3" s="1" a="1"/>
  <c r="Q36" i="3" s="1"/>
  <c r="M36" i="3"/>
  <c r="N36" i="3"/>
  <c r="F12" i="3"/>
  <c r="G12" i="3"/>
  <c r="H12" i="3"/>
  <c r="I12" i="3"/>
  <c r="J12" i="3"/>
  <c r="K12" i="3"/>
  <c r="L12" i="3"/>
  <c r="Q12" i="3" s="1" a="1"/>
  <c r="Q12" i="3" s="1"/>
  <c r="M12" i="3"/>
  <c r="N12" i="3"/>
  <c r="F19" i="3"/>
  <c r="G19" i="3"/>
  <c r="H19" i="3"/>
  <c r="I19" i="3"/>
  <c r="J19" i="3"/>
  <c r="K19" i="3"/>
  <c r="L19" i="3"/>
  <c r="Q19" i="3" s="1" a="1"/>
  <c r="Q19" i="3" s="1"/>
  <c r="M19" i="3"/>
  <c r="N19" i="3"/>
  <c r="F20" i="3"/>
  <c r="G20" i="3"/>
  <c r="H20" i="3"/>
  <c r="I20" i="3"/>
  <c r="J20" i="3"/>
  <c r="K20" i="3"/>
  <c r="L20" i="3"/>
  <c r="Q20" i="3" s="1" a="1"/>
  <c r="Q20" i="3" s="1"/>
  <c r="M20" i="3"/>
  <c r="N20" i="3"/>
  <c r="F21" i="3"/>
  <c r="G21" i="3"/>
  <c r="H21" i="3"/>
  <c r="I21" i="3"/>
  <c r="J21" i="3"/>
  <c r="K21" i="3"/>
  <c r="L21" i="3"/>
  <c r="Q21" i="3" s="1" a="1"/>
  <c r="Q21" i="3" s="1"/>
  <c r="M21" i="3"/>
  <c r="N21" i="3"/>
  <c r="F22" i="3"/>
  <c r="G22" i="3"/>
  <c r="H22" i="3"/>
  <c r="I22" i="3"/>
  <c r="J22" i="3"/>
  <c r="K22" i="3"/>
  <c r="L22" i="3"/>
  <c r="Q22" i="3" s="1" a="1"/>
  <c r="Q22" i="3" s="1"/>
  <c r="M22" i="3"/>
  <c r="N22" i="3"/>
  <c r="F23" i="3"/>
  <c r="G23" i="3"/>
  <c r="H23" i="3"/>
  <c r="I23" i="3"/>
  <c r="J23" i="3"/>
  <c r="K23" i="3"/>
  <c r="L23" i="3"/>
  <c r="Q23" i="3" s="1" a="1"/>
  <c r="Q23" i="3" s="1"/>
  <c r="M23" i="3"/>
  <c r="N23" i="3"/>
  <c r="F37" i="3"/>
  <c r="G37" i="3"/>
  <c r="H37" i="3"/>
  <c r="I37" i="3"/>
  <c r="J37" i="3"/>
  <c r="K37" i="3"/>
  <c r="L37" i="3"/>
  <c r="Q37" i="3" s="1" a="1"/>
  <c r="Q37" i="3" s="1"/>
  <c r="M37" i="3"/>
  <c r="N37" i="3"/>
  <c r="F60" i="3"/>
  <c r="F71" i="3"/>
  <c r="F72" i="3"/>
  <c r="F73" i="3"/>
  <c r="F74" i="3"/>
  <c r="F75" i="3"/>
  <c r="F76" i="3"/>
  <c r="G60" i="3"/>
  <c r="G71" i="3"/>
  <c r="G72" i="3"/>
  <c r="G73" i="3"/>
  <c r="G74" i="3"/>
  <c r="G75" i="3"/>
  <c r="G76" i="3"/>
  <c r="H60" i="3"/>
  <c r="H71" i="3"/>
  <c r="H72" i="3"/>
  <c r="H73" i="3"/>
  <c r="H74" i="3"/>
  <c r="H75" i="3"/>
  <c r="H76" i="3"/>
  <c r="I60" i="3"/>
  <c r="I71" i="3"/>
  <c r="I72" i="3"/>
  <c r="I73" i="3"/>
  <c r="I74" i="3"/>
  <c r="I75" i="3"/>
  <c r="I76" i="3"/>
  <c r="J60" i="3"/>
  <c r="J71" i="3"/>
  <c r="J72" i="3"/>
  <c r="J73" i="3"/>
  <c r="J74" i="3"/>
  <c r="J75" i="3"/>
  <c r="J76" i="3"/>
  <c r="K60" i="3"/>
  <c r="K71" i="3"/>
  <c r="K72" i="3"/>
  <c r="K73" i="3"/>
  <c r="K74" i="3"/>
  <c r="K75" i="3"/>
  <c r="K76" i="3"/>
  <c r="L60" i="3"/>
  <c r="Q60" i="3" s="1" a="1"/>
  <c r="Q60" i="3" s="1"/>
  <c r="L71" i="3"/>
  <c r="Q71" i="3" s="1" a="1"/>
  <c r="Q71" i="3" s="1"/>
  <c r="L72" i="3"/>
  <c r="Q72" i="3" s="1" a="1"/>
  <c r="Q72" i="3" s="1"/>
  <c r="L73" i="3"/>
  <c r="Q73" i="3" s="1" a="1"/>
  <c r="Q73" i="3" s="1"/>
  <c r="L74" i="3"/>
  <c r="Q74" i="3" s="1" a="1"/>
  <c r="Q74" i="3" s="1"/>
  <c r="L75" i="3"/>
  <c r="Q75" i="3" s="1" a="1"/>
  <c r="Q75" i="3" s="1"/>
  <c r="L76" i="3"/>
  <c r="Q76" i="3" s="1" a="1"/>
  <c r="Q76" i="3" s="1"/>
  <c r="M60" i="3"/>
  <c r="M71" i="3"/>
  <c r="M72" i="3"/>
  <c r="M73" i="3"/>
  <c r="M74" i="3"/>
  <c r="M75" i="3"/>
  <c r="M76" i="3"/>
  <c r="N60" i="3"/>
  <c r="N71" i="3"/>
  <c r="N72" i="3"/>
  <c r="N73" i="3"/>
  <c r="N74" i="3"/>
  <c r="N75" i="3"/>
  <c r="N76" i="3"/>
  <c r="H11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N11" i="3"/>
  <c r="N38" i="3"/>
  <c r="N39" i="3"/>
  <c r="N40" i="3"/>
  <c r="N41" i="3"/>
  <c r="N42" i="3"/>
  <c r="N43" i="3"/>
  <c r="N44" i="3"/>
  <c r="N45" i="3"/>
  <c r="N46" i="3"/>
  <c r="N47" i="3"/>
  <c r="N48" i="3"/>
  <c r="N49" i="3"/>
  <c r="N50" i="3"/>
  <c r="N51" i="3"/>
  <c r="N52" i="3"/>
  <c r="N53" i="3"/>
  <c r="N54" i="3"/>
  <c r="N55" i="3"/>
  <c r="N56" i="3"/>
  <c r="N57" i="3"/>
  <c r="N58" i="3"/>
  <c r="N59" i="3"/>
  <c r="M11" i="3" l="1"/>
  <c r="M38" i="3"/>
  <c r="M39" i="3"/>
  <c r="M40" i="3"/>
  <c r="M41" i="3"/>
  <c r="M42" i="3"/>
  <c r="M43" i="3"/>
  <c r="M44" i="3"/>
  <c r="M45" i="3"/>
  <c r="M46" i="3"/>
  <c r="M47" i="3"/>
  <c r="M48" i="3"/>
  <c r="M49" i="3"/>
  <c r="M50" i="3"/>
  <c r="M51" i="3"/>
  <c r="M52" i="3"/>
  <c r="M53" i="3"/>
  <c r="M54" i="3"/>
  <c r="M55" i="3"/>
  <c r="M56" i="3"/>
  <c r="M57" i="3"/>
  <c r="M58" i="3"/>
  <c r="M59" i="3"/>
  <c r="L11" i="3"/>
  <c r="Q11" i="3" s="1" a="1"/>
  <c r="Q11" i="3" s="1"/>
  <c r="L38" i="3"/>
  <c r="Q38" i="3" s="1" a="1"/>
  <c r="Q38" i="3" s="1"/>
  <c r="L39" i="3"/>
  <c r="Q39" i="3" s="1" a="1"/>
  <c r="Q39" i="3" s="1"/>
  <c r="L40" i="3"/>
  <c r="Q40" i="3" s="1" a="1"/>
  <c r="Q40" i="3" s="1"/>
  <c r="L41" i="3"/>
  <c r="Q41" i="3" s="1" a="1"/>
  <c r="Q41" i="3" s="1"/>
  <c r="L42" i="3"/>
  <c r="Q42" i="3" s="1" a="1"/>
  <c r="Q42" i="3" s="1"/>
  <c r="L43" i="3"/>
  <c r="Q43" i="3" s="1" a="1"/>
  <c r="Q43" i="3" s="1"/>
  <c r="L44" i="3"/>
  <c r="Q44" i="3" s="1" a="1"/>
  <c r="Q44" i="3" s="1"/>
  <c r="L45" i="3"/>
  <c r="Q45" i="3" s="1" a="1"/>
  <c r="Q45" i="3" s="1"/>
  <c r="L46" i="3"/>
  <c r="Q46" i="3" s="1" a="1"/>
  <c r="Q46" i="3" s="1"/>
  <c r="L47" i="3"/>
  <c r="Q47" i="3" s="1" a="1"/>
  <c r="Q47" i="3" s="1"/>
  <c r="L48" i="3"/>
  <c r="Q48" i="3" s="1" a="1"/>
  <c r="Q48" i="3" s="1"/>
  <c r="L49" i="3"/>
  <c r="Q49" i="3" s="1" a="1"/>
  <c r="Q49" i="3" s="1"/>
  <c r="L50" i="3"/>
  <c r="Q50" i="3" s="1" a="1"/>
  <c r="Q50" i="3" s="1"/>
  <c r="L51" i="3"/>
  <c r="Q51" i="3" s="1" a="1"/>
  <c r="Q51" i="3" s="1"/>
  <c r="L52" i="3"/>
  <c r="Q52" i="3" s="1" a="1"/>
  <c r="Q52" i="3" s="1"/>
  <c r="L53" i="3"/>
  <c r="Q53" i="3" s="1" a="1"/>
  <c r="Q53" i="3" s="1"/>
  <c r="L54" i="3"/>
  <c r="Q54" i="3" s="1" a="1"/>
  <c r="Q54" i="3" s="1"/>
  <c r="L55" i="3"/>
  <c r="Q55" i="3" s="1" a="1"/>
  <c r="Q55" i="3" s="1"/>
  <c r="L56" i="3"/>
  <c r="Q56" i="3" s="1" a="1"/>
  <c r="Q56" i="3" s="1"/>
  <c r="L57" i="3"/>
  <c r="Q57" i="3" s="1" a="1"/>
  <c r="Q57" i="3" s="1"/>
  <c r="L58" i="3"/>
  <c r="Q58" i="3" s="1" a="1"/>
  <c r="Q58" i="3" s="1"/>
  <c r="L59" i="3"/>
  <c r="Q59" i="3" s="1" a="1"/>
  <c r="Q59" i="3" s="1"/>
  <c r="K11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K51" i="3"/>
  <c r="K52" i="3"/>
  <c r="K53" i="3"/>
  <c r="K54" i="3"/>
  <c r="K55" i="3"/>
  <c r="K56" i="3"/>
  <c r="K57" i="3"/>
  <c r="K58" i="3"/>
  <c r="K59" i="3"/>
  <c r="J11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I11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G11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F11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T56" i="2" l="1" a="1"/>
  <c r="T56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<sst xmlns="http://schemas.openxmlformats.org/spreadsheetml/2006/main" count="1794" uniqueCount="592">
  <si>
    <t>PSD路径</t>
  </si>
  <si>
    <t>PSD名称</t>
    <phoneticPr fontId="6" type="noConversion"/>
  </si>
  <si>
    <t>导出路径</t>
    <phoneticPr fontId="6" type="noConversion"/>
  </si>
  <si>
    <t>导出格式</t>
    <phoneticPr fontId="6" type="noConversion"/>
  </si>
  <si>
    <t>png</t>
    <phoneticPr fontId="6" type="noConversion"/>
  </si>
  <si>
    <t>文件名后缀</t>
    <phoneticPr fontId="6" type="noConversion"/>
  </si>
  <si>
    <t>AI 算力</t>
  </si>
  <si>
    <t>CUDA数量</t>
    <phoneticPr fontId="6" type="noConversion"/>
  </si>
  <si>
    <t>核心频率</t>
  </si>
  <si>
    <t>显存 大小/类型</t>
  </si>
  <si>
    <t>显存 速率/位宽</t>
  </si>
  <si>
    <t>建议电源</t>
    <phoneticPr fontId="6" type="noConversion"/>
  </si>
  <si>
    <t>显卡尺寸</t>
  </si>
  <si>
    <t>视频输出接口</t>
  </si>
  <si>
    <t>计算单元</t>
    <phoneticPr fontId="6" type="noConversion"/>
  </si>
  <si>
    <t>流处理器数量</t>
    <phoneticPr fontId="6" type="noConversion"/>
  </si>
  <si>
    <t>导出文件名</t>
  </si>
  <si>
    <t>备注2</t>
  </si>
  <si>
    <t>文本丨标题丨标题1</t>
    <phoneticPr fontId="6" type="noConversion"/>
  </si>
  <si>
    <t>文本丨标题丨标题2</t>
  </si>
  <si>
    <t>文本丨规格丨规格1</t>
    <phoneticPr fontId="6" type="noConversion"/>
  </si>
  <si>
    <t>文本丨规格丨规格2</t>
    <phoneticPr fontId="6" type="noConversion"/>
  </si>
  <si>
    <t>文本丨规格丨规格3</t>
  </si>
  <si>
    <t>文本丨规格丨规格4</t>
  </si>
  <si>
    <t>文本丨规格丨规格5</t>
  </si>
  <si>
    <t>文本丨规格丨规格6</t>
  </si>
  <si>
    <t>文本丨规格丨规格7</t>
  </si>
  <si>
    <t>文本丨规格丨规格8</t>
  </si>
  <si>
    <t>可显性丨显卡丨1</t>
    <phoneticPr fontId="6" type="noConversion"/>
  </si>
  <si>
    <t>可显性丨LOGO丨1</t>
    <phoneticPr fontId="6" type="noConversion"/>
  </si>
  <si>
    <t>可显性丨LOGO丨2</t>
    <phoneticPr fontId="6" type="noConversion"/>
  </si>
  <si>
    <t>RTX5060Ti 8G</t>
    <phoneticPr fontId="6" type="noConversion"/>
  </si>
  <si>
    <t>WF 风魔</t>
    <phoneticPr fontId="6" type="noConversion"/>
  </si>
  <si>
    <t>759 AI TOPS</t>
    <phoneticPr fontId="6" type="noConversion"/>
  </si>
  <si>
    <t>4608</t>
    <phoneticPr fontId="6" type="noConversion"/>
  </si>
  <si>
    <t>2572 MHz</t>
    <phoneticPr fontId="6" type="noConversion"/>
  </si>
  <si>
    <t>8GB / GDDR7</t>
    <phoneticPr fontId="6" type="noConversion"/>
  </si>
  <si>
    <t>28 Gbps /128bit</t>
    <phoneticPr fontId="6" type="noConversion"/>
  </si>
  <si>
    <t>8 pin*1 /650W</t>
    <phoneticPr fontId="6" type="noConversion"/>
  </si>
  <si>
    <t>208*120*40 mm</t>
    <phoneticPr fontId="6" type="noConversion"/>
  </si>
  <si>
    <t>DP2.1bx3+HDM2.1bx1</t>
    <phoneticPr fontId="6" type="noConversion"/>
  </si>
  <si>
    <t>N卡</t>
    <phoneticPr fontId="6" type="noConversion"/>
  </si>
  <si>
    <t>WF OC风魔</t>
    <phoneticPr fontId="6" type="noConversion"/>
  </si>
  <si>
    <t>2587 MHz</t>
    <phoneticPr fontId="6" type="noConversion"/>
  </si>
  <si>
    <t>EAGLE OC 猎鹰</t>
    <phoneticPr fontId="6" type="noConversion"/>
  </si>
  <si>
    <t>2617 MHz</t>
    <phoneticPr fontId="6" type="noConversion"/>
  </si>
  <si>
    <t>215*122*40 mm</t>
    <phoneticPr fontId="6" type="noConversion"/>
  </si>
  <si>
    <t>EAGLE ICE OC 冰猎鹰</t>
    <phoneticPr fontId="6" type="noConversion"/>
  </si>
  <si>
    <t>GAMING OC 魔鹰</t>
    <phoneticPr fontId="6" type="noConversion"/>
  </si>
  <si>
    <t>2647 MHz</t>
    <phoneticPr fontId="6" type="noConversion"/>
  </si>
  <si>
    <t>281*119*40 mm</t>
    <phoneticPr fontId="6" type="noConversion"/>
  </si>
  <si>
    <t>AERO OC 雪鹰</t>
    <phoneticPr fontId="6" type="noConversion"/>
  </si>
  <si>
    <t>281*117*40 mm</t>
    <phoneticPr fontId="6" type="noConversion"/>
  </si>
  <si>
    <t>RTX5060Ti 16G</t>
    <phoneticPr fontId="6" type="noConversion"/>
  </si>
  <si>
    <t>16GB / GDDR7</t>
    <phoneticPr fontId="6" type="noConversion"/>
  </si>
  <si>
    <t>AERO OC 魔鹰</t>
    <phoneticPr fontId="6" type="noConversion"/>
  </si>
  <si>
    <t>AORUS E 小雕</t>
    <phoneticPr fontId="6" type="noConversion"/>
  </si>
  <si>
    <t>2722 MHz</t>
    <phoneticPr fontId="6" type="noConversion"/>
  </si>
  <si>
    <t>329*128*41 mm</t>
    <phoneticPr fontId="6" type="noConversion"/>
  </si>
  <si>
    <t>5070 WF3OC-12GD风魔</t>
  </si>
  <si>
    <t>RTX5070 12G</t>
  </si>
  <si>
    <t>WF3 OC 风魔</t>
    <phoneticPr fontId="6" type="noConversion"/>
  </si>
  <si>
    <t>988 Al TOPS</t>
  </si>
  <si>
    <t>2542 MHz</t>
  </si>
  <si>
    <t>12GB / GDDR7</t>
  </si>
  <si>
    <t>28 Gbps /192bit</t>
  </si>
  <si>
    <t>16 pin*1 /750W</t>
    <phoneticPr fontId="6" type="noConversion"/>
  </si>
  <si>
    <t>282*110*50 mm</t>
  </si>
  <si>
    <t>5070 EAGLE OC-12GD猎鹰</t>
  </si>
  <si>
    <t>2587 MHz</t>
  </si>
  <si>
    <t>290*120*50 mm</t>
  </si>
  <si>
    <t>5070 EAGLE OC ICE-12GD冰猎鹰</t>
  </si>
  <si>
    <t>5070 GAMING OC-12GD魔鹰</t>
  </si>
  <si>
    <t>GAMING OC 魔鹰</t>
  </si>
  <si>
    <t>2625 MHz</t>
  </si>
  <si>
    <t>327*132*56 mm</t>
  </si>
  <si>
    <t>N卡+4年</t>
  </si>
  <si>
    <t>5070 AERO OC-12GD雪鹰</t>
  </si>
  <si>
    <t>AERO OC 雪鹰</t>
  </si>
  <si>
    <t>324*130*56 mm</t>
  </si>
  <si>
    <t>5070 AORUS M-12GD超级雕</t>
  </si>
  <si>
    <t>AORUS M 超级雕</t>
  </si>
  <si>
    <t>2715 MHz</t>
  </si>
  <si>
    <t>5070Ti WF3OC-16GD风魔</t>
  </si>
  <si>
    <t>RTX5070Ti 16G</t>
    <phoneticPr fontId="6" type="noConversion"/>
  </si>
  <si>
    <t>1406 AI TOPS</t>
    <phoneticPr fontId="6" type="noConversion"/>
  </si>
  <si>
    <t>8960</t>
    <phoneticPr fontId="6" type="noConversion"/>
  </si>
  <si>
    <t>2497 MHz </t>
  </si>
  <si>
    <t>28 Gbps /256bit</t>
    <phoneticPr fontId="6" type="noConversion"/>
  </si>
  <si>
    <t>304*126*50 mm</t>
    <phoneticPr fontId="6" type="noConversion"/>
  </si>
  <si>
    <t>5070Ti EAGLE OC-16GD猎鹰</t>
  </si>
  <si>
    <t>5070Ti EAGLE OC ICE-16GD冰猎鹰</t>
  </si>
  <si>
    <t>2542 MHz </t>
  </si>
  <si>
    <t>5070Ti GAMING OC-16GD魔鹰</t>
  </si>
  <si>
    <t>2588 MHz</t>
  </si>
  <si>
    <t>340*140*70 mm</t>
    <phoneticPr fontId="6" type="noConversion"/>
  </si>
  <si>
    <t>5070Ti AERO OC-16GD雪鹰</t>
  </si>
  <si>
    <t>5070Ti AORUS M-16GD超级雕</t>
  </si>
  <si>
    <t>2670 MHz</t>
  </si>
  <si>
    <t>360*150*75 mm</t>
    <phoneticPr fontId="6" type="noConversion"/>
  </si>
  <si>
    <t>5080 WF3OC-16GD 风魔</t>
  </si>
  <si>
    <t>RTX5080 16G</t>
    <phoneticPr fontId="6" type="noConversion"/>
  </si>
  <si>
    <t>1801 AI TOPS</t>
    <phoneticPr fontId="6" type="noConversion"/>
  </si>
  <si>
    <t>10752</t>
    <phoneticPr fontId="6" type="noConversion"/>
  </si>
  <si>
    <t>2670 MHz</t>
    <phoneticPr fontId="6" type="noConversion"/>
  </si>
  <si>
    <t>30 Gbps /256bit</t>
    <phoneticPr fontId="6" type="noConversion"/>
  </si>
  <si>
    <t>16 pin*1 /850W</t>
    <phoneticPr fontId="6" type="noConversion"/>
  </si>
  <si>
    <t>5080 GAMING OC-16GD 魔鹰</t>
  </si>
  <si>
    <t>2730 MHz</t>
    <phoneticPr fontId="6" type="noConversion"/>
  </si>
  <si>
    <t>5080 AERO OC-16GD 雪鹰</t>
  </si>
  <si>
    <t>5080 AORUS M-16GD 超级雕</t>
  </si>
  <si>
    <t>2805 MHz</t>
    <phoneticPr fontId="6" type="noConversion"/>
  </si>
  <si>
    <t>5080 AORUSM ICE-16GD 超级雕白</t>
  </si>
  <si>
    <t>AORUS M ICE 超级雕白</t>
    <phoneticPr fontId="6" type="noConversion"/>
  </si>
  <si>
    <t>5080 AORUSX W-16GD 一体水雕</t>
  </si>
  <si>
    <t>AORUS X W 一体水雕</t>
  </si>
  <si>
    <t>220*130*40不含冷排</t>
    <phoneticPr fontId="6" type="noConversion"/>
  </si>
  <si>
    <t>RTX5090D 32G</t>
    <phoneticPr fontId="6" type="noConversion"/>
  </si>
  <si>
    <t>2375 AI TOPS</t>
    <phoneticPr fontId="6" type="noConversion"/>
  </si>
  <si>
    <t>21760</t>
    <phoneticPr fontId="6" type="noConversion"/>
  </si>
  <si>
    <t>2467 MHz</t>
    <phoneticPr fontId="6" type="noConversion"/>
  </si>
  <si>
    <t>32GB / GDDR7</t>
    <phoneticPr fontId="6" type="noConversion"/>
  </si>
  <si>
    <t>28 Gbps /512bit</t>
    <phoneticPr fontId="6" type="noConversion"/>
  </si>
  <si>
    <t>16 pin*1 /1000W</t>
    <phoneticPr fontId="6" type="noConversion"/>
  </si>
  <si>
    <t>342*150*65 mm</t>
    <phoneticPr fontId="6" type="noConversion"/>
  </si>
  <si>
    <t>2550 MHz</t>
    <phoneticPr fontId="6" type="noConversion"/>
  </si>
  <si>
    <t>342*152*70 mm</t>
    <phoneticPr fontId="6" type="noConversion"/>
  </si>
  <si>
    <t>5090D AORUS M-32GD 超级雕</t>
  </si>
  <si>
    <t>2655 MHz</t>
    <phoneticPr fontId="6" type="noConversion"/>
  </si>
  <si>
    <t>5090D AORUSM ICE-32GD 超级雕白</t>
  </si>
  <si>
    <t>RX7650GRE 8G</t>
  </si>
  <si>
    <t>GAMING OC魔鹰</t>
  </si>
  <si>
    <t>8GB / GDDR6</t>
  </si>
  <si>
    <t>18 Gbps /128bit</t>
  </si>
  <si>
    <t>8 pin*l /600W</t>
  </si>
  <si>
    <t>282*115*50 mm</t>
  </si>
  <si>
    <t>DP1.4a*2+HDMI2.1a*2</t>
    <phoneticPr fontId="6" type="noConversion"/>
  </si>
  <si>
    <t>A卡</t>
    <phoneticPr fontId="6" type="noConversion"/>
  </si>
  <si>
    <t>RX9070 GRE 12G</t>
    <phoneticPr fontId="6" type="noConversion"/>
  </si>
  <si>
    <t>2920 MHz</t>
    <phoneticPr fontId="6" type="noConversion"/>
  </si>
  <si>
    <t>16GB / GDDR6</t>
  </si>
  <si>
    <t>18 Gbps /192bit</t>
    <phoneticPr fontId="6" type="noConversion"/>
  </si>
  <si>
    <t>8 pin*2 /750W</t>
  </si>
  <si>
    <t>288*132*50 mm</t>
  </si>
  <si>
    <t>DP2.1a*2+HDMI2.1b*2</t>
    <phoneticPr fontId="6" type="noConversion"/>
  </si>
  <si>
    <t>RX9070 16G</t>
  </si>
  <si>
    <t>2700 MHz</t>
  </si>
  <si>
    <t>20 Gbps /256bit</t>
  </si>
  <si>
    <t>RX9070 XT 16G</t>
  </si>
  <si>
    <t>3060 MHz</t>
  </si>
  <si>
    <t>8 pin*3 /850W</t>
  </si>
  <si>
    <t>288*132*56 mm</t>
  </si>
  <si>
    <t>AORUS ELITE小雕</t>
    <phoneticPr fontId="6" type="noConversion"/>
  </si>
  <si>
    <t>3100 MHz</t>
  </si>
  <si>
    <t>339*136*59 mm</t>
  </si>
  <si>
    <t>A卡+4年</t>
    <phoneticPr fontId="6" type="noConversion"/>
  </si>
  <si>
    <t>4070 WF3OC-12GD 风魔V2</t>
  </si>
  <si>
    <t>RTX 4070 12G</t>
    <phoneticPr fontId="6" type="noConversion"/>
  </si>
  <si>
    <t>446 AI TOPS</t>
    <phoneticPr fontId="6" type="noConversion"/>
  </si>
  <si>
    <t>5888</t>
    <phoneticPr fontId="6" type="noConversion"/>
  </si>
  <si>
    <t>2490 MHz</t>
    <phoneticPr fontId="6" type="noConversion"/>
  </si>
  <si>
    <t>12G / GDDR6</t>
    <phoneticPr fontId="6" type="noConversion"/>
  </si>
  <si>
    <t>21 Gbps /192 bit</t>
    <phoneticPr fontId="6" type="noConversion"/>
  </si>
  <si>
    <t>8pin *1 / 650W</t>
    <phoneticPr fontId="6" type="noConversion"/>
  </si>
  <si>
    <t>261*126*50 mm</t>
    <phoneticPr fontId="6" type="noConversion"/>
  </si>
  <si>
    <t>DP1.4a * 3+HDM2.1ax1</t>
    <phoneticPr fontId="6" type="noConversion"/>
  </si>
  <si>
    <t>4070S WF3OC-12GD 风魔</t>
    <phoneticPr fontId="6" type="noConversion"/>
  </si>
  <si>
    <t>RTX 4070 Super 12G丨40</t>
    <phoneticPr fontId="6" type="noConversion"/>
  </si>
  <si>
    <t>568 AI TOPS</t>
    <phoneticPr fontId="6" type="noConversion"/>
  </si>
  <si>
    <t>7168</t>
    <phoneticPr fontId="6" type="noConversion"/>
  </si>
  <si>
    <t>2505 MHz</t>
    <phoneticPr fontId="6" type="noConversion"/>
  </si>
  <si>
    <t>12G / GDDR6X</t>
    <phoneticPr fontId="6" type="noConversion"/>
  </si>
  <si>
    <t>8pin *1 / 750W</t>
    <phoneticPr fontId="6" type="noConversion"/>
  </si>
  <si>
    <t>参数</t>
    <phoneticPr fontId="6" type="noConversion"/>
  </si>
  <si>
    <t>列1</t>
  </si>
  <si>
    <t>N卡NO OC</t>
    <phoneticPr fontId="6" type="noConversion"/>
  </si>
  <si>
    <t>GV-N506TWF2 OC-16GD</t>
  </si>
  <si>
    <t>GV-N506TWF2 OC-16GD</t>
    <phoneticPr fontId="6" type="noConversion"/>
  </si>
  <si>
    <t>GV-N506TEAGLE OC-16GD</t>
  </si>
  <si>
    <t>GV-N506TEAGLE OC-16GD</t>
    <phoneticPr fontId="6" type="noConversion"/>
  </si>
  <si>
    <t>GV-N506TEAGLE OC ICE-16GD</t>
  </si>
  <si>
    <t>GV-N506TEAGLE OC ICE-16GD</t>
    <phoneticPr fontId="6" type="noConversion"/>
  </si>
  <si>
    <t>GV-N506TGAMING OC-16GD</t>
  </si>
  <si>
    <t>GV-N506TGAMING OC-16GD</t>
    <phoneticPr fontId="6" type="noConversion"/>
  </si>
  <si>
    <t>GV-N506TAERO OC-16GD</t>
  </si>
  <si>
    <t>GV-N506TAORUS E-16GD</t>
  </si>
  <si>
    <t>GV-N506TAERO OC-16GD</t>
    <phoneticPr fontId="6" type="noConversion"/>
  </si>
  <si>
    <t>GV-N506TAORUS E-16GD</t>
    <phoneticPr fontId="6" type="noConversion"/>
  </si>
  <si>
    <t>PSD路径</t>
    <phoneticPr fontId="6" type="noConversion"/>
  </si>
  <si>
    <t>显卡日常版本</t>
    <phoneticPr fontId="6" type="noConversion"/>
  </si>
  <si>
    <t>主图</t>
    <phoneticPr fontId="6" type="noConversion"/>
  </si>
  <si>
    <t>（1）</t>
    <phoneticPr fontId="6" type="noConversion"/>
  </si>
  <si>
    <t>标题</t>
    <phoneticPr fontId="6" type="noConversion"/>
  </si>
  <si>
    <t>利益点</t>
    <phoneticPr fontId="6" type="noConversion"/>
  </si>
  <si>
    <t>产品图片</t>
    <phoneticPr fontId="6" type="noConversion"/>
  </si>
  <si>
    <t>免息</t>
    <phoneticPr fontId="6" type="noConversion"/>
  </si>
  <si>
    <t>文本丨标题丨标题2</t>
    <phoneticPr fontId="6" type="noConversion"/>
  </si>
  <si>
    <t>文本丨标题丨标题3</t>
    <phoneticPr fontId="6" type="noConversion"/>
  </si>
  <si>
    <t>文本丨利益点丨利益点1</t>
    <phoneticPr fontId="6" type="noConversion"/>
  </si>
  <si>
    <t>文本丨利益点丨利益点2</t>
    <phoneticPr fontId="6" type="noConversion"/>
  </si>
  <si>
    <t>文本丨利益点丨利益点3</t>
    <phoneticPr fontId="6" type="noConversion"/>
  </si>
  <si>
    <t>可显性丨显卡丨</t>
    <phoneticPr fontId="6" type="noConversion"/>
  </si>
  <si>
    <t>可显性丨电源丨</t>
    <phoneticPr fontId="6" type="noConversion"/>
  </si>
  <si>
    <t>可显性丨LOGO丨</t>
    <phoneticPr fontId="6" type="noConversion"/>
  </si>
  <si>
    <t>+550W电源</t>
  </si>
  <si>
    <t>斗战550S</t>
  </si>
  <si>
    <t>算力</t>
    <phoneticPr fontId="6" type="noConversion"/>
  </si>
  <si>
    <t>P550SS ICE 白色(ATX3.0/银牌)</t>
  </si>
  <si>
    <t>斗战550 ICE</t>
  </si>
  <si>
    <t>+650W电源</t>
  </si>
  <si>
    <t>P650SS ICE 白色(ATX3.0/银牌)</t>
  </si>
  <si>
    <t>斗战650 ICE</t>
  </si>
  <si>
    <t>风魔 16G</t>
  </si>
  <si>
    <t>魔鹰 16G</t>
  </si>
  <si>
    <t>+750W模组电源</t>
  </si>
  <si>
    <t>P750GM</t>
  </si>
  <si>
    <t>RGB幻彩光轮</t>
  </si>
  <si>
    <t>强化金属背板</t>
  </si>
  <si>
    <t>UD850GM PG5黑色(ATX3.0/PCIE5.0)</t>
  </si>
  <si>
    <t>+850W模组电源</t>
  </si>
  <si>
    <t>UD850GM PG5</t>
  </si>
  <si>
    <t>UD850GM PG5白色(ATX3.0/PCIE5.0)</t>
  </si>
  <si>
    <t>UD850GM PG5 W</t>
  </si>
  <si>
    <t>DLSS 4</t>
  </si>
  <si>
    <t>航嘉 GX750W 白(ATX3.1/PCIe5.1)</t>
  </si>
  <si>
    <t>AERO OC</t>
  </si>
  <si>
    <t>五重高效散热</t>
  </si>
  <si>
    <t>UD1000GM PG5黑色(ATX3.0/PCIE5.0)</t>
  </si>
  <si>
    <t>+1000W全模电源</t>
  </si>
  <si>
    <t>UD1000GM PG5</t>
  </si>
  <si>
    <t>AE1000PM PG5 ICE 白 白金雕</t>
  </si>
  <si>
    <t>白金雕1000PG5 ICE</t>
  </si>
  <si>
    <t>航嘉 WD650Evo 黑(铜牌/直出)</t>
  </si>
  <si>
    <t>WD650Evo</t>
  </si>
  <si>
    <t>猎鹰 UD850GM 黑(ATX2.0/金牌全模组）</t>
  </si>
  <si>
    <t>标题1</t>
    <phoneticPr fontId="6" type="noConversion"/>
  </si>
  <si>
    <t>标题2</t>
    <phoneticPr fontId="6" type="noConversion"/>
  </si>
  <si>
    <t>标题3</t>
    <phoneticPr fontId="6" type="noConversion"/>
  </si>
  <si>
    <t>利益点1</t>
    <phoneticPr fontId="6" type="noConversion"/>
  </si>
  <si>
    <t>利益点2</t>
    <phoneticPr fontId="6" type="noConversion"/>
  </si>
  <si>
    <t>利益点3</t>
    <phoneticPr fontId="6" type="noConversion"/>
  </si>
  <si>
    <t>可显性</t>
    <phoneticPr fontId="6" type="noConversion"/>
  </si>
  <si>
    <t>RTX5060 Ti</t>
  </si>
  <si>
    <t>风魔 8G</t>
  </si>
  <si>
    <t>WF2</t>
  </si>
  <si>
    <t>铜板+复合式热管</t>
  </si>
  <si>
    <t>精巧双风扇</t>
  </si>
  <si>
    <t>仿生降噪风扇</t>
  </si>
  <si>
    <t>风魔16G</t>
  </si>
  <si>
    <t>WF2 OC</t>
  </si>
  <si>
    <t>猎鹰 8G</t>
  </si>
  <si>
    <t>EAGLE OC</t>
  </si>
  <si>
    <t>冰猎鹰 8G</t>
  </si>
  <si>
    <t>EAGLE OC ICE</t>
  </si>
  <si>
    <t>冰猎鹰 16G</t>
  </si>
  <si>
    <t>魔鹰 8G</t>
  </si>
  <si>
    <t>GAMING  OC</t>
  </si>
  <si>
    <t>RGB滑动侧板</t>
  </si>
  <si>
    <t>银白雪装外观</t>
  </si>
  <si>
    <t>小雕 16G</t>
  </si>
  <si>
    <t>AORUS ELITE</t>
  </si>
  <si>
    <t>注册4年保/个人送保丨25</t>
  </si>
  <si>
    <t>LOGO</t>
    <phoneticPr fontId="6" type="noConversion"/>
  </si>
  <si>
    <t>型号</t>
    <phoneticPr fontId="6" type="noConversion"/>
  </si>
  <si>
    <t>配件1</t>
    <phoneticPr fontId="6" type="noConversion"/>
  </si>
  <si>
    <t>配件2</t>
    <phoneticPr fontId="6" type="noConversion"/>
  </si>
  <si>
    <t>技嘉型号</t>
    <phoneticPr fontId="6" type="noConversion"/>
  </si>
  <si>
    <t>5060Ti WF2-8GD风魔</t>
  </si>
  <si>
    <t>5060Ti AORUS E-16GD小雕</t>
  </si>
  <si>
    <t>5060Ti AERO OC-16GD雪鹰</t>
  </si>
  <si>
    <t>5060Ti AERO OC-8GD雪鹰</t>
  </si>
  <si>
    <t>5060Ti WF2-16GD风魔</t>
  </si>
  <si>
    <t>5060Ti GAMING OC-8GD魔鹰</t>
  </si>
  <si>
    <t>5060Ti GAMING OC-16GD魔鹰</t>
  </si>
  <si>
    <t>5060Ti EAGLEOC ICE-16GD冰猎鹰</t>
  </si>
  <si>
    <t>5060Ti EAGLEOC ICE-8GD冰猎鹰</t>
  </si>
  <si>
    <t>5060Ti EAGLE OC-8GD猎鹰</t>
  </si>
  <si>
    <t>猎鹰 16G</t>
    <phoneticPr fontId="6" type="noConversion"/>
  </si>
  <si>
    <t>5060Ti EAGLE OC-16GD猎鹰</t>
  </si>
  <si>
    <t>P650SS 黑色(ATX3.1/银牌)</t>
  </si>
  <si>
    <t>标志</t>
    <phoneticPr fontId="6" type="noConversion"/>
  </si>
  <si>
    <t>可显性丨丨</t>
    <phoneticPr fontId="6" type="noConversion"/>
  </si>
  <si>
    <t>斗战650S</t>
  </si>
  <si>
    <t>航嘉 GX750W 白</t>
  </si>
  <si>
    <t>白金雕1000PG5</t>
  </si>
  <si>
    <t>UD850GM</t>
  </si>
  <si>
    <t>P550SS 黑色(ATX3.1/银牌)</t>
    <phoneticPr fontId="6" type="noConversion"/>
  </si>
  <si>
    <t>强化金属背板</t>
    <phoneticPr fontId="6" type="noConversion"/>
  </si>
  <si>
    <t>+1000W铂金雕电源 丨32</t>
    <phoneticPr fontId="6" type="noConversion"/>
  </si>
  <si>
    <t>E:\WORK\工作相关\psd</t>
    <phoneticPr fontId="6" type="noConversion"/>
  </si>
  <si>
    <t>文本丨算力丨算力值</t>
    <phoneticPr fontId="6" type="noConversion"/>
  </si>
  <si>
    <t>GV-N5060AORUS E-8GD</t>
  </si>
  <si>
    <t>GV-N5060GAMING OC-8GD</t>
  </si>
  <si>
    <t>GV-N5060EAGLEOC ICE-8GD</t>
  </si>
  <si>
    <t>GV-N5060AERO OC-8GD</t>
  </si>
  <si>
    <t>GV-N5060EAGLE OC-8GD</t>
  </si>
  <si>
    <t>GV-N5060WF2-8GD</t>
  </si>
  <si>
    <t>GV-N5060WF2OC-8GD</t>
  </si>
  <si>
    <t>GV-N5060OC-8GL</t>
  </si>
  <si>
    <t>RTX5060 8G</t>
    <phoneticPr fontId="6" type="noConversion"/>
  </si>
  <si>
    <t>半高卡</t>
    <phoneticPr fontId="6" type="noConversion"/>
  </si>
  <si>
    <t>WF 风魔</t>
  </si>
  <si>
    <t>WF OC风魔</t>
  </si>
  <si>
    <t>EAGLE OC 猎鹰</t>
  </si>
  <si>
    <t>EAGLE ICE OC 冰猎鹰</t>
  </si>
  <si>
    <t>8 pin*1 /500W</t>
    <phoneticPr fontId="6" type="noConversion"/>
  </si>
  <si>
    <t>281*119*40 mm</t>
  </si>
  <si>
    <t>281*117*40 mm</t>
  </si>
  <si>
    <t>182*69*36 mm</t>
    <phoneticPr fontId="6" type="noConversion"/>
  </si>
  <si>
    <t>2595 MHz</t>
  </si>
  <si>
    <t>2512 MHz</t>
  </si>
  <si>
    <t>2512 MHz</t>
    <phoneticPr fontId="6" type="noConversion"/>
  </si>
  <si>
    <t>2497MHz</t>
    <phoneticPr fontId="6" type="noConversion"/>
  </si>
  <si>
    <t>614 AI TOPS</t>
    <phoneticPr fontId="6" type="noConversion"/>
  </si>
  <si>
    <t>N卡NO OC</t>
  </si>
  <si>
    <t>N卡</t>
  </si>
  <si>
    <t>GV-N506TWF2-16GD</t>
    <phoneticPr fontId="6" type="noConversion"/>
  </si>
  <si>
    <t>GV-N506TWF2-8GD</t>
  </si>
  <si>
    <t>GV-N506TWF2 OC-8GD</t>
  </si>
  <si>
    <t>GV-N506TEAGLE OC-8GD</t>
  </si>
  <si>
    <t>GV-N506TEAGLE OC ICE-8GD</t>
  </si>
  <si>
    <t>GV-N506TGAMING OC-8GD</t>
  </si>
  <si>
    <t>GV-N506TAERO OC-8GD</t>
  </si>
  <si>
    <t>199*116*40 mm</t>
    <phoneticPr fontId="6" type="noConversion"/>
  </si>
  <si>
    <t>329*128*40 mm</t>
    <phoneticPr fontId="6" type="noConversion"/>
  </si>
  <si>
    <t>显卡参数新</t>
    <phoneticPr fontId="6" type="noConversion"/>
  </si>
  <si>
    <t>3840</t>
    <phoneticPr fontId="6" type="noConversion"/>
  </si>
  <si>
    <t>DP2.1bx2+DP1.4ax1+HDM2.1bx1丨15</t>
    <phoneticPr fontId="6" type="noConversion"/>
  </si>
  <si>
    <t>半高 8G</t>
    <phoneticPr fontId="6" type="noConversion"/>
  </si>
  <si>
    <t>Low Profile</t>
    <phoneticPr fontId="6" type="noConversion"/>
  </si>
  <si>
    <t>雪鹰 8G</t>
    <phoneticPr fontId="6" type="noConversion"/>
  </si>
  <si>
    <t>雪鹰 16G</t>
    <phoneticPr fontId="6" type="noConversion"/>
  </si>
  <si>
    <t>RTX5060</t>
    <phoneticPr fontId="6" type="noConversion"/>
  </si>
  <si>
    <t>182mm半高卡设计丨25</t>
    <phoneticPr fontId="6" type="noConversion"/>
  </si>
  <si>
    <t>RTX5070Ti</t>
  </si>
  <si>
    <t>16G 风魔</t>
  </si>
  <si>
    <t>16G 猎鹰</t>
  </si>
  <si>
    <t>16G 冰猎鹰</t>
  </si>
  <si>
    <t>16G 魔鹰</t>
  </si>
  <si>
    <t>16G 雪鹰</t>
  </si>
  <si>
    <t>16G 超级雕</t>
  </si>
  <si>
    <t>可调式显卡支架丨30</t>
  </si>
  <si>
    <t>SFF小尺寸</t>
  </si>
  <si>
    <t>四重高效散热</t>
  </si>
  <si>
    <t>纯白雪装限定</t>
  </si>
  <si>
    <t>WFOC</t>
  </si>
  <si>
    <t>EAGLE</t>
  </si>
  <si>
    <t>EAGLE  ICE</t>
  </si>
  <si>
    <t>GAMING OC</t>
  </si>
  <si>
    <t>MASTER OC</t>
  </si>
  <si>
    <t>5090D WF3OC-32GD 风魔</t>
  </si>
  <si>
    <t>5090D GAMING OC-32GD 魔鹰</t>
  </si>
  <si>
    <t>RTX5090D</t>
  </si>
  <si>
    <t>32G 风魔</t>
  </si>
  <si>
    <t>三年质保/个人送保</t>
  </si>
  <si>
    <t>双BIOS模式</t>
  </si>
  <si>
    <t>32G 魔鹰</t>
  </si>
  <si>
    <t>32G 超级雕</t>
  </si>
  <si>
    <t>LCD自定义屏幕丨30</t>
  </si>
  <si>
    <t>32G 超级雕白</t>
  </si>
  <si>
    <t>RTX5080</t>
    <phoneticPr fontId="6" type="noConversion"/>
  </si>
  <si>
    <t>WFOC</t>
    <phoneticPr fontId="6" type="noConversion"/>
  </si>
  <si>
    <t>SFF小尺寸</t>
    <phoneticPr fontId="6" type="noConversion"/>
  </si>
  <si>
    <t>四重高效散热</t>
    <phoneticPr fontId="6" type="noConversion"/>
  </si>
  <si>
    <t xml:space="preserve">RTX5080 </t>
    <phoneticPr fontId="6" type="noConversion"/>
  </si>
  <si>
    <t>GAMING OC</t>
    <phoneticPr fontId="6" type="noConversion"/>
  </si>
  <si>
    <t>RGB幻彩光轮</t>
    <phoneticPr fontId="6" type="noConversion"/>
  </si>
  <si>
    <t>AERO OC</t>
    <phoneticPr fontId="6" type="noConversion"/>
  </si>
  <si>
    <t>MASTER OC</t>
    <phoneticPr fontId="6" type="noConversion"/>
  </si>
  <si>
    <t>五重高效散热</t>
    <phoneticPr fontId="6" type="noConversion"/>
  </si>
  <si>
    <t>16G 超级雕白</t>
    <phoneticPr fontId="6" type="noConversion"/>
  </si>
  <si>
    <t>MASTER ICE</t>
    <phoneticPr fontId="6" type="noConversion"/>
  </si>
  <si>
    <t>16G 一体水雕</t>
    <phoneticPr fontId="6" type="noConversion"/>
  </si>
  <si>
    <t>AORUSX W</t>
    <phoneticPr fontId="6" type="noConversion"/>
  </si>
  <si>
    <t>水之力散热系统丨32</t>
    <phoneticPr fontId="6" type="noConversion"/>
  </si>
  <si>
    <t>RTX5070</t>
    <phoneticPr fontId="6" type="noConversion"/>
  </si>
  <si>
    <t>5070 WF3-12GD风魔</t>
  </si>
  <si>
    <t>12G 风魔</t>
    <phoneticPr fontId="6" type="noConversion"/>
  </si>
  <si>
    <t>12G 猎鹰</t>
  </si>
  <si>
    <t>12G 冰猎鹰</t>
  </si>
  <si>
    <t>12G 魔鹰</t>
  </si>
  <si>
    <t>12G 雪鹰</t>
  </si>
  <si>
    <t>12G 超级雕</t>
  </si>
  <si>
    <t>GV-N5070WF3-12GD</t>
  </si>
  <si>
    <t>GV-N5070WF3OC-12GD</t>
  </si>
  <si>
    <t>GV-N5070EAGLE OC-12GD</t>
  </si>
  <si>
    <t>GV-N5070EAGLEOC ICE-12GD</t>
  </si>
  <si>
    <t>GV-N5070GAMING OC-12GD</t>
  </si>
  <si>
    <t>GV-N5070AERO OC-12GD</t>
  </si>
  <si>
    <t>GV-N5070AORUS M-12GD</t>
  </si>
  <si>
    <t>5070Ti WF3-16GD风魔</t>
    <phoneticPr fontId="6" type="noConversion"/>
  </si>
  <si>
    <t>WF</t>
    <phoneticPr fontId="6" type="noConversion"/>
  </si>
  <si>
    <t>GV-N507TWF3-16GD</t>
  </si>
  <si>
    <t>GV-N507TWF3-16GD</t>
    <phoneticPr fontId="6" type="noConversion"/>
  </si>
  <si>
    <t>GV-N507TWF3OC-16GD</t>
  </si>
  <si>
    <t>GV-N507TWF3OC-16GD</t>
    <phoneticPr fontId="6" type="noConversion"/>
  </si>
  <si>
    <t>GV-N507TEAGLE OC-16GD</t>
  </si>
  <si>
    <t>GV-N507TEAGLE OC-16GD</t>
    <phoneticPr fontId="6" type="noConversion"/>
  </si>
  <si>
    <t>GV-N507TEAGLE OC ICE-16GD</t>
  </si>
  <si>
    <t>GV-N507TEAGLE OC ICE-16GD</t>
    <phoneticPr fontId="6" type="noConversion"/>
  </si>
  <si>
    <t>GV-N507TGAMING OC-16GD</t>
  </si>
  <si>
    <t>GV-N507TGAMING OC-16GD</t>
    <phoneticPr fontId="6" type="noConversion"/>
  </si>
  <si>
    <t>GV-N507TAERO OC-16GD</t>
  </si>
  <si>
    <t>GV-N507TAERO OC-16GD</t>
    <phoneticPr fontId="6" type="noConversion"/>
  </si>
  <si>
    <t>GV-N507TAORUS M-16GD</t>
  </si>
  <si>
    <t>GV-N507TAORUS M-16GD</t>
    <phoneticPr fontId="6" type="noConversion"/>
  </si>
  <si>
    <t>GV-N5080WF3OC-16GD</t>
  </si>
  <si>
    <t>GV-N5080WF3OC-16GD</t>
    <phoneticPr fontId="6" type="noConversion"/>
  </si>
  <si>
    <t>GV-N5080GAMING OC-16GD</t>
  </si>
  <si>
    <t>GV-N5080GAMING OC-16GD</t>
    <phoneticPr fontId="6" type="noConversion"/>
  </si>
  <si>
    <t>GV-N5080AERO OC-16GD</t>
  </si>
  <si>
    <t>GV-N5080AERO OC-16GD</t>
    <phoneticPr fontId="6" type="noConversion"/>
  </si>
  <si>
    <t>GV-N5080AORUS M-16GD</t>
  </si>
  <si>
    <t>GV-N5080AORUS M-16GD</t>
    <phoneticPr fontId="6" type="noConversion"/>
  </si>
  <si>
    <t>GV-N5080AORUSM ICE-16GD</t>
  </si>
  <si>
    <t>GV-N5080AORUSM ICE-16GD</t>
    <phoneticPr fontId="6" type="noConversion"/>
  </si>
  <si>
    <t>GV-N5080AORUSX W-16GD</t>
  </si>
  <si>
    <t>GV-N5080AORUSX W-16GD</t>
    <phoneticPr fontId="6" type="noConversion"/>
  </si>
  <si>
    <t>GV-N509DWF3OC-32GD</t>
  </si>
  <si>
    <t>GV-N509DWF3OC-32GD</t>
    <phoneticPr fontId="6" type="noConversion"/>
  </si>
  <si>
    <t>GV-N509DGAMING OC-32GD</t>
  </si>
  <si>
    <t>GV-N509DGAMING OC-32GD</t>
    <phoneticPr fontId="6" type="noConversion"/>
  </si>
  <si>
    <t>GV-N509DAORUS M-32GD</t>
  </si>
  <si>
    <t>GV-N509DAORUS M-32GD</t>
    <phoneticPr fontId="6" type="noConversion"/>
  </si>
  <si>
    <t>GV-N509DAORUSM ICE-32GD</t>
  </si>
  <si>
    <t>GV-N509DAORUSM ICE-32GD</t>
    <phoneticPr fontId="6" type="noConversion"/>
  </si>
  <si>
    <t>RTX5070Ti 16G</t>
  </si>
  <si>
    <t>1406 AI TOPS</t>
  </si>
  <si>
    <t>16GB / GDDR7</t>
  </si>
  <si>
    <t>28 Gbps /256bit</t>
  </si>
  <si>
    <t>16 pin*1 /750W</t>
  </si>
  <si>
    <t>304*126*50 mm</t>
  </si>
  <si>
    <t>DP2.1bx3+HDM2.1bx1</t>
  </si>
  <si>
    <t>WF3 风魔</t>
    <phoneticPr fontId="6" type="noConversion"/>
  </si>
  <si>
    <t>2452  MHz </t>
    <phoneticPr fontId="6" type="noConversion"/>
  </si>
  <si>
    <t>317*136*64 mm</t>
    <phoneticPr fontId="6" type="noConversion"/>
  </si>
  <si>
    <t>GV-R9070XTAORUS E</t>
  </si>
  <si>
    <t>GV-R9070XTAORUS E</t>
    <phoneticPr fontId="6" type="noConversion"/>
  </si>
  <si>
    <t>GV-R9070XTGAMING OC</t>
  </si>
  <si>
    <t>GV-R9070XTGAMING OC</t>
    <phoneticPr fontId="6" type="noConversion"/>
  </si>
  <si>
    <t>GV-R9070GAMING OC</t>
  </si>
  <si>
    <t>GV-R9070GAMING OC</t>
    <phoneticPr fontId="6" type="noConversion"/>
  </si>
  <si>
    <t>GV-R907GREGAMING OC-12GD</t>
  </si>
  <si>
    <t>GV-R907GREGAMING OC-12GD</t>
    <phoneticPr fontId="6" type="noConversion"/>
  </si>
  <si>
    <t>GV-R765GREGAMING OC-8GD</t>
  </si>
  <si>
    <t>GV-R765GREGAMING OC-8GD</t>
    <phoneticPr fontId="6" type="noConversion"/>
  </si>
  <si>
    <t>RX 9070GRE GAMING OC-12GD魔鹰</t>
  </si>
  <si>
    <t>RX 9070 GAMING OC-16G魔鹰</t>
  </si>
  <si>
    <t>RX 9070XT GAMING OC-16G魔鹰</t>
  </si>
  <si>
    <t>RX 9070XT AORUS E-16G小雕</t>
  </si>
  <si>
    <t>RX 7650 GRE GAMING OC-8G魔鹰</t>
  </si>
  <si>
    <t>RX7650 GRE</t>
    <phoneticPr fontId="6" type="noConversion"/>
  </si>
  <si>
    <t>RX9070GRE</t>
    <phoneticPr fontId="6" type="noConversion"/>
  </si>
  <si>
    <t>RX9070</t>
    <phoneticPr fontId="6" type="noConversion"/>
  </si>
  <si>
    <t>RX9070XT</t>
    <phoneticPr fontId="6" type="noConversion"/>
  </si>
  <si>
    <t>8G 魔鹰</t>
    <phoneticPr fontId="6" type="noConversion"/>
  </si>
  <si>
    <t>16G 魔鹰</t>
    <phoneticPr fontId="6" type="noConversion"/>
  </si>
  <si>
    <t>16G 小雕</t>
    <phoneticPr fontId="6" type="noConversion"/>
  </si>
  <si>
    <t>服务器级导热凝胶</t>
  </si>
  <si>
    <t>正逆转仿生风扇</t>
  </si>
  <si>
    <t>注册4年保/个人送报丨25</t>
  </si>
  <si>
    <t>刀刃式三风扇</t>
  </si>
  <si>
    <t>WF3OC</t>
    <phoneticPr fontId="6" type="noConversion"/>
  </si>
  <si>
    <t>LCD 自定义屏幕丨30</t>
  </si>
  <si>
    <t>5060Ti WF2OC-8GD风魔</t>
    <phoneticPr fontId="6" type="noConversion"/>
  </si>
  <si>
    <t>5060Ti WF2OC-16GD风魔</t>
    <phoneticPr fontId="6" type="noConversion"/>
  </si>
  <si>
    <t>2695  MHz</t>
    <phoneticPr fontId="6" type="noConversion"/>
  </si>
  <si>
    <t>AI算力614 TOPS</t>
    <phoneticPr fontId="6" type="noConversion"/>
  </si>
  <si>
    <t>AI算力759 TOPS</t>
  </si>
  <si>
    <t>AI算力1406 TOPS</t>
  </si>
  <si>
    <t>AI算力1801 TOPS</t>
  </si>
  <si>
    <t>AI算力2375 TOPS</t>
  </si>
  <si>
    <t>AI算力988 TOPS</t>
    <phoneticPr fontId="6" type="noConversion"/>
  </si>
  <si>
    <t>32</t>
    <phoneticPr fontId="6" type="noConversion"/>
  </si>
  <si>
    <t>2048</t>
    <phoneticPr fontId="6" type="noConversion"/>
  </si>
  <si>
    <t>48</t>
    <phoneticPr fontId="6" type="noConversion"/>
  </si>
  <si>
    <t>3072</t>
    <phoneticPr fontId="6" type="noConversion"/>
  </si>
  <si>
    <t>3584</t>
    <phoneticPr fontId="6" type="noConversion"/>
  </si>
  <si>
    <t>4096</t>
    <phoneticPr fontId="6" type="noConversion"/>
  </si>
  <si>
    <t>56</t>
    <phoneticPr fontId="6" type="noConversion"/>
  </si>
  <si>
    <t>64</t>
    <phoneticPr fontId="6" type="noConversion"/>
  </si>
  <si>
    <t>5060 OC-8GL半高卡</t>
  </si>
  <si>
    <t>5060 WF2-8GD风魔</t>
  </si>
  <si>
    <t>5060 EAGLE OC-8GD猎鹰</t>
  </si>
  <si>
    <t>5060 EAGLEOC ICE-8GD冰猎鹰</t>
  </si>
  <si>
    <t>5060 GAMING OC-8GD魔鹰</t>
  </si>
  <si>
    <t>5060 AERO OC-8GD雪鹰</t>
  </si>
  <si>
    <t>5060 AORUS E-8GD小雕</t>
  </si>
  <si>
    <t>5060 WF2OC-8GD风魔</t>
  </si>
  <si>
    <t>无</t>
  </si>
  <si>
    <t>P550SS 黑色(ATX3.1/银牌)</t>
  </si>
  <si>
    <t>小雕 8G</t>
    <phoneticPr fontId="6" type="noConversion"/>
  </si>
  <si>
    <t>24期</t>
    <phoneticPr fontId="6" type="noConversion"/>
  </si>
  <si>
    <t>GV-R9060XTGAMING-8GD</t>
  </si>
  <si>
    <t>GV-R9060XTGAMING-8GD</t>
    <phoneticPr fontId="6" type="noConversion"/>
  </si>
  <si>
    <t>GV-R9060XTGAMING-16GD</t>
  </si>
  <si>
    <t>GV-R9060XTGAMING-16GD</t>
    <phoneticPr fontId="6" type="noConversion"/>
  </si>
  <si>
    <t>RX9060XT</t>
    <phoneticPr fontId="6" type="noConversion"/>
  </si>
  <si>
    <t>RX9060 XT 16G</t>
    <phoneticPr fontId="6" type="noConversion"/>
  </si>
  <si>
    <t>RX9060 XT 8G</t>
    <phoneticPr fontId="6" type="noConversion"/>
  </si>
  <si>
    <t>20 Gbps /128bit</t>
    <phoneticPr fontId="6" type="noConversion"/>
  </si>
  <si>
    <t>281*118*40 mm</t>
    <phoneticPr fontId="6" type="noConversion"/>
  </si>
  <si>
    <t>8 pin*l /450W</t>
    <phoneticPr fontId="6" type="noConversion"/>
  </si>
  <si>
    <t>TBD</t>
    <phoneticPr fontId="6" type="noConversion"/>
  </si>
  <si>
    <t>DP2.1a*2+HDMI2.1b*1</t>
    <phoneticPr fontId="6" type="noConversion"/>
  </si>
  <si>
    <t>RX 9060XT GAMING OC-8GD魔鹰</t>
  </si>
  <si>
    <t>RX 9060XT GAMING OC-16GD魔鹰</t>
  </si>
  <si>
    <t>RGB滑动侧板丨30</t>
    <phoneticPr fontId="6" type="noConversion"/>
  </si>
  <si>
    <t>12期</t>
    <phoneticPr fontId="6" type="noConversion"/>
  </si>
  <si>
    <t>GV-N5050GAMING OC-8GD</t>
    <phoneticPr fontId="6" type="noConversion"/>
  </si>
  <si>
    <t>GV-N5050OC-8GL</t>
    <phoneticPr fontId="6" type="noConversion"/>
  </si>
  <si>
    <t>GV-N5050WF2OC-8GD</t>
    <phoneticPr fontId="6" type="noConversion"/>
  </si>
  <si>
    <t>RTX5050 8G</t>
    <phoneticPr fontId="6" type="noConversion"/>
  </si>
  <si>
    <t>DP2.1bx2+HDM2.1bx2</t>
    <phoneticPr fontId="6" type="noConversion"/>
  </si>
  <si>
    <t>280*117*40 mm</t>
    <phoneticPr fontId="6" type="noConversion"/>
  </si>
  <si>
    <t>8GB / GDDR6</t>
    <phoneticPr fontId="6" type="noConversion"/>
  </si>
  <si>
    <t>2632 MHz</t>
    <phoneticPr fontId="6" type="noConversion"/>
  </si>
  <si>
    <t>2560</t>
    <phoneticPr fontId="6" type="noConversion"/>
  </si>
  <si>
    <t>421 AI TOPS</t>
    <phoneticPr fontId="6" type="noConversion"/>
  </si>
  <si>
    <t>RTX5050</t>
    <phoneticPr fontId="6" type="noConversion"/>
  </si>
  <si>
    <t>WF OC</t>
    <phoneticPr fontId="6" type="noConversion"/>
  </si>
  <si>
    <t>AI算力421 TOPS</t>
    <phoneticPr fontId="6" type="noConversion"/>
  </si>
  <si>
    <t>石墨烯润滑油</t>
  </si>
  <si>
    <t>精巧半高卡设计丨25</t>
    <phoneticPr fontId="6" type="noConversion"/>
  </si>
  <si>
    <t>3D智能启停</t>
    <phoneticPr fontId="6" type="noConversion"/>
  </si>
  <si>
    <t>5050 OC-8GL半高卡</t>
  </si>
  <si>
    <t>5050 WF2OC-8GD风魔</t>
  </si>
  <si>
    <t>5050 GAMING OC-8GD魔鹰</t>
  </si>
  <si>
    <t>5050 OC-8GL半高卡2</t>
    <phoneticPr fontId="6" type="noConversion"/>
  </si>
  <si>
    <t>5050 WF2OC-8GD风魔2</t>
    <phoneticPr fontId="6" type="noConversion"/>
  </si>
  <si>
    <t>5050 GAMING OC-8GD魔鹰</t>
    <phoneticPr fontId="6" type="noConversion"/>
  </si>
  <si>
    <t>5050 GAMING OC-8GD魔鹰2</t>
    <phoneticPr fontId="6" type="noConversion"/>
  </si>
  <si>
    <t>4060 OC-8GL 半高刀卡</t>
  </si>
  <si>
    <t>4060 WF2OC-8GD 风魔</t>
  </si>
  <si>
    <t>4060 EAGLE OC-8GD 猎鹰</t>
  </si>
  <si>
    <t>4060 EAGLE OC ICE-8GD 冰猎鹰</t>
  </si>
  <si>
    <t>4060 GAMING OC-8GD 魔鹰</t>
  </si>
  <si>
    <t>4060 AERO OC-8GD 雪鹰</t>
  </si>
  <si>
    <t>4060Ti EAGLE OC-8GD 猎鹰OC</t>
  </si>
  <si>
    <t>4070S GAMING OC-12GD 魔鹰</t>
  </si>
  <si>
    <t>1030OC-2GI</t>
  </si>
  <si>
    <t>OC - 2GI</t>
    <phoneticPr fontId="6" type="noConversion"/>
  </si>
  <si>
    <t>耐久之选</t>
    <phoneticPr fontId="6" type="noConversion"/>
  </si>
  <si>
    <t>半高刀卡</t>
    <phoneticPr fontId="6" type="noConversion"/>
  </si>
  <si>
    <t>RTX4060</t>
    <phoneticPr fontId="6" type="noConversion"/>
  </si>
  <si>
    <t>GT1030 2GI</t>
    <phoneticPr fontId="6" type="noConversion"/>
  </si>
  <si>
    <t>OC - 8GL</t>
    <phoneticPr fontId="6" type="noConversion"/>
  </si>
  <si>
    <t>8G 风魔</t>
    <phoneticPr fontId="6" type="noConversion"/>
  </si>
  <si>
    <t>8G 雪鹰</t>
    <phoneticPr fontId="6" type="noConversion"/>
  </si>
  <si>
    <t>8G 冰猎鹰</t>
    <phoneticPr fontId="6" type="noConversion"/>
  </si>
  <si>
    <t>8G 猎鹰</t>
    <phoneticPr fontId="6" type="noConversion"/>
  </si>
  <si>
    <t>WF2OC</t>
    <phoneticPr fontId="6" type="noConversion"/>
  </si>
  <si>
    <t>EAGLE OC</t>
    <phoneticPr fontId="6" type="noConversion"/>
  </si>
  <si>
    <t>EAGLE ICE OC</t>
    <phoneticPr fontId="6" type="noConversion"/>
  </si>
  <si>
    <t>RTX4060Ti</t>
    <phoneticPr fontId="6" type="noConversion"/>
  </si>
  <si>
    <t>RTX4070 S</t>
    <phoneticPr fontId="6" type="noConversion"/>
  </si>
  <si>
    <t>12G魔鹰</t>
    <phoneticPr fontId="6" type="noConversion"/>
  </si>
  <si>
    <t>正逆转风扇</t>
    <phoneticPr fontId="6" type="noConversion"/>
  </si>
  <si>
    <t>白金雕 AE1000PM PG5 黑（ATX3.1）</t>
  </si>
  <si>
    <t>GV-N5060WF2MAX OC-8GD</t>
  </si>
  <si>
    <t>GV-N5060EAGLEMAX OC-8GD</t>
  </si>
  <si>
    <t>GV-N5060EAGLEMAX OC-8GD</t>
    <phoneticPr fontId="6" type="noConversion"/>
  </si>
  <si>
    <t>GV-N506TWF2MAX OC-8GD</t>
  </si>
  <si>
    <t>GV-N506TWF2MAX OC-8GD</t>
    <phoneticPr fontId="6" type="noConversion"/>
  </si>
  <si>
    <t>GV-N506TEAGLEMAX OC-8GD</t>
  </si>
  <si>
    <t>GV-N506TEAGLEMAX OC-8GD</t>
    <phoneticPr fontId="6" type="noConversion"/>
  </si>
  <si>
    <t>GV-N506TWF2MAX OC-16GD</t>
  </si>
  <si>
    <t>GV-N506TWF2MAX OC-16GD</t>
    <phoneticPr fontId="6" type="noConversion"/>
  </si>
  <si>
    <t>5060 WF2MAX OC-8GD风魔MAX</t>
  </si>
  <si>
    <t>5060 EAGLEMAX OC-8GD猎鹰MAX</t>
  </si>
  <si>
    <t>5060Ti EAGLEMAX OC-8GD猎鹰MAX</t>
  </si>
  <si>
    <t>5060Ti EAGLEMAX OC-16GD猎鹰MAX</t>
  </si>
  <si>
    <t>新上</t>
  </si>
  <si>
    <t>5060 AORUS E-8GD小雕</t>
    <phoneticPr fontId="6" type="noConversion"/>
  </si>
  <si>
    <t>正逆转三风扇</t>
    <phoneticPr fontId="6" type="noConversion"/>
  </si>
  <si>
    <t>GV-N506TEAGLEMAX OC-16GD</t>
  </si>
  <si>
    <t>GV-N506TWF2-8GD</t>
    <phoneticPr fontId="6" type="noConversion"/>
  </si>
  <si>
    <t>WF2 MAX OC</t>
    <phoneticPr fontId="6" type="noConversion"/>
  </si>
  <si>
    <t>EAGLE MAX</t>
    <phoneticPr fontId="6" type="noConversion"/>
  </si>
  <si>
    <t>16G大显存</t>
  </si>
  <si>
    <t>RTX5060Ti 8G</t>
  </si>
  <si>
    <t>759 AI TOPS</t>
  </si>
  <si>
    <t>4608</t>
  </si>
  <si>
    <t>8GB / GDDR7</t>
  </si>
  <si>
    <t>28 Gbps /128bit</t>
  </si>
  <si>
    <t>8 pin*1 /650W</t>
  </si>
  <si>
    <t>208*120*40 mm</t>
  </si>
  <si>
    <t>WF MAX OC风魔</t>
    <phoneticPr fontId="6" type="noConversion"/>
  </si>
  <si>
    <t>EAGLE MAX OC 猎鹰</t>
  </si>
  <si>
    <t>EAGLE MAX OC 猎鹰</t>
    <phoneticPr fontId="6" type="noConversion"/>
  </si>
  <si>
    <t>281*115*40 mm</t>
  </si>
  <si>
    <t>281*115*40 mm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</si>
</sst>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18" x14ac:knownFonts="1">
    <font>
      <sz val="11"/>
      <color theme="1"/>
      <name val="等线"/>
      <family val="2"/>
      <scheme val="minor"/>
    </font>
    <font>
      <sz val="11"/>
      <color rgb="FF9C0006"/>
      <name val="等线"/>
      <family val="2"/>
      <charset val="134"/>
      <scheme val="minor"/>
    </font>
    <font>
      <sz val="11"/>
      <color rgb="FF9C5700"/>
      <name val="等线"/>
      <family val="2"/>
      <charset val="134"/>
      <scheme val="minor"/>
    </font>
    <font>
      <b/>
      <sz val="11"/>
      <color rgb="FFFA7D00"/>
      <name val="等线"/>
      <family val="2"/>
      <charset val="134"/>
      <scheme val="minor"/>
    </font>
    <font>
      <b/>
      <sz val="11"/>
      <color theme="0"/>
      <name val="等线"/>
      <family val="2"/>
      <charset val="134"/>
      <scheme val="minor"/>
    </font>
    <font>
      <sz val="11"/>
      <color rgb="FF000000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8"/>
      <color theme="1"/>
      <name val="钉钉进步体"/>
      <family val="1"/>
      <charset val="134"/>
    </font>
    <font>
      <b/>
      <sz val="18"/>
      <color theme="0"/>
      <name val="等线"/>
      <family val="2"/>
      <charset val="134"/>
      <scheme val="minor"/>
    </font>
    <font>
      <sz val="9.5"/>
      <color theme="1"/>
      <name val="Arial"/>
      <family val="2"/>
    </font>
    <font>
      <sz val="9.5"/>
      <color theme="1"/>
      <name val="Arial"/>
      <family val="2"/>
      <charset val="134"/>
    </font>
    <font>
      <b/>
      <sz val="24"/>
      <color theme="0"/>
      <name val="等线"/>
      <family val="3"/>
      <charset val="134"/>
      <scheme val="minor"/>
    </font>
    <font>
      <b/>
      <sz val="22"/>
      <color theme="0"/>
      <name val="等线"/>
      <family val="3"/>
      <charset val="134"/>
      <scheme val="minor"/>
    </font>
    <font>
      <b/>
      <sz val="18"/>
      <color rgb="FFFA7D00"/>
      <name val="等线"/>
      <family val="3"/>
      <charset val="134"/>
      <scheme val="minor"/>
    </font>
    <font>
      <sz val="8"/>
      <color rgb="FF9C0006"/>
      <name val="等线"/>
      <family val="2"/>
      <charset val="134"/>
      <scheme val="minor"/>
    </font>
    <font>
      <sz val="8"/>
      <color rgb="FF9C0006"/>
      <name val="等线"/>
      <family val="3"/>
      <charset val="134"/>
      <scheme val="minor"/>
    </font>
    <font>
      <strike/>
      <sz val="11"/>
      <color theme="1"/>
      <name val="等线"/>
      <family val="2"/>
      <scheme val="minor"/>
    </font>
    <font>
      <strike/>
      <sz val="11"/>
      <color theme="1"/>
      <name val="等线"/>
      <family val="3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00"/>
        <bgColor indexed="64"/>
      </patternFill>
    </fill>
  </fills>
  <borders count="15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double">
        <color rgb="FF3F3F3F"/>
      </left>
      <right/>
      <top style="double">
        <color rgb="FF3F3F3F"/>
      </top>
      <bottom/>
      <diagonal/>
    </border>
    <border>
      <left/>
      <right/>
      <top style="double">
        <color rgb="FF3F3F3F"/>
      </top>
      <bottom/>
      <diagonal/>
    </border>
    <border>
      <left/>
      <right style="double">
        <color rgb="FF3F3F3F"/>
      </right>
      <top style="double">
        <color rgb="FF3F3F3F"/>
      </top>
      <bottom/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 style="double">
        <color rgb="FF3F3F3F"/>
      </left>
      <right/>
      <top/>
      <bottom style="double">
        <color rgb="FF3F3F3F"/>
      </bottom>
      <diagonal/>
    </border>
    <border>
      <left/>
      <right/>
      <top/>
      <bottom style="double">
        <color rgb="FF3F3F3F"/>
      </bottom>
      <diagonal/>
    </border>
    <border>
      <left/>
      <right style="double">
        <color rgb="FF3F3F3F"/>
      </right>
      <top/>
      <bottom style="double">
        <color rgb="FF3F3F3F"/>
      </bottom>
      <diagonal/>
    </border>
    <border>
      <left style="thin">
        <color rgb="FF7F7F7F"/>
      </left>
      <right/>
      <top/>
      <bottom style="thin">
        <color rgb="FF7F7F7F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 style="double">
        <color rgb="FF3F3F3F"/>
      </left>
      <right/>
      <top/>
      <bottom/>
      <diagonal/>
    </border>
    <border>
      <left/>
      <right style="thin">
        <color rgb="FF7F7F7F"/>
      </right>
      <top/>
      <bottom/>
      <diagonal/>
    </border>
  </borders>
  <cellStyleXfs count="5">
    <xf numFmtId="0" fontId="0" fillId="0" borderId="0"/>
    <xf numFmtId="0" fontId="1" fillId="2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3" fillId="4" borderId="1" applyNumberFormat="0" applyAlignment="0" applyProtection="0">
      <alignment vertical="center"/>
    </xf>
    <xf numFmtId="0" fontId="4" fillId="5" borderId="2" applyNumberFormat="0" applyAlignment="0" applyProtection="0">
      <alignment vertical="center"/>
    </xf>
  </cellStyleXfs>
  <cellXfs count="45">
    <xf numFmtId="0" fontId="0" fillId="0" borderId="0" xfId="0"/>
    <xf numFmtId="0" fontId="5" fillId="0" borderId="0" xfId="0" applyFont="1"/>
    <xf numFmtId="176" fontId="0" fillId="0" borderId="0" xfId="0" applyNumberFormat="1"/>
    <xf numFmtId="49" fontId="0" fillId="0" borderId="0" xfId="0" applyNumberFormat="1"/>
    <xf numFmtId="0" fontId="7" fillId="0" borderId="0" xfId="0" applyFont="1" applyAlignment="1">
      <alignment vertical="center"/>
    </xf>
    <xf numFmtId="49" fontId="7" fillId="0" borderId="0" xfId="0" applyNumberFormat="1" applyFont="1"/>
    <xf numFmtId="0" fontId="7" fillId="0" borderId="0" xfId="0" applyFont="1"/>
    <xf numFmtId="176" fontId="8" fillId="5" borderId="2" xfId="4" applyNumberFormat="1" applyFont="1" applyAlignment="1">
      <alignment horizontal="center" vertical="center"/>
    </xf>
    <xf numFmtId="0" fontId="1" fillId="2" borderId="2" xfId="1" applyBorder="1" applyAlignment="1">
      <alignment horizontal="center" vertical="center"/>
    </xf>
    <xf numFmtId="49" fontId="1" fillId="2" borderId="2" xfId="1" applyNumberFormat="1" applyBorder="1" applyAlignment="1">
      <alignment horizontal="center" vertical="center"/>
    </xf>
    <xf numFmtId="0" fontId="2" fillId="3" borderId="2" xfId="2" applyBorder="1" applyAlignment="1">
      <alignment horizontal="center" vertical="center"/>
    </xf>
    <xf numFmtId="0" fontId="0" fillId="0" borderId="0" xfId="0" quotePrefix="1"/>
    <xf numFmtId="0" fontId="9" fillId="0" borderId="0" xfId="4" applyNumberFormat="1" applyFont="1" applyFill="1" applyBorder="1" applyAlignment="1" applyProtection="1">
      <alignment horizontal="left"/>
      <protection locked="0"/>
    </xf>
    <xf numFmtId="0" fontId="10" fillId="0" borderId="0" xfId="4" applyNumberFormat="1" applyFont="1" applyFill="1" applyBorder="1" applyAlignment="1" applyProtection="1">
      <alignment horizontal="left"/>
      <protection locked="0"/>
    </xf>
    <xf numFmtId="0" fontId="0" fillId="0" borderId="0" xfId="0" applyAlignment="1">
      <alignment vertical="center"/>
    </xf>
    <xf numFmtId="176" fontId="0" fillId="0" borderId="0" xfId="0" applyNumberFormat="1" applyAlignment="1">
      <alignment vertical="center"/>
    </xf>
    <xf numFmtId="49" fontId="0" fillId="0" borderId="0" xfId="0" quotePrefix="1" applyNumberFormat="1"/>
    <xf numFmtId="0" fontId="0" fillId="0" borderId="0" xfId="0" applyAlignment="1">
      <alignment horizontal="center" vertical="center"/>
    </xf>
    <xf numFmtId="0" fontId="14" fillId="2" borderId="2" xfId="1" applyFont="1" applyBorder="1" applyAlignment="1">
      <alignment horizontal="center" vertical="center"/>
    </xf>
    <xf numFmtId="0" fontId="15" fillId="2" borderId="2" xfId="1" applyFont="1" applyBorder="1" applyAlignment="1">
      <alignment horizontal="center" vertical="center"/>
    </xf>
    <xf numFmtId="49" fontId="0" fillId="0" borderId="0" xfId="0" quotePrefix="1" applyNumberFormat="1" applyAlignment="1">
      <alignment horizontal="left"/>
    </xf>
    <xf numFmtId="176" fontId="8" fillId="5" borderId="2" xfId="4" applyNumberFormat="1" applyFont="1" applyAlignment="1">
      <alignment horizontal="left" vertical="center"/>
    </xf>
    <xf numFmtId="176" fontId="0" fillId="0" borderId="0" xfId="0" applyNumberFormat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16" fillId="0" borderId="0" xfId="0" applyFont="1"/>
    <xf numFmtId="0" fontId="17" fillId="0" borderId="0" xfId="0" applyFont="1"/>
    <xf numFmtId="0" fontId="11" fillId="5" borderId="3" xfId="4" applyFont="1" applyBorder="1" applyAlignment="1">
      <alignment horizontal="center" vertical="center"/>
    </xf>
    <xf numFmtId="0" fontId="11" fillId="5" borderId="4" xfId="4" applyFont="1" applyBorder="1" applyAlignment="1">
      <alignment horizontal="center" vertical="center"/>
    </xf>
    <xf numFmtId="0" fontId="11" fillId="5" borderId="5" xfId="4" applyFont="1" applyBorder="1" applyAlignment="1">
      <alignment horizontal="center" vertical="center"/>
    </xf>
    <xf numFmtId="0" fontId="11" fillId="5" borderId="8" xfId="4" applyFont="1" applyBorder="1" applyAlignment="1">
      <alignment horizontal="center" vertical="center"/>
    </xf>
    <xf numFmtId="0" fontId="11" fillId="5" borderId="9" xfId="4" applyFont="1" applyBorder="1" applyAlignment="1">
      <alignment horizontal="center" vertical="center"/>
    </xf>
    <xf numFmtId="0" fontId="11" fillId="5" borderId="10" xfId="4" applyFont="1" applyBorder="1" applyAlignment="1">
      <alignment horizontal="center" vertical="center"/>
    </xf>
    <xf numFmtId="0" fontId="13" fillId="4" borderId="6" xfId="3" applyFont="1" applyBorder="1" applyAlignment="1">
      <alignment horizontal="center" vertical="center"/>
    </xf>
    <xf numFmtId="0" fontId="13" fillId="4" borderId="7" xfId="3" applyFont="1" applyBorder="1" applyAlignment="1">
      <alignment horizontal="center" vertical="center"/>
    </xf>
    <xf numFmtId="0" fontId="13" fillId="4" borderId="11" xfId="3" applyFont="1" applyBorder="1" applyAlignment="1">
      <alignment horizontal="center" vertical="center"/>
    </xf>
    <xf numFmtId="0" fontId="13" fillId="4" borderId="12" xfId="3" applyFont="1" applyBorder="1" applyAlignment="1">
      <alignment horizontal="center" vertical="center"/>
    </xf>
    <xf numFmtId="0" fontId="12" fillId="5" borderId="3" xfId="4" applyFont="1" applyBorder="1" applyAlignment="1">
      <alignment horizontal="center" vertical="center"/>
    </xf>
    <xf numFmtId="0" fontId="12" fillId="5" borderId="8" xfId="4" applyFont="1" applyBorder="1" applyAlignment="1">
      <alignment horizontal="center" vertical="center"/>
    </xf>
    <xf numFmtId="0" fontId="12" fillId="5" borderId="13" xfId="4" applyFont="1" applyBorder="1" applyAlignment="1">
      <alignment horizontal="center" vertical="center"/>
    </xf>
    <xf numFmtId="0" fontId="12" fillId="5" borderId="0" xfId="4" applyFont="1" applyBorder="1" applyAlignment="1">
      <alignment horizontal="center" vertical="center"/>
    </xf>
    <xf numFmtId="0" fontId="12" fillId="5" borderId="14" xfId="4" applyFont="1" applyBorder="1" applyAlignment="1">
      <alignment horizontal="center" vertical="center"/>
    </xf>
    <xf numFmtId="176" fontId="0" fillId="6" borderId="0" xfId="0" applyNumberFormat="1" applyFill="1" applyAlignment="1">
      <alignment horizontal="left" vertical="center"/>
    </xf>
    <xf numFmtId="0" fontId="0" fillId="6" borderId="0" xfId="0" applyFill="1"/>
    <xf numFmtId="0" fontId="0" fillId="0" borderId="0" xfId="0" applyFill="1"/>
    <xf numFmtId="0" fontId="0" fillId="0" borderId="0" xfId="0" applyNumberFormat="1"/>
  </cellXfs>
  <cellStyles count="5">
    <cellStyle name="差" xfId="1" builtinId="27"/>
    <cellStyle name="常规" xfId="0" builtinId="0"/>
    <cellStyle name="计算" xfId="3" builtinId="22"/>
    <cellStyle name="检查单元格" xfId="4" builtinId="23"/>
    <cellStyle name="适中" xfId="2" builtinId="28"/>
  </cellStyles>
  <dxfs count="1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 patternType="none">
          <bgColor auto="1"/>
        </patternFill>
      </fill>
    </dxf>
    <dxf>
      <numFmt numFmtId="176" formatCode="0_);[Red]\(0\)"/>
      <alignment horizontal="left" vertical="center" textRotation="0" wrapText="0" indent="0" justifyLastLine="0" shrinkToFit="0" readingOrder="0"/>
    </dxf>
    <dxf>
      <numFmt numFmtId="176" formatCode="0_);[Red]\(0\)"/>
    </dxf>
    <dxf>
      <alignment horizontal="center" vertical="center" textRotation="0" wrapText="0" indent="0" justifyLastLine="0" shrinkToFit="0" readingOrder="0"/>
      <border diagonalUp="0" diagonalDown="0" outline="0">
        <left style="double">
          <color rgb="FF3F3F3F"/>
        </left>
        <right style="double">
          <color rgb="FF3F3F3F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145790</xdr:colOff>
      <xdr:row>6</xdr:row>
      <xdr:rowOff>116633</xdr:rowOff>
    </xdr:from>
    <xdr:to>
      <xdr:col>1</xdr:col>
      <xdr:colOff>2322933</xdr:colOff>
      <xdr:row>8</xdr:row>
      <xdr:rowOff>9720</xdr:rowOff>
    </xdr:to>
    <xdr:sp macro="[0]!启动" textlink="">
      <xdr:nvSpPr>
        <xdr:cNvPr id="2" name="矩形: 圆角 1">
          <a:extLst>
            <a:ext uri="{FF2B5EF4-FFF2-40B4-BE49-F238E27FC236}">
              <a16:creationId xmlns:a16="http://schemas.microsoft.com/office/drawing/2014/main" id="{E85472E4-C9C7-6721-AFD1-6444222D1275}"/>
            </a:ext>
          </a:extLst>
        </xdr:cNvPr>
        <xdr:cNvSpPr/>
      </xdr:nvSpPr>
      <xdr:spPr>
        <a:xfrm>
          <a:off x="981657" y="1224643"/>
          <a:ext cx="2177143" cy="47625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2400">
              <a:latin typeface="钉钉进步体" panose="00020600040101010101" pitchFamily="18" charset="-122"/>
              <a:ea typeface="钉钉进步体" panose="00020600040101010101" pitchFamily="18" charset="-122"/>
            </a:rPr>
            <a:t>参数生成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155510</xdr:colOff>
      <xdr:row>5</xdr:row>
      <xdr:rowOff>184669</xdr:rowOff>
    </xdr:from>
    <xdr:to>
      <xdr:col>2</xdr:col>
      <xdr:colOff>622040</xdr:colOff>
      <xdr:row>7</xdr:row>
      <xdr:rowOff>223547</xdr:rowOff>
    </xdr:to>
    <xdr:sp macro="[0]!启动" textlink="">
      <xdr:nvSpPr>
        <xdr:cNvPr id="2" name="矩形: 圆角 1">
          <a:extLst>
            <a:ext uri="{FF2B5EF4-FFF2-40B4-BE49-F238E27FC236}">
              <a16:creationId xmlns:a16="http://schemas.microsoft.com/office/drawing/2014/main" id="{A7621845-4721-4ED8-A529-9C9C4D712F24}"/>
            </a:ext>
          </a:extLst>
        </xdr:cNvPr>
        <xdr:cNvSpPr/>
      </xdr:nvSpPr>
      <xdr:spPr>
        <a:xfrm>
          <a:off x="991377" y="1108011"/>
          <a:ext cx="2177143" cy="47625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2400">
              <a:latin typeface="钉钉进步体" panose="00020600040101010101" pitchFamily="18" charset="-122"/>
              <a:ea typeface="钉钉进步体" panose="00020600040101010101" pitchFamily="18" charset="-122"/>
            </a:rPr>
            <a:t>启动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FC2259-6855-489D-A411-453DEC896DC8}" name="表1_11" displayName="表1_11" ref="B10:Q151" totalsRowShown="0" headerRowDxfId="16" headerRowCellStyle="适中">
  <autoFilter ref="B10:Q151" xr:uid="{1FDB1D43-CD3D-43EF-A30F-D103DC711DB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" xr3:uid="{177D4597-CA5F-416E-BEBA-5567524939CF}" name="导出文件名" dataDxfId="15"/>
    <tableColumn id="11" xr3:uid="{61AA6CD2-CD93-4E9D-B01A-3FDD8DAA6C77}" name="列1"/>
    <tableColumn id="5" xr3:uid="{DD78E618-0C68-40C6-8679-FA0E647B52F5}" name="备注2"/>
    <tableColumn id="2" xr3:uid="{C49A3A5F-1BC3-4B6E-8271-10A32F1C50C4}" name="文本丨标题丨标题1"/>
    <tableColumn id="8" xr3:uid="{25FBD6DF-0F1C-434E-8502-267A33B62B57}" name="文本丨标题丨标题2"/>
    <tableColumn id="3" xr3:uid="{16B97F4D-C9D4-4A3D-A7AC-6203BEDC28F4}" name="文本丨规格丨规格1"/>
    <tableColumn id="13" xr3:uid="{C25BDCBD-2F2E-49AB-9358-F1B208FE2525}" name="文本丨规格丨规格2"/>
    <tableColumn id="7" xr3:uid="{CB909A8F-7F90-4E80-8C23-553F429E9E8B}" name="文本丨规格丨规格3"/>
    <tableColumn id="6" xr3:uid="{9C0DB6F2-BE08-4562-ABF6-4D8D704DD619}" name="文本丨规格丨规格4"/>
    <tableColumn id="4" xr3:uid="{2643B8D8-1F69-442C-BDAD-7463DA6CB72F}" name="文本丨规格丨规格5"/>
    <tableColumn id="9" xr3:uid="{62A4635A-71AD-4970-A31B-D3C50730FAF7}" name="文本丨规格丨规格6"/>
    <tableColumn id="12" xr3:uid="{340D203B-A79C-4246-A3B7-7A2B569B5A89}" name="文本丨规格丨规格7"/>
    <tableColumn id="14" xr3:uid="{BDFF3097-FF60-409B-B3F9-801CCA046568}" name="文本丨规格丨规格8"/>
    <tableColumn id="10" xr3:uid="{69A5FAAC-E5D1-4BD1-AB84-B88A4A9E9063}" name="可显性丨显卡丨1"/>
    <tableColumn id="15" xr3:uid="{9EB1F211-4B07-472F-844E-9D278BA0C49F}" name="可显性丨LOGO丨1"/>
    <tableColumn id="16" xr3:uid="{E28FA141-C310-4FFB-BFB4-EF3D59F40AC1}" name="可显性丨LOGO丨2"/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10B3B2B-3630-4F9C-80A1-2E6EC8D888C3}" name="表1_53" displayName="表1_53" ref="B10:Q107" totalsRowShown="0">
  <autoFilter ref="B10:Q107" xr:uid="{D9FBC9CF-DD71-4D47-94C8-26F120FEC075}"/>
  <tableColumns count="16">
    <tableColumn id="1" xr3:uid="{33A2108F-08B4-4410-AAC7-60E4FAE2F9AD}" name="导出文件名" dataDxfId="14"/>
    <tableColumn id="11" xr3:uid="{8C4838D7-9093-4773-823C-778961433A17}" name="配件1" dataDxfId="13"/>
    <tableColumn id="5" xr3:uid="{C95E400D-A7E7-4CEA-94E3-28420A4CB065}" name="配件2"/>
    <tableColumn id="12" xr3:uid="{969F0C7D-D0DD-4673-A979-0617FA14DFA0}" name="免息"/>
    <tableColumn id="2" xr3:uid="{5D392B26-C166-40AE-8B32-9F40E160302A}" name="文本丨标题丨标题1" dataDxfId="12">
      <calculatedColumnFormula>IF(表1_53[[#This Row],[配件1]]&lt;&gt;"",_xlfn.XLOOKUP(表1_53[[#This Row],[配件1]],显卡利益点对照表[型号],显卡利益点对照表[标题1],"ERROR"),"")</calculatedColumnFormula>
    </tableColumn>
    <tableColumn id="7" xr3:uid="{ABF60CA5-FB66-498C-8DCE-9526058D3276}" name="文本丨标题丨标题2" dataDxfId="11">
      <calculatedColumnFormula>IF(表1_53[[#This Row],[配件1]]&lt;&gt;"",_xlfn.XLOOKUP(表1_53[[#This Row],[配件1]],显卡利益点对照表[型号],显卡利益点对照表[标题2],"ERROR"),"")</calculatedColumnFormula>
    </tableColumn>
    <tableColumn id="6" xr3:uid="{8A59CB79-7EAE-480F-85E4-CA1BEC396857}" name="文本丨标题丨标题3" dataDxfId="10">
      <calculatedColumnFormula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calculatedColumnFormula>
    </tableColumn>
    <tableColumn id="4" xr3:uid="{C14E0918-BDF0-4628-85A1-23CF2ACA4661}" name="文本丨利益点丨利益点1" dataDxfId="9">
      <calculatedColumnFormula>IF(表1_53[[#This Row],[配件1]]&lt;&gt;"",_xlfn.XLOOKUP(表1_53[[#This Row],[配件1]],显卡利益点对照表[型号],显卡利益点对照表[利益点1],"ERROR"),"")</calculatedColumnFormula>
    </tableColumn>
    <tableColumn id="9" xr3:uid="{720C55BC-A069-4B06-93B7-71D726B652CC}" name="文本丨利益点丨利益点2" dataDxfId="8">
      <calculatedColumnFormula>IF(表1_53[[#This Row],[配件1]]&lt;&gt;"",_xlfn.XLOOKUP(表1_53[[#This Row],[配件1]],显卡利益点对照表[型号],显卡利益点对照表[利益点2],"ERROR"),"")</calculatedColumnFormula>
    </tableColumn>
    <tableColumn id="3" xr3:uid="{AB0EC0B0-F44E-411B-9A02-533712EB6644}" name="文本丨利益点丨利益点3" dataDxfId="7">
      <calculatedColumnFormula>IF(表1_53[[#This Row],[配件1]]&lt;&gt;"",_xlfn.XLOOKUP(表1_53[[#This Row],[配件1]],显卡利益点对照表[型号],显卡利益点对照表[利益点3],"ERROR"),"")</calculatedColumnFormula>
    </tableColumn>
    <tableColumn id="10" xr3:uid="{CEA546ED-A7DD-4AE4-9248-BEAC0B8642E9}" name="文本丨算力丨算力值" dataDxfId="6">
      <calculatedColumnFormula>IF(表1_53[[#This Row],[配件1]]&lt;&gt;"",_xlfn.XLOOKUP(表1_53[[#This Row],[配件1]],显卡利益点对照表[型号],显卡利益点对照表[算力],"ERROR"),"")</calculatedColumnFormula>
    </tableColumn>
    <tableColumn id="14" xr3:uid="{9CBD60DF-7D31-4A9F-AD84-2A1191EBD7EF}" name="可显性丨显卡丨" dataDxfId="5">
      <calculatedColumnFormula>IF(表1_53[[#This Row],[配件1]]&lt;&gt;"",_xlfn.XLOOKUP(表1_53[[#This Row],[配件1]],显卡利益点对照表[型号],显卡利益点对照表[可显性],"ERROR"),"")</calculatedColumnFormula>
    </tableColumn>
    <tableColumn id="19" xr3:uid="{98E86E69-93D2-4AA4-B0A8-64AC5167D7A3}" name="可显性丨电源丨" dataDxfId="4">
      <calculatedColumnFormula>IF(表1_53[[#This Row],[配件1]]&lt;&gt;"",IF(AND(表1_53[[#This Row],[配件2]]&lt;&gt;"",表1_53[[#This Row],[配件2]]&lt;&gt;"无"),_xlfn.XLOOKUP(表1_53[[#This Row],[配件2]],电源利益点对照表[型号],电源利益点对照表[可显性],"ERROR"),""),"")</calculatedColumnFormula>
    </tableColumn>
    <tableColumn id="15" xr3:uid="{0B48E2DA-21BE-4406-82E1-975A44EDED38}" name="可显性丨LOGO丨" dataDxfId="3">
      <calculatedColumnFormula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calculatedColumnFormula>
    </tableColumn>
    <tableColumn id="13" xr3:uid="{CFC4DA47-25A5-49FA-B938-68820266B9D7}" name="可显性丨LOGO丨2"/>
    <tableColumn id="8" xr3:uid="{F721178D-6921-467E-95D1-67509BA00BBD}" name="可显性丨丨" dataDxfId="2">
      <calculatedColumnFormula array="1">_xlfn.IFS(表1_53[[#This Row],[配件1]]="","",表1_53[[#This Row],[文本丨算力丨算力值]]=0,"",表1_53[[#This Row],[文本丨算力丨算力值]]&lt;&gt;"","算力")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10E1DF4-EAF6-4756-9E60-8CDB1E3CD9CC}" name="显卡利益点对照表" displayName="显卡利益点对照表" ref="B8:L108" totalsRowShown="0">
  <autoFilter ref="B8:L108" xr:uid="{010E1DF4-EAF6-4756-9E60-8CDB1E3CD9CC}"/>
  <tableColumns count="11">
    <tableColumn id="1" xr3:uid="{31CF7C90-BF96-4848-AD47-052273685A64}" name="型号"/>
    <tableColumn id="2" xr3:uid="{710E02DD-CE33-4657-AADA-337E54D524DB}" name="技嘉型号"/>
    <tableColumn id="3" xr3:uid="{0E1E93DC-DF36-4CD1-85DD-1BDF2F6EB9F8}" name="标题1"/>
    <tableColumn id="4" xr3:uid="{D4E7C1B9-C4B4-41EC-B6D7-51EBA2D3CBBC}" name="标题2"/>
    <tableColumn id="5" xr3:uid="{FB03B696-52F1-443A-971B-85FFB059BD92}" name="标题3"/>
    <tableColumn id="6" xr3:uid="{88E3FAF6-6D88-4283-AFE8-DBD9DC0173DB}" name="利益点1"/>
    <tableColumn id="7" xr3:uid="{B69BF360-E061-4885-B159-DE9ABF5E1A5B}" name="利益点2"/>
    <tableColumn id="8" xr3:uid="{0C0C4502-E617-47B7-B3D1-E2A926EA6B84}" name="利益点3"/>
    <tableColumn id="9" xr3:uid="{892C943C-95AB-47FC-8759-39C56060B3C9}" name="可显性"/>
    <tableColumn id="10" xr3:uid="{6C56CDAC-E05E-4DAC-8BA5-E627A91D3940}" name="LOGO"/>
    <tableColumn id="11" xr3:uid="{ABBAE86B-BEBE-41EE-A868-CCF8D2A9C91C}" name="算力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A672B86-8535-48EF-AA47-1D91CC7B9536}" name="电源利益点对照表" displayName="电源利益点对照表" ref="B161:D174" totalsRowShown="0">
  <autoFilter ref="B161:D174" xr:uid="{BA672B86-8535-48EF-AA47-1D91CC7B9536}"/>
  <tableColumns count="3">
    <tableColumn id="1" xr3:uid="{976EB824-5E49-494C-8039-5B912F2AC1DD}" name="型号"/>
    <tableColumn id="2" xr3:uid="{38E8561A-4709-49F4-9212-CE0CBBE937E0}" name="标题1"/>
    <tableColumn id="3" xr3:uid="{9B94DCFF-299A-4354-8115-77655D336A8B}" name="可显性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5451BD-83F1-46B7-BCDB-200F48FD7565}">
  <sheetPr codeName="Sheet11">
    <tabColor rgb="FFFF0000"/>
  </sheetPr>
  <dimension ref="A1:T145"/>
  <sheetViews>
    <sheetView tabSelected="1" zoomScale="98" zoomScaleNormal="98" workbookViewId="0">
      <pane xSplit="1" ySplit="10" topLeftCell="B11" activePane="bottomRight" state="frozen"/>
      <selection pane="topRight" activeCell="B1" sqref="B1"/>
      <selection pane="bottomLeft" activeCell="A10" sqref="A10"/>
      <selection pane="bottomRight" activeCell="B22" sqref="B22"/>
    </sheetView>
  </sheetViews>
  <sheetFormatPr defaultRowHeight="14.25" outlineLevelCol="1" x14ac:dyDescent="0.2"/>
  <cols>
    <col min="1" max="1" width="11" bestFit="1" customWidth="1"/>
    <col min="2" max="2" width="36.5" style="2" customWidth="1"/>
    <col min="3" max="3" width="6.125" customWidth="1" outlineLevel="1"/>
    <col min="4" max="4" width="6.25" bestFit="1" customWidth="1" outlineLevel="1"/>
    <col min="5" max="5" width="17.625" customWidth="1"/>
    <col min="6" max="9" width="18.375" bestFit="1" customWidth="1"/>
    <col min="10" max="11" width="23.5" bestFit="1" customWidth="1"/>
    <col min="12" max="12" width="18.375" bestFit="1" customWidth="1"/>
    <col min="13" max="13" width="23.125" bestFit="1" customWidth="1"/>
    <col min="14" max="14" width="30.625" bestFit="1" customWidth="1"/>
    <col min="15" max="15" width="32.125" bestFit="1" customWidth="1"/>
    <col min="16" max="17" width="20.375" bestFit="1" customWidth="1"/>
    <col min="18" max="18" width="17.375" bestFit="1" customWidth="1"/>
  </cols>
  <sheetData>
    <row r="1" spans="1:17" x14ac:dyDescent="0.2">
      <c r="A1" s="1" t="s">
        <v>0</v>
      </c>
      <c r="B1" t="s">
        <v>289</v>
      </c>
    </row>
    <row r="2" spans="1:17" x14ac:dyDescent="0.2">
      <c r="A2" t="s">
        <v>1</v>
      </c>
      <c r="B2" s="2" t="s">
        <v>325</v>
      </c>
    </row>
    <row r="3" spans="1:17" x14ac:dyDescent="0.2">
      <c r="A3" t="s">
        <v>2</v>
      </c>
      <c r="B3" s="2" t="s">
        <v>325</v>
      </c>
    </row>
    <row r="4" spans="1:17" x14ac:dyDescent="0.2">
      <c r="A4" t="s">
        <v>3</v>
      </c>
      <c r="B4" s="2" t="s">
        <v>4</v>
      </c>
    </row>
    <row r="5" spans="1:17" x14ac:dyDescent="0.2">
      <c r="A5" t="s">
        <v>5</v>
      </c>
      <c r="B5" s="3" t="s">
        <v>173</v>
      </c>
    </row>
    <row r="7" spans="1:17" ht="23.25" x14ac:dyDescent="0.35">
      <c r="G7" s="4" t="s">
        <v>6</v>
      </c>
      <c r="H7" s="5" t="s">
        <v>7</v>
      </c>
      <c r="I7" s="4" t="s">
        <v>8</v>
      </c>
      <c r="J7" s="4" t="s">
        <v>9</v>
      </c>
      <c r="K7" s="4" t="s">
        <v>10</v>
      </c>
      <c r="L7" s="4" t="s">
        <v>11</v>
      </c>
      <c r="M7" s="4" t="s">
        <v>12</v>
      </c>
      <c r="N7" s="4" t="s">
        <v>13</v>
      </c>
    </row>
    <row r="8" spans="1:17" ht="23.25" x14ac:dyDescent="0.35">
      <c r="G8" s="6" t="s">
        <v>14</v>
      </c>
      <c r="H8" s="6" t="s">
        <v>15</v>
      </c>
      <c r="I8" s="6"/>
      <c r="J8" s="6"/>
      <c r="K8" s="6"/>
      <c r="L8" s="6"/>
      <c r="M8" s="6"/>
      <c r="N8" s="6"/>
    </row>
    <row r="9" spans="1:17" ht="15" thickBot="1" x14ac:dyDescent="0.25"/>
    <row r="10" spans="1:17" ht="61.5" customHeight="1" thickTop="1" thickBot="1" x14ac:dyDescent="0.25">
      <c r="B10" s="7" t="s">
        <v>16</v>
      </c>
      <c r="C10" t="s">
        <v>174</v>
      </c>
      <c r="D10" t="s">
        <v>17</v>
      </c>
      <c r="E10" s="8" t="s">
        <v>18</v>
      </c>
      <c r="F10" s="8" t="s">
        <v>19</v>
      </c>
      <c r="G10" s="8" t="s">
        <v>20</v>
      </c>
      <c r="H10" s="9" t="s">
        <v>21</v>
      </c>
      <c r="I10" s="8" t="s">
        <v>22</v>
      </c>
      <c r="J10" s="8" t="s">
        <v>23</v>
      </c>
      <c r="K10" s="8" t="s">
        <v>24</v>
      </c>
      <c r="L10" s="8" t="s">
        <v>25</v>
      </c>
      <c r="M10" s="8" t="s">
        <v>26</v>
      </c>
      <c r="N10" s="8" t="s">
        <v>27</v>
      </c>
      <c r="O10" s="10" t="s">
        <v>28</v>
      </c>
      <c r="P10" s="10" t="s">
        <v>29</v>
      </c>
      <c r="Q10" s="10" t="s">
        <v>30</v>
      </c>
    </row>
    <row r="11" spans="1:17" ht="15" thickTop="1" x14ac:dyDescent="0.2"/>
    <row r="12" spans="1:17" x14ac:dyDescent="0.2">
      <c r="B12" s="2" t="s">
        <v>510</v>
      </c>
      <c r="E12" t="s">
        <v>512</v>
      </c>
      <c r="F12" t="s">
        <v>300</v>
      </c>
      <c r="G12" t="s">
        <v>518</v>
      </c>
      <c r="H12" s="11" t="s">
        <v>517</v>
      </c>
      <c r="I12" t="s">
        <v>43</v>
      </c>
      <c r="J12" t="s">
        <v>515</v>
      </c>
      <c r="K12" t="s">
        <v>500</v>
      </c>
      <c r="L12" t="s">
        <v>305</v>
      </c>
      <c r="M12" t="s">
        <v>308</v>
      </c>
      <c r="N12" t="s">
        <v>327</v>
      </c>
      <c r="O12" s="2" t="s">
        <v>510</v>
      </c>
      <c r="P12" t="s">
        <v>315</v>
      </c>
    </row>
    <row r="13" spans="1:17" x14ac:dyDescent="0.2">
      <c r="B13" s="2" t="s">
        <v>511</v>
      </c>
      <c r="E13" t="s">
        <v>512</v>
      </c>
      <c r="F13" t="s">
        <v>302</v>
      </c>
      <c r="G13" t="s">
        <v>518</v>
      </c>
      <c r="H13" s="11" t="s">
        <v>517</v>
      </c>
      <c r="I13" t="s">
        <v>43</v>
      </c>
      <c r="J13" t="s">
        <v>515</v>
      </c>
      <c r="K13" t="s">
        <v>500</v>
      </c>
      <c r="L13" t="s">
        <v>305</v>
      </c>
      <c r="M13" t="s">
        <v>323</v>
      </c>
      <c r="N13" t="s">
        <v>513</v>
      </c>
      <c r="O13" s="2" t="s">
        <v>511</v>
      </c>
      <c r="P13" t="s">
        <v>315</v>
      </c>
    </row>
    <row r="14" spans="1:17" x14ac:dyDescent="0.2">
      <c r="B14" s="2" t="s">
        <v>509</v>
      </c>
      <c r="E14" t="s">
        <v>512</v>
      </c>
      <c r="F14" t="s">
        <v>73</v>
      </c>
      <c r="G14" t="s">
        <v>518</v>
      </c>
      <c r="H14" s="11" t="s">
        <v>517</v>
      </c>
      <c r="I14" t="s">
        <v>516</v>
      </c>
      <c r="J14" t="s">
        <v>515</v>
      </c>
      <c r="K14" t="s">
        <v>500</v>
      </c>
      <c r="L14" t="s">
        <v>305</v>
      </c>
      <c r="M14" t="s">
        <v>514</v>
      </c>
      <c r="N14" t="s">
        <v>513</v>
      </c>
      <c r="O14" s="2" t="s">
        <v>509</v>
      </c>
      <c r="P14" t="s">
        <v>315</v>
      </c>
    </row>
    <row r="16" spans="1:17" x14ac:dyDescent="0.2">
      <c r="B16" s="2" t="s">
        <v>298</v>
      </c>
      <c r="E16" t="s">
        <v>299</v>
      </c>
      <c r="F16" t="s">
        <v>300</v>
      </c>
      <c r="G16" t="s">
        <v>313</v>
      </c>
      <c r="H16" s="20" t="s">
        <v>326</v>
      </c>
      <c r="I16" t="s">
        <v>311</v>
      </c>
      <c r="J16" t="s">
        <v>36</v>
      </c>
      <c r="K16" t="s">
        <v>37</v>
      </c>
      <c r="L16" t="s">
        <v>305</v>
      </c>
      <c r="M16" t="s">
        <v>308</v>
      </c>
      <c r="N16" t="s">
        <v>327</v>
      </c>
      <c r="O16" s="2" t="s">
        <v>298</v>
      </c>
      <c r="P16" t="s">
        <v>315</v>
      </c>
    </row>
    <row r="17" spans="2:16" x14ac:dyDescent="0.2">
      <c r="B17" s="2" t="s">
        <v>296</v>
      </c>
      <c r="E17" t="s">
        <v>299</v>
      </c>
      <c r="F17" t="s">
        <v>301</v>
      </c>
      <c r="G17" t="s">
        <v>313</v>
      </c>
      <c r="H17" s="20" t="s">
        <v>326</v>
      </c>
      <c r="I17" t="s">
        <v>312</v>
      </c>
      <c r="J17" t="s">
        <v>36</v>
      </c>
      <c r="K17" t="s">
        <v>37</v>
      </c>
      <c r="L17" t="s">
        <v>305</v>
      </c>
      <c r="M17" t="s">
        <v>323</v>
      </c>
      <c r="N17" t="s">
        <v>40</v>
      </c>
      <c r="O17" s="2" t="s">
        <v>296</v>
      </c>
      <c r="P17" t="s">
        <v>314</v>
      </c>
    </row>
    <row r="18" spans="2:16" x14ac:dyDescent="0.2">
      <c r="B18" s="2" t="s">
        <v>297</v>
      </c>
      <c r="E18" t="s">
        <v>299</v>
      </c>
      <c r="F18" t="s">
        <v>302</v>
      </c>
      <c r="G18" t="s">
        <v>313</v>
      </c>
      <c r="H18" s="20" t="s">
        <v>326</v>
      </c>
      <c r="I18" t="s">
        <v>310</v>
      </c>
      <c r="J18" t="s">
        <v>36</v>
      </c>
      <c r="K18" t="s">
        <v>37</v>
      </c>
      <c r="L18" t="s">
        <v>305</v>
      </c>
      <c r="M18" t="s">
        <v>323</v>
      </c>
      <c r="N18" t="s">
        <v>40</v>
      </c>
      <c r="O18" s="2" t="s">
        <v>297</v>
      </c>
      <c r="P18" t="s">
        <v>315</v>
      </c>
    </row>
    <row r="19" spans="2:16" x14ac:dyDescent="0.2">
      <c r="B19" s="2" t="s">
        <v>559</v>
      </c>
      <c r="E19" t="s">
        <v>299</v>
      </c>
      <c r="F19" t="s">
        <v>587</v>
      </c>
      <c r="G19" t="s">
        <v>313</v>
      </c>
      <c r="H19" s="20" t="s">
        <v>326</v>
      </c>
      <c r="I19" t="s">
        <v>310</v>
      </c>
      <c r="J19" t="s">
        <v>36</v>
      </c>
      <c r="K19" t="s">
        <v>37</v>
      </c>
      <c r="L19" t="s">
        <v>305</v>
      </c>
      <c r="M19" t="s">
        <v>323</v>
      </c>
      <c r="N19" t="s">
        <v>40</v>
      </c>
      <c r="O19" s="2" t="s">
        <v>559</v>
      </c>
      <c r="P19" t="s">
        <v>315</v>
      </c>
    </row>
    <row r="20" spans="2:16" x14ac:dyDescent="0.2">
      <c r="B20" s="2" t="s">
        <v>295</v>
      </c>
      <c r="E20" t="s">
        <v>299</v>
      </c>
      <c r="F20" t="s">
        <v>303</v>
      </c>
      <c r="G20" t="s">
        <v>313</v>
      </c>
      <c r="H20" s="20" t="s">
        <v>326</v>
      </c>
      <c r="I20" t="s">
        <v>125</v>
      </c>
      <c r="J20" t="s">
        <v>36</v>
      </c>
      <c r="K20" t="s">
        <v>37</v>
      </c>
      <c r="L20" t="s">
        <v>305</v>
      </c>
      <c r="M20" t="s">
        <v>39</v>
      </c>
      <c r="N20" t="s">
        <v>40</v>
      </c>
      <c r="O20" s="2" t="s">
        <v>295</v>
      </c>
      <c r="P20" t="s">
        <v>315</v>
      </c>
    </row>
    <row r="21" spans="2:16" x14ac:dyDescent="0.2">
      <c r="B21" s="2" t="s">
        <v>560</v>
      </c>
      <c r="E21" t="s">
        <v>299</v>
      </c>
      <c r="F21" t="s">
        <v>588</v>
      </c>
      <c r="G21" t="s">
        <v>313</v>
      </c>
      <c r="H21" s="20" t="s">
        <v>326</v>
      </c>
      <c r="J21" t="s">
        <v>36</v>
      </c>
      <c r="K21" t="s">
        <v>37</v>
      </c>
      <c r="L21" t="s">
        <v>305</v>
      </c>
      <c r="M21" t="s">
        <v>591</v>
      </c>
      <c r="N21" t="s">
        <v>40</v>
      </c>
      <c r="O21" s="2" t="s">
        <v>560</v>
      </c>
      <c r="P21" t="s">
        <v>315</v>
      </c>
    </row>
    <row r="22" spans="2:16" x14ac:dyDescent="0.2">
      <c r="B22" s="2" t="s">
        <v>293</v>
      </c>
      <c r="E22" t="s">
        <v>299</v>
      </c>
      <c r="F22" t="s">
        <v>304</v>
      </c>
      <c r="G22" t="s">
        <v>313</v>
      </c>
      <c r="H22" s="20" t="s">
        <v>326</v>
      </c>
      <c r="I22" t="s">
        <v>125</v>
      </c>
      <c r="J22" t="s">
        <v>36</v>
      </c>
      <c r="K22" t="s">
        <v>37</v>
      </c>
      <c r="L22" t="s">
        <v>305</v>
      </c>
      <c r="M22" t="s">
        <v>39</v>
      </c>
      <c r="N22" t="s">
        <v>40</v>
      </c>
      <c r="O22" s="2" t="s">
        <v>293</v>
      </c>
      <c r="P22" t="s">
        <v>315</v>
      </c>
    </row>
    <row r="23" spans="2:16" x14ac:dyDescent="0.2">
      <c r="B23" s="2" t="s">
        <v>292</v>
      </c>
      <c r="E23" t="s">
        <v>299</v>
      </c>
      <c r="F23" t="s">
        <v>73</v>
      </c>
      <c r="G23" t="s">
        <v>313</v>
      </c>
      <c r="H23" s="20" t="s">
        <v>326</v>
      </c>
      <c r="I23" t="s">
        <v>309</v>
      </c>
      <c r="J23" t="s">
        <v>36</v>
      </c>
      <c r="K23" t="s">
        <v>37</v>
      </c>
      <c r="L23" t="s">
        <v>305</v>
      </c>
      <c r="M23" t="s">
        <v>306</v>
      </c>
      <c r="N23" t="s">
        <v>40</v>
      </c>
      <c r="O23" s="2" t="s">
        <v>292</v>
      </c>
      <c r="P23" t="s">
        <v>315</v>
      </c>
    </row>
    <row r="24" spans="2:16" x14ac:dyDescent="0.2">
      <c r="B24" s="2" t="s">
        <v>294</v>
      </c>
      <c r="E24" t="s">
        <v>299</v>
      </c>
      <c r="F24" t="s">
        <v>78</v>
      </c>
      <c r="G24" t="s">
        <v>313</v>
      </c>
      <c r="H24" s="20" t="s">
        <v>326</v>
      </c>
      <c r="I24" t="s">
        <v>309</v>
      </c>
      <c r="J24" t="s">
        <v>36</v>
      </c>
      <c r="K24" t="s">
        <v>37</v>
      </c>
      <c r="L24" t="s">
        <v>305</v>
      </c>
      <c r="M24" t="s">
        <v>307</v>
      </c>
      <c r="N24" t="s">
        <v>40</v>
      </c>
      <c r="O24" s="2" t="s">
        <v>294</v>
      </c>
      <c r="P24" t="s">
        <v>315</v>
      </c>
    </row>
    <row r="25" spans="2:16" x14ac:dyDescent="0.2">
      <c r="B25" s="2" t="s">
        <v>291</v>
      </c>
      <c r="E25" t="s">
        <v>299</v>
      </c>
      <c r="F25" t="s">
        <v>56</v>
      </c>
      <c r="G25" t="s">
        <v>313</v>
      </c>
      <c r="H25" s="20" t="s">
        <v>326</v>
      </c>
      <c r="I25" t="s">
        <v>57</v>
      </c>
      <c r="J25" t="s">
        <v>36</v>
      </c>
      <c r="K25" t="s">
        <v>37</v>
      </c>
      <c r="L25" t="s">
        <v>305</v>
      </c>
      <c r="M25" t="s">
        <v>324</v>
      </c>
      <c r="N25" t="s">
        <v>40</v>
      </c>
      <c r="O25" s="2" t="s">
        <v>291</v>
      </c>
      <c r="P25" t="s">
        <v>76</v>
      </c>
    </row>
    <row r="26" spans="2:16" x14ac:dyDescent="0.2">
      <c r="H26" s="11"/>
    </row>
    <row r="27" spans="2:16" x14ac:dyDescent="0.2">
      <c r="B27" s="2" t="s">
        <v>317</v>
      </c>
      <c r="E27" t="s">
        <v>31</v>
      </c>
      <c r="F27" t="s">
        <v>32</v>
      </c>
      <c r="G27" t="s">
        <v>33</v>
      </c>
      <c r="H27" s="11" t="s">
        <v>34</v>
      </c>
      <c r="I27" t="s">
        <v>35</v>
      </c>
      <c r="J27" t="s">
        <v>36</v>
      </c>
      <c r="K27" t="s">
        <v>37</v>
      </c>
      <c r="L27" t="s">
        <v>38</v>
      </c>
      <c r="M27" t="s">
        <v>39</v>
      </c>
      <c r="N27" t="s">
        <v>40</v>
      </c>
      <c r="O27" t="s">
        <v>316</v>
      </c>
      <c r="P27" t="s">
        <v>175</v>
      </c>
    </row>
    <row r="28" spans="2:16" x14ac:dyDescent="0.2">
      <c r="B28" s="2" t="s">
        <v>318</v>
      </c>
      <c r="E28" t="s">
        <v>31</v>
      </c>
      <c r="F28" t="s">
        <v>42</v>
      </c>
      <c r="G28" t="s">
        <v>33</v>
      </c>
      <c r="H28" s="11" t="s">
        <v>34</v>
      </c>
      <c r="I28" t="s">
        <v>43</v>
      </c>
      <c r="J28" t="s">
        <v>36</v>
      </c>
      <c r="K28" t="s">
        <v>37</v>
      </c>
      <c r="L28" t="s">
        <v>38</v>
      </c>
      <c r="M28" t="s">
        <v>39</v>
      </c>
      <c r="N28" t="s">
        <v>40</v>
      </c>
      <c r="O28" t="s">
        <v>177</v>
      </c>
      <c r="P28" t="s">
        <v>41</v>
      </c>
    </row>
    <row r="29" spans="2:16" x14ac:dyDescent="0.2">
      <c r="B29" s="2" t="s">
        <v>562</v>
      </c>
      <c r="E29" t="s">
        <v>580</v>
      </c>
      <c r="F29" t="s">
        <v>587</v>
      </c>
      <c r="G29" t="s">
        <v>581</v>
      </c>
      <c r="H29" s="11" t="s">
        <v>582</v>
      </c>
      <c r="I29" t="s">
        <v>69</v>
      </c>
      <c r="J29" t="s">
        <v>583</v>
      </c>
      <c r="K29" t="s">
        <v>584</v>
      </c>
      <c r="L29" t="s">
        <v>585</v>
      </c>
      <c r="M29" t="s">
        <v>586</v>
      </c>
      <c r="N29" t="s">
        <v>432</v>
      </c>
      <c r="O29" s="2" t="s">
        <v>562</v>
      </c>
      <c r="P29" t="s">
        <v>315</v>
      </c>
    </row>
    <row r="30" spans="2:16" x14ac:dyDescent="0.2">
      <c r="B30" s="2" t="s">
        <v>319</v>
      </c>
      <c r="E30" t="s">
        <v>31</v>
      </c>
      <c r="F30" t="s">
        <v>44</v>
      </c>
      <c r="G30" t="s">
        <v>33</v>
      </c>
      <c r="H30" s="11" t="s">
        <v>34</v>
      </c>
      <c r="I30" t="s">
        <v>45</v>
      </c>
      <c r="J30" t="s">
        <v>36</v>
      </c>
      <c r="K30" t="s">
        <v>37</v>
      </c>
      <c r="L30" t="s">
        <v>38</v>
      </c>
      <c r="M30" t="s">
        <v>46</v>
      </c>
      <c r="N30" t="s">
        <v>40</v>
      </c>
      <c r="O30" t="s">
        <v>179</v>
      </c>
      <c r="P30" t="s">
        <v>41</v>
      </c>
    </row>
    <row r="31" spans="2:16" x14ac:dyDescent="0.2">
      <c r="B31" s="2" t="s">
        <v>564</v>
      </c>
      <c r="E31" t="s">
        <v>31</v>
      </c>
      <c r="F31" t="s">
        <v>589</v>
      </c>
      <c r="G31" t="s">
        <v>33</v>
      </c>
      <c r="H31" s="11" t="s">
        <v>34</v>
      </c>
      <c r="I31" t="s">
        <v>45</v>
      </c>
      <c r="J31" t="s">
        <v>36</v>
      </c>
      <c r="K31" t="s">
        <v>37</v>
      </c>
      <c r="L31" t="s">
        <v>38</v>
      </c>
      <c r="M31" t="s">
        <v>590</v>
      </c>
      <c r="N31" t="s">
        <v>40</v>
      </c>
      <c r="O31" s="2" t="s">
        <v>564</v>
      </c>
      <c r="P31" t="s">
        <v>41</v>
      </c>
    </row>
    <row r="32" spans="2:16" x14ac:dyDescent="0.2">
      <c r="B32" s="2" t="s">
        <v>320</v>
      </c>
      <c r="E32" t="s">
        <v>31</v>
      </c>
      <c r="F32" t="s">
        <v>47</v>
      </c>
      <c r="G32" t="s">
        <v>33</v>
      </c>
      <c r="H32" s="11" t="s">
        <v>34</v>
      </c>
      <c r="I32" t="s">
        <v>45</v>
      </c>
      <c r="J32" t="s">
        <v>36</v>
      </c>
      <c r="K32" t="s">
        <v>37</v>
      </c>
      <c r="L32" t="s">
        <v>38</v>
      </c>
      <c r="M32" t="s">
        <v>46</v>
      </c>
      <c r="N32" t="s">
        <v>40</v>
      </c>
      <c r="O32" t="s">
        <v>181</v>
      </c>
      <c r="P32" t="s">
        <v>41</v>
      </c>
    </row>
    <row r="33" spans="2:16" x14ac:dyDescent="0.2">
      <c r="B33" s="2" t="s">
        <v>321</v>
      </c>
      <c r="E33" t="s">
        <v>31</v>
      </c>
      <c r="F33" t="s">
        <v>48</v>
      </c>
      <c r="G33" t="s">
        <v>33</v>
      </c>
      <c r="H33" s="11" t="s">
        <v>34</v>
      </c>
      <c r="I33" t="s">
        <v>49</v>
      </c>
      <c r="J33" t="s">
        <v>36</v>
      </c>
      <c r="K33" t="s">
        <v>37</v>
      </c>
      <c r="L33" t="s">
        <v>38</v>
      </c>
      <c r="M33" t="s">
        <v>50</v>
      </c>
      <c r="N33" t="s">
        <v>40</v>
      </c>
      <c r="O33" t="s">
        <v>183</v>
      </c>
      <c r="P33" t="s">
        <v>41</v>
      </c>
    </row>
    <row r="34" spans="2:16" x14ac:dyDescent="0.2">
      <c r="B34" s="2" t="s">
        <v>322</v>
      </c>
      <c r="E34" t="s">
        <v>31</v>
      </c>
      <c r="F34" t="s">
        <v>51</v>
      </c>
      <c r="G34" t="s">
        <v>33</v>
      </c>
      <c r="H34" s="11" t="s">
        <v>34</v>
      </c>
      <c r="I34" t="s">
        <v>49</v>
      </c>
      <c r="J34" t="s">
        <v>36</v>
      </c>
      <c r="K34" t="s">
        <v>37</v>
      </c>
      <c r="L34" t="s">
        <v>38</v>
      </c>
      <c r="M34" t="s">
        <v>52</v>
      </c>
      <c r="N34" t="s">
        <v>40</v>
      </c>
      <c r="O34" t="s">
        <v>186</v>
      </c>
      <c r="P34" t="s">
        <v>41</v>
      </c>
    </row>
    <row r="36" spans="2:16" x14ac:dyDescent="0.2">
      <c r="B36" s="2" t="s">
        <v>316</v>
      </c>
      <c r="E36" t="s">
        <v>53</v>
      </c>
      <c r="F36" t="s">
        <v>32</v>
      </c>
      <c r="G36" t="s">
        <v>33</v>
      </c>
      <c r="H36" s="11" t="s">
        <v>34</v>
      </c>
      <c r="I36" t="s">
        <v>35</v>
      </c>
      <c r="J36" t="s">
        <v>54</v>
      </c>
      <c r="K36" t="s">
        <v>37</v>
      </c>
      <c r="L36" t="s">
        <v>38</v>
      </c>
      <c r="M36" t="s">
        <v>39</v>
      </c>
      <c r="N36" t="s">
        <v>40</v>
      </c>
      <c r="O36" t="s">
        <v>316</v>
      </c>
      <c r="P36" t="s">
        <v>175</v>
      </c>
    </row>
    <row r="37" spans="2:16" x14ac:dyDescent="0.2">
      <c r="B37" s="2" t="s">
        <v>176</v>
      </c>
      <c r="E37" t="s">
        <v>53</v>
      </c>
      <c r="F37" t="s">
        <v>42</v>
      </c>
      <c r="G37" t="s">
        <v>33</v>
      </c>
      <c r="H37" s="11" t="s">
        <v>34</v>
      </c>
      <c r="I37" t="s">
        <v>43</v>
      </c>
      <c r="J37" t="s">
        <v>54</v>
      </c>
      <c r="K37" t="s">
        <v>37</v>
      </c>
      <c r="L37" t="s">
        <v>38</v>
      </c>
      <c r="M37" t="s">
        <v>39</v>
      </c>
      <c r="N37" t="s">
        <v>40</v>
      </c>
      <c r="O37" t="s">
        <v>177</v>
      </c>
      <c r="P37" t="s">
        <v>41</v>
      </c>
    </row>
    <row r="38" spans="2:16" x14ac:dyDescent="0.2">
      <c r="B38" s="2" t="s">
        <v>566</v>
      </c>
      <c r="E38" t="s">
        <v>53</v>
      </c>
      <c r="F38" t="s">
        <v>587</v>
      </c>
      <c r="G38" t="s">
        <v>33</v>
      </c>
      <c r="H38" s="11" t="s">
        <v>34</v>
      </c>
      <c r="J38" t="s">
        <v>54</v>
      </c>
      <c r="K38" t="s">
        <v>37</v>
      </c>
      <c r="L38" t="s">
        <v>38</v>
      </c>
      <c r="M38" t="s">
        <v>586</v>
      </c>
      <c r="N38" t="s">
        <v>40</v>
      </c>
      <c r="O38" t="s">
        <v>566</v>
      </c>
      <c r="P38" t="s">
        <v>41</v>
      </c>
    </row>
    <row r="39" spans="2:16" x14ac:dyDescent="0.2">
      <c r="B39" s="2" t="s">
        <v>178</v>
      </c>
      <c r="E39" t="s">
        <v>53</v>
      </c>
      <c r="F39" t="s">
        <v>44</v>
      </c>
      <c r="G39" t="s">
        <v>33</v>
      </c>
      <c r="H39" s="11" t="s">
        <v>34</v>
      </c>
      <c r="I39" t="s">
        <v>45</v>
      </c>
      <c r="J39" t="s">
        <v>54</v>
      </c>
      <c r="K39" t="s">
        <v>37</v>
      </c>
      <c r="L39" t="s">
        <v>38</v>
      </c>
      <c r="M39" t="s">
        <v>46</v>
      </c>
      <c r="N39" t="s">
        <v>40</v>
      </c>
      <c r="O39" t="s">
        <v>179</v>
      </c>
      <c r="P39" t="s">
        <v>41</v>
      </c>
    </row>
    <row r="40" spans="2:16" x14ac:dyDescent="0.2">
      <c r="B40" s="2" t="s">
        <v>575</v>
      </c>
      <c r="E40" t="s">
        <v>53</v>
      </c>
      <c r="F40" t="s">
        <v>588</v>
      </c>
      <c r="G40" t="s">
        <v>33</v>
      </c>
      <c r="H40" s="11" t="s">
        <v>34</v>
      </c>
      <c r="J40" t="s">
        <v>54</v>
      </c>
      <c r="K40" t="s">
        <v>37</v>
      </c>
      <c r="L40" t="s">
        <v>38</v>
      </c>
      <c r="M40" t="s">
        <v>590</v>
      </c>
      <c r="N40" t="s">
        <v>40</v>
      </c>
      <c r="O40" t="s">
        <v>575</v>
      </c>
      <c r="P40" t="s">
        <v>41</v>
      </c>
    </row>
    <row r="41" spans="2:16" x14ac:dyDescent="0.2">
      <c r="B41" s="2" t="s">
        <v>180</v>
      </c>
      <c r="E41" t="s">
        <v>53</v>
      </c>
      <c r="F41" t="s">
        <v>47</v>
      </c>
      <c r="G41" t="s">
        <v>33</v>
      </c>
      <c r="H41" s="11" t="s">
        <v>34</v>
      </c>
      <c r="I41" t="s">
        <v>45</v>
      </c>
      <c r="J41" t="s">
        <v>54</v>
      </c>
      <c r="K41" t="s">
        <v>37</v>
      </c>
      <c r="L41" t="s">
        <v>38</v>
      </c>
      <c r="M41" t="s">
        <v>46</v>
      </c>
      <c r="N41" t="s">
        <v>40</v>
      </c>
      <c r="O41" t="s">
        <v>181</v>
      </c>
      <c r="P41" t="s">
        <v>41</v>
      </c>
    </row>
    <row r="42" spans="2:16" x14ac:dyDescent="0.2">
      <c r="B42" s="2" t="s">
        <v>182</v>
      </c>
      <c r="E42" t="s">
        <v>53</v>
      </c>
      <c r="F42" t="s">
        <v>48</v>
      </c>
      <c r="G42" t="s">
        <v>33</v>
      </c>
      <c r="H42" s="11" t="s">
        <v>34</v>
      </c>
      <c r="I42" t="s">
        <v>49</v>
      </c>
      <c r="J42" t="s">
        <v>54</v>
      </c>
      <c r="K42" t="s">
        <v>37</v>
      </c>
      <c r="L42" t="s">
        <v>38</v>
      </c>
      <c r="M42" t="s">
        <v>50</v>
      </c>
      <c r="N42" t="s">
        <v>40</v>
      </c>
      <c r="O42" t="s">
        <v>183</v>
      </c>
      <c r="P42" t="s">
        <v>41</v>
      </c>
    </row>
    <row r="43" spans="2:16" x14ac:dyDescent="0.2">
      <c r="B43" s="2" t="s">
        <v>184</v>
      </c>
      <c r="E43" t="s">
        <v>53</v>
      </c>
      <c r="F43" t="s">
        <v>55</v>
      </c>
      <c r="G43" t="s">
        <v>33</v>
      </c>
      <c r="H43" s="11" t="s">
        <v>34</v>
      </c>
      <c r="I43" t="s">
        <v>49</v>
      </c>
      <c r="J43" t="s">
        <v>54</v>
      </c>
      <c r="K43" t="s">
        <v>37</v>
      </c>
      <c r="L43" t="s">
        <v>38</v>
      </c>
      <c r="M43" t="s">
        <v>52</v>
      </c>
      <c r="N43" t="s">
        <v>40</v>
      </c>
      <c r="O43" t="s">
        <v>186</v>
      </c>
      <c r="P43" t="s">
        <v>41</v>
      </c>
    </row>
    <row r="44" spans="2:16" x14ac:dyDescent="0.2">
      <c r="B44" s="2" t="s">
        <v>185</v>
      </c>
      <c r="E44" t="s">
        <v>53</v>
      </c>
      <c r="F44" t="s">
        <v>56</v>
      </c>
      <c r="G44" t="s">
        <v>33</v>
      </c>
      <c r="H44" s="11" t="s">
        <v>34</v>
      </c>
      <c r="I44" t="s">
        <v>57</v>
      </c>
      <c r="J44" t="s">
        <v>54</v>
      </c>
      <c r="K44" t="s">
        <v>37</v>
      </c>
      <c r="L44" t="s">
        <v>38</v>
      </c>
      <c r="M44" t="s">
        <v>58</v>
      </c>
      <c r="N44" t="s">
        <v>40</v>
      </c>
      <c r="O44" t="s">
        <v>187</v>
      </c>
      <c r="P44" t="s">
        <v>76</v>
      </c>
    </row>
    <row r="45" spans="2:16" x14ac:dyDescent="0.2">
      <c r="H45" s="11"/>
    </row>
    <row r="46" spans="2:16" x14ac:dyDescent="0.2">
      <c r="B46" s="2" t="s">
        <v>383</v>
      </c>
      <c r="E46" t="s">
        <v>60</v>
      </c>
      <c r="F46" t="s">
        <v>433</v>
      </c>
      <c r="G46" t="s">
        <v>62</v>
      </c>
      <c r="H46" s="3">
        <v>6144</v>
      </c>
      <c r="I46" t="s">
        <v>311</v>
      </c>
      <c r="J46" t="s">
        <v>64</v>
      </c>
      <c r="K46" t="s">
        <v>65</v>
      </c>
      <c r="L46" t="s">
        <v>430</v>
      </c>
      <c r="M46" t="s">
        <v>67</v>
      </c>
      <c r="N46" t="s">
        <v>432</v>
      </c>
      <c r="O46" t="s">
        <v>383</v>
      </c>
      <c r="P46" t="s">
        <v>175</v>
      </c>
    </row>
    <row r="47" spans="2:16" x14ac:dyDescent="0.2">
      <c r="B47" s="2" t="s">
        <v>384</v>
      </c>
      <c r="E47" t="s">
        <v>60</v>
      </c>
      <c r="F47" t="s">
        <v>61</v>
      </c>
      <c r="G47" t="s">
        <v>62</v>
      </c>
      <c r="H47" s="3">
        <v>6144</v>
      </c>
      <c r="I47" t="s">
        <v>63</v>
      </c>
      <c r="J47" t="s">
        <v>64</v>
      </c>
      <c r="K47" t="s">
        <v>65</v>
      </c>
      <c r="L47" t="s">
        <v>66</v>
      </c>
      <c r="M47" t="s">
        <v>67</v>
      </c>
      <c r="N47" t="s">
        <v>40</v>
      </c>
      <c r="O47" t="s">
        <v>384</v>
      </c>
      <c r="P47" t="s">
        <v>41</v>
      </c>
    </row>
    <row r="48" spans="2:16" x14ac:dyDescent="0.2">
      <c r="B48" s="2" t="s">
        <v>385</v>
      </c>
      <c r="E48" t="s">
        <v>60</v>
      </c>
      <c r="F48" t="s">
        <v>44</v>
      </c>
      <c r="G48" t="s">
        <v>62</v>
      </c>
      <c r="H48" s="3">
        <v>6144</v>
      </c>
      <c r="I48" t="s">
        <v>69</v>
      </c>
      <c r="J48" t="s">
        <v>64</v>
      </c>
      <c r="K48" t="s">
        <v>65</v>
      </c>
      <c r="L48" t="s">
        <v>66</v>
      </c>
      <c r="M48" t="s">
        <v>70</v>
      </c>
      <c r="N48" t="s">
        <v>40</v>
      </c>
      <c r="O48" t="s">
        <v>385</v>
      </c>
      <c r="P48" t="s">
        <v>41</v>
      </c>
    </row>
    <row r="49" spans="2:20" x14ac:dyDescent="0.2">
      <c r="B49" s="2" t="s">
        <v>386</v>
      </c>
      <c r="E49" t="s">
        <v>60</v>
      </c>
      <c r="F49" t="s">
        <v>47</v>
      </c>
      <c r="G49" t="s">
        <v>62</v>
      </c>
      <c r="H49" s="3">
        <v>6144</v>
      </c>
      <c r="I49" t="s">
        <v>69</v>
      </c>
      <c r="J49" t="s">
        <v>64</v>
      </c>
      <c r="K49" t="s">
        <v>65</v>
      </c>
      <c r="L49" t="s">
        <v>66</v>
      </c>
      <c r="M49" t="s">
        <v>70</v>
      </c>
      <c r="N49" t="s">
        <v>40</v>
      </c>
      <c r="O49" t="s">
        <v>386</v>
      </c>
      <c r="P49" t="s">
        <v>41</v>
      </c>
    </row>
    <row r="50" spans="2:20" x14ac:dyDescent="0.2">
      <c r="B50" s="2" t="s">
        <v>387</v>
      </c>
      <c r="E50" t="s">
        <v>60</v>
      </c>
      <c r="F50" t="s">
        <v>73</v>
      </c>
      <c r="G50" t="s">
        <v>62</v>
      </c>
      <c r="H50" s="3">
        <v>6144</v>
      </c>
      <c r="I50" t="s">
        <v>74</v>
      </c>
      <c r="J50" t="s">
        <v>64</v>
      </c>
      <c r="K50" t="s">
        <v>65</v>
      </c>
      <c r="L50" t="s">
        <v>66</v>
      </c>
      <c r="M50" t="s">
        <v>75</v>
      </c>
      <c r="N50" t="s">
        <v>40</v>
      </c>
      <c r="O50" t="s">
        <v>387</v>
      </c>
      <c r="P50" t="s">
        <v>76</v>
      </c>
    </row>
    <row r="51" spans="2:20" x14ac:dyDescent="0.2">
      <c r="B51" s="2" t="s">
        <v>388</v>
      </c>
      <c r="E51" t="s">
        <v>60</v>
      </c>
      <c r="F51" t="s">
        <v>78</v>
      </c>
      <c r="G51" t="s">
        <v>62</v>
      </c>
      <c r="H51" s="3">
        <v>6144</v>
      </c>
      <c r="I51" t="s">
        <v>74</v>
      </c>
      <c r="J51" t="s">
        <v>64</v>
      </c>
      <c r="K51" t="s">
        <v>65</v>
      </c>
      <c r="L51" t="s">
        <v>66</v>
      </c>
      <c r="M51" t="s">
        <v>79</v>
      </c>
      <c r="N51" t="s">
        <v>40</v>
      </c>
      <c r="O51" t="s">
        <v>388</v>
      </c>
      <c r="P51" t="s">
        <v>76</v>
      </c>
    </row>
    <row r="52" spans="2:20" x14ac:dyDescent="0.2">
      <c r="B52" s="2" t="s">
        <v>389</v>
      </c>
      <c r="E52" t="s">
        <v>60</v>
      </c>
      <c r="F52" t="s">
        <v>81</v>
      </c>
      <c r="G52" t="s">
        <v>62</v>
      </c>
      <c r="H52" s="3">
        <v>6144</v>
      </c>
      <c r="I52" t="s">
        <v>82</v>
      </c>
      <c r="J52" t="s">
        <v>64</v>
      </c>
      <c r="K52" t="s">
        <v>65</v>
      </c>
      <c r="L52" t="s">
        <v>66</v>
      </c>
      <c r="M52" t="s">
        <v>435</v>
      </c>
      <c r="N52" t="s">
        <v>40</v>
      </c>
      <c r="O52" t="s">
        <v>389</v>
      </c>
      <c r="P52" t="s">
        <v>76</v>
      </c>
    </row>
    <row r="54" spans="2:20" x14ac:dyDescent="0.2">
      <c r="B54" s="2" t="s">
        <v>392</v>
      </c>
      <c r="E54" t="s">
        <v>426</v>
      </c>
      <c r="F54" t="s">
        <v>433</v>
      </c>
      <c r="G54" t="s">
        <v>427</v>
      </c>
      <c r="H54" s="3" t="s">
        <v>86</v>
      </c>
      <c r="I54" t="s">
        <v>434</v>
      </c>
      <c r="J54" t="s">
        <v>428</v>
      </c>
      <c r="K54" t="s">
        <v>429</v>
      </c>
      <c r="L54" t="s">
        <v>430</v>
      </c>
      <c r="M54" t="s">
        <v>431</v>
      </c>
      <c r="N54" t="s">
        <v>432</v>
      </c>
      <c r="O54" t="s">
        <v>392</v>
      </c>
      <c r="P54" t="s">
        <v>175</v>
      </c>
    </row>
    <row r="55" spans="2:20" x14ac:dyDescent="0.2">
      <c r="B55" s="2" t="s">
        <v>394</v>
      </c>
      <c r="E55" t="s">
        <v>84</v>
      </c>
      <c r="F55" t="s">
        <v>61</v>
      </c>
      <c r="G55" t="s">
        <v>85</v>
      </c>
      <c r="H55" s="3" t="s">
        <v>86</v>
      </c>
      <c r="I55" t="s">
        <v>87</v>
      </c>
      <c r="J55" s="11" t="s">
        <v>54</v>
      </c>
      <c r="K55" t="s">
        <v>88</v>
      </c>
      <c r="L55" t="s">
        <v>66</v>
      </c>
      <c r="M55" t="s">
        <v>89</v>
      </c>
      <c r="N55" t="s">
        <v>40</v>
      </c>
      <c r="O55" t="s">
        <v>394</v>
      </c>
      <c r="P55" t="s">
        <v>41</v>
      </c>
    </row>
    <row r="56" spans="2:20" x14ac:dyDescent="0.2">
      <c r="B56" s="2" t="s">
        <v>396</v>
      </c>
      <c r="E56" t="s">
        <v>84</v>
      </c>
      <c r="F56" t="s">
        <v>44</v>
      </c>
      <c r="G56" t="s">
        <v>85</v>
      </c>
      <c r="H56" s="3" t="s">
        <v>86</v>
      </c>
      <c r="I56" t="s">
        <v>63</v>
      </c>
      <c r="J56" s="11" t="s">
        <v>54</v>
      </c>
      <c r="K56" t="s">
        <v>88</v>
      </c>
      <c r="L56" t="s">
        <v>66</v>
      </c>
      <c r="M56" t="s">
        <v>89</v>
      </c>
      <c r="N56" t="s">
        <v>40</v>
      </c>
      <c r="O56" t="s">
        <v>396</v>
      </c>
      <c r="P56" t="s">
        <v>41</v>
      </c>
      <c r="T56" cm="1">
        <f t="array" ref="T56:T63">_xlfn.UNIQUE(表1_11[文本丨规格丨规格8])</f>
        <v>0</v>
      </c>
    </row>
    <row r="57" spans="2:20" x14ac:dyDescent="0.2">
      <c r="B57" s="2" t="s">
        <v>398</v>
      </c>
      <c r="E57" t="s">
        <v>84</v>
      </c>
      <c r="F57" t="s">
        <v>47</v>
      </c>
      <c r="G57" t="s">
        <v>85</v>
      </c>
      <c r="H57" s="3" t="s">
        <v>86</v>
      </c>
      <c r="I57" t="s">
        <v>92</v>
      </c>
      <c r="J57" s="11" t="s">
        <v>54</v>
      </c>
      <c r="K57" t="s">
        <v>88</v>
      </c>
      <c r="L57" t="s">
        <v>66</v>
      </c>
      <c r="M57" t="s">
        <v>89</v>
      </c>
      <c r="N57" t="s">
        <v>40</v>
      </c>
      <c r="O57" t="s">
        <v>398</v>
      </c>
      <c r="P57" t="s">
        <v>41</v>
      </c>
      <c r="T57" t="str">
        <v>DP2.1bx2+DP1.4ax1+HDM2.1bx1丨15</v>
      </c>
    </row>
    <row r="58" spans="2:20" x14ac:dyDescent="0.2">
      <c r="B58" s="2" t="s">
        <v>400</v>
      </c>
      <c r="E58" t="s">
        <v>84</v>
      </c>
      <c r="F58" t="s">
        <v>73</v>
      </c>
      <c r="G58" t="s">
        <v>85</v>
      </c>
      <c r="H58" s="3" t="s">
        <v>86</v>
      </c>
      <c r="I58" t="s">
        <v>94</v>
      </c>
      <c r="J58" s="11" t="s">
        <v>54</v>
      </c>
      <c r="K58" t="s">
        <v>88</v>
      </c>
      <c r="L58" t="s">
        <v>66</v>
      </c>
      <c r="M58" t="s">
        <v>95</v>
      </c>
      <c r="N58" t="s">
        <v>40</v>
      </c>
      <c r="O58" t="s">
        <v>400</v>
      </c>
      <c r="P58" t="s">
        <v>76</v>
      </c>
      <c r="T58" t="str">
        <v>DP2.1bx2+HDM2.1bx2</v>
      </c>
    </row>
    <row r="59" spans="2:20" x14ac:dyDescent="0.2">
      <c r="B59" s="2" t="s">
        <v>402</v>
      </c>
      <c r="E59" t="s">
        <v>84</v>
      </c>
      <c r="F59" t="s">
        <v>78</v>
      </c>
      <c r="G59" t="s">
        <v>85</v>
      </c>
      <c r="H59" s="3" t="s">
        <v>86</v>
      </c>
      <c r="I59" t="s">
        <v>94</v>
      </c>
      <c r="J59" s="11" t="s">
        <v>54</v>
      </c>
      <c r="K59" t="s">
        <v>88</v>
      </c>
      <c r="L59" t="s">
        <v>66</v>
      </c>
      <c r="M59" t="s">
        <v>95</v>
      </c>
      <c r="N59" t="s">
        <v>40</v>
      </c>
      <c r="O59" t="s">
        <v>402</v>
      </c>
      <c r="P59" t="s">
        <v>76</v>
      </c>
      <c r="T59" t="str">
        <v>DP2.1bx3+HDM2.1bx1</v>
      </c>
    </row>
    <row r="60" spans="2:20" x14ac:dyDescent="0.2">
      <c r="B60" s="2" t="s">
        <v>404</v>
      </c>
      <c r="E60" t="s">
        <v>84</v>
      </c>
      <c r="F60" t="s">
        <v>81</v>
      </c>
      <c r="G60" t="s">
        <v>85</v>
      </c>
      <c r="H60" s="3" t="s">
        <v>86</v>
      </c>
      <c r="I60" t="s">
        <v>98</v>
      </c>
      <c r="J60" s="11" t="s">
        <v>54</v>
      </c>
      <c r="K60" t="s">
        <v>88</v>
      </c>
      <c r="L60" t="s">
        <v>66</v>
      </c>
      <c r="M60" t="s">
        <v>99</v>
      </c>
      <c r="N60" t="s">
        <v>40</v>
      </c>
      <c r="O60" t="s">
        <v>404</v>
      </c>
      <c r="P60" t="s">
        <v>76</v>
      </c>
      <c r="T60" t="str">
        <v>DP1.4a*2+HDMI2.1a*2</v>
      </c>
    </row>
    <row r="61" spans="2:20" x14ac:dyDescent="0.2">
      <c r="T61" t="str">
        <v>DP2.1a*2+HDMI2.1b*1</v>
      </c>
    </row>
    <row r="62" spans="2:20" x14ac:dyDescent="0.2">
      <c r="B62" s="2" t="s">
        <v>406</v>
      </c>
      <c r="E62" t="s">
        <v>101</v>
      </c>
      <c r="F62" t="s">
        <v>61</v>
      </c>
      <c r="G62" t="s">
        <v>102</v>
      </c>
      <c r="H62" s="3" t="s">
        <v>103</v>
      </c>
      <c r="I62" t="s">
        <v>104</v>
      </c>
      <c r="J62" s="11" t="s">
        <v>54</v>
      </c>
      <c r="K62" t="s">
        <v>105</v>
      </c>
      <c r="L62" t="s">
        <v>106</v>
      </c>
      <c r="M62" t="s">
        <v>89</v>
      </c>
      <c r="N62" t="s">
        <v>40</v>
      </c>
      <c r="O62" t="s">
        <v>406</v>
      </c>
      <c r="P62" t="s">
        <v>41</v>
      </c>
      <c r="T62" t="str">
        <v>DP2.1a*2+HDMI2.1b*2</v>
      </c>
    </row>
    <row r="63" spans="2:20" x14ac:dyDescent="0.2">
      <c r="B63" s="2" t="s">
        <v>408</v>
      </c>
      <c r="E63" t="s">
        <v>101</v>
      </c>
      <c r="F63" t="s">
        <v>73</v>
      </c>
      <c r="G63" t="s">
        <v>102</v>
      </c>
      <c r="H63" s="3" t="s">
        <v>103</v>
      </c>
      <c r="I63" t="s">
        <v>108</v>
      </c>
      <c r="J63" s="11" t="s">
        <v>54</v>
      </c>
      <c r="K63" t="s">
        <v>105</v>
      </c>
      <c r="L63" t="s">
        <v>106</v>
      </c>
      <c r="M63" t="s">
        <v>95</v>
      </c>
      <c r="N63" t="s">
        <v>40</v>
      </c>
      <c r="O63" t="s">
        <v>408</v>
      </c>
      <c r="P63" t="s">
        <v>76</v>
      </c>
      <c r="T63" t="str">
        <v>DP1.4a * 3+HDM2.1ax1</v>
      </c>
    </row>
    <row r="64" spans="2:20" x14ac:dyDescent="0.2">
      <c r="B64" s="2" t="s">
        <v>410</v>
      </c>
      <c r="E64" t="s">
        <v>101</v>
      </c>
      <c r="F64" t="s">
        <v>78</v>
      </c>
      <c r="G64" t="s">
        <v>102</v>
      </c>
      <c r="H64" s="3" t="s">
        <v>103</v>
      </c>
      <c r="I64" t="s">
        <v>108</v>
      </c>
      <c r="J64" s="11" t="s">
        <v>54</v>
      </c>
      <c r="K64" t="s">
        <v>105</v>
      </c>
      <c r="L64" t="s">
        <v>106</v>
      </c>
      <c r="M64" t="s">
        <v>89</v>
      </c>
      <c r="N64" t="s">
        <v>40</v>
      </c>
      <c r="O64" t="s">
        <v>410</v>
      </c>
      <c r="P64" t="s">
        <v>76</v>
      </c>
    </row>
    <row r="65" spans="2:16" x14ac:dyDescent="0.2">
      <c r="B65" s="2" t="s">
        <v>412</v>
      </c>
      <c r="E65" t="s">
        <v>101</v>
      </c>
      <c r="F65" t="s">
        <v>81</v>
      </c>
      <c r="G65" t="s">
        <v>102</v>
      </c>
      <c r="H65" s="3" t="s">
        <v>103</v>
      </c>
      <c r="I65" t="s">
        <v>111</v>
      </c>
      <c r="J65" s="11" t="s">
        <v>54</v>
      </c>
      <c r="K65" t="s">
        <v>105</v>
      </c>
      <c r="L65" t="s">
        <v>106</v>
      </c>
      <c r="M65" t="s">
        <v>99</v>
      </c>
      <c r="N65" t="s">
        <v>40</v>
      </c>
      <c r="O65" t="s">
        <v>412</v>
      </c>
      <c r="P65" t="s">
        <v>76</v>
      </c>
    </row>
    <row r="66" spans="2:16" x14ac:dyDescent="0.2">
      <c r="B66" s="2" t="s">
        <v>414</v>
      </c>
      <c r="E66" t="s">
        <v>101</v>
      </c>
      <c r="F66" t="s">
        <v>113</v>
      </c>
      <c r="G66" t="s">
        <v>102</v>
      </c>
      <c r="H66" s="3" t="s">
        <v>103</v>
      </c>
      <c r="I66" t="s">
        <v>111</v>
      </c>
      <c r="J66" s="11" t="s">
        <v>54</v>
      </c>
      <c r="K66" t="s">
        <v>105</v>
      </c>
      <c r="L66" t="s">
        <v>106</v>
      </c>
      <c r="M66" t="s">
        <v>99</v>
      </c>
      <c r="N66" t="s">
        <v>40</v>
      </c>
      <c r="O66" t="s">
        <v>414</v>
      </c>
      <c r="P66" t="s">
        <v>76</v>
      </c>
    </row>
    <row r="67" spans="2:16" x14ac:dyDescent="0.2">
      <c r="B67" s="2" t="s">
        <v>416</v>
      </c>
      <c r="E67" t="s">
        <v>101</v>
      </c>
      <c r="F67" t="s">
        <v>115</v>
      </c>
      <c r="G67" t="s">
        <v>102</v>
      </c>
      <c r="H67" s="3" t="s">
        <v>103</v>
      </c>
      <c r="I67" t="s">
        <v>111</v>
      </c>
      <c r="J67" s="11" t="s">
        <v>54</v>
      </c>
      <c r="K67" t="s">
        <v>105</v>
      </c>
      <c r="L67" t="s">
        <v>106</v>
      </c>
      <c r="M67" t="s">
        <v>116</v>
      </c>
      <c r="N67" t="s">
        <v>40</v>
      </c>
      <c r="O67" t="s">
        <v>416</v>
      </c>
      <c r="P67" t="s">
        <v>76</v>
      </c>
    </row>
    <row r="70" spans="2:16" x14ac:dyDescent="0.2">
      <c r="B70" t="s">
        <v>418</v>
      </c>
      <c r="E70" t="s">
        <v>117</v>
      </c>
      <c r="F70" t="s">
        <v>61</v>
      </c>
      <c r="G70" t="s">
        <v>118</v>
      </c>
      <c r="H70" s="3" t="s">
        <v>119</v>
      </c>
      <c r="I70" t="s">
        <v>120</v>
      </c>
      <c r="J70" s="11" t="s">
        <v>121</v>
      </c>
      <c r="K70" t="s">
        <v>122</v>
      </c>
      <c r="L70" t="s">
        <v>123</v>
      </c>
      <c r="M70" t="s">
        <v>124</v>
      </c>
      <c r="N70" t="s">
        <v>40</v>
      </c>
      <c r="O70" t="s">
        <v>418</v>
      </c>
      <c r="P70" t="s">
        <v>41</v>
      </c>
    </row>
    <row r="71" spans="2:16" x14ac:dyDescent="0.2">
      <c r="B71" t="s">
        <v>420</v>
      </c>
      <c r="E71" t="s">
        <v>117</v>
      </c>
      <c r="F71" t="s">
        <v>48</v>
      </c>
      <c r="G71" t="s">
        <v>118</v>
      </c>
      <c r="H71" s="3" t="s">
        <v>119</v>
      </c>
      <c r="I71" t="s">
        <v>125</v>
      </c>
      <c r="J71" s="11" t="s">
        <v>121</v>
      </c>
      <c r="K71" t="s">
        <v>122</v>
      </c>
      <c r="L71" t="s">
        <v>123</v>
      </c>
      <c r="M71" t="s">
        <v>126</v>
      </c>
      <c r="N71" t="s">
        <v>40</v>
      </c>
      <c r="O71" t="s">
        <v>420</v>
      </c>
      <c r="P71" t="s">
        <v>76</v>
      </c>
    </row>
    <row r="72" spans="2:16" x14ac:dyDescent="0.2">
      <c r="B72" t="s">
        <v>422</v>
      </c>
      <c r="E72" t="s">
        <v>117</v>
      </c>
      <c r="F72" t="s">
        <v>81</v>
      </c>
      <c r="G72" t="s">
        <v>118</v>
      </c>
      <c r="H72" s="3" t="s">
        <v>119</v>
      </c>
      <c r="I72" t="s">
        <v>128</v>
      </c>
      <c r="J72" s="11" t="s">
        <v>121</v>
      </c>
      <c r="K72" t="s">
        <v>122</v>
      </c>
      <c r="L72" t="s">
        <v>123</v>
      </c>
      <c r="M72" t="s">
        <v>99</v>
      </c>
      <c r="N72" t="s">
        <v>40</v>
      </c>
      <c r="O72" t="s">
        <v>422</v>
      </c>
      <c r="P72" t="s">
        <v>76</v>
      </c>
    </row>
    <row r="73" spans="2:16" x14ac:dyDescent="0.2">
      <c r="B73" t="s">
        <v>424</v>
      </c>
      <c r="C73" s="12"/>
      <c r="E73" t="s">
        <v>117</v>
      </c>
      <c r="F73" t="s">
        <v>113</v>
      </c>
      <c r="G73" t="s">
        <v>118</v>
      </c>
      <c r="H73" s="3" t="s">
        <v>119</v>
      </c>
      <c r="I73" t="s">
        <v>128</v>
      </c>
      <c r="J73" s="11" t="s">
        <v>121</v>
      </c>
      <c r="K73" t="s">
        <v>122</v>
      </c>
      <c r="L73" t="s">
        <v>123</v>
      </c>
      <c r="M73" t="s">
        <v>99</v>
      </c>
      <c r="N73" t="s">
        <v>40</v>
      </c>
      <c r="O73" t="s">
        <v>424</v>
      </c>
      <c r="P73" t="s">
        <v>76</v>
      </c>
    </row>
    <row r="74" spans="2:16" x14ac:dyDescent="0.2">
      <c r="C74" s="13"/>
      <c r="E74" s="14"/>
      <c r="H74" s="14"/>
      <c r="J74" s="11"/>
    </row>
    <row r="75" spans="2:16" x14ac:dyDescent="0.2">
      <c r="B75" s="14" t="s">
        <v>444</v>
      </c>
      <c r="C75" s="13"/>
      <c r="E75" s="14" t="s">
        <v>130</v>
      </c>
      <c r="F75" t="s">
        <v>131</v>
      </c>
      <c r="G75" t="s">
        <v>473</v>
      </c>
      <c r="H75" t="s">
        <v>474</v>
      </c>
      <c r="I75" t="s">
        <v>466</v>
      </c>
      <c r="J75" s="11" t="s">
        <v>132</v>
      </c>
      <c r="K75" t="s">
        <v>133</v>
      </c>
      <c r="L75" t="s">
        <v>134</v>
      </c>
      <c r="M75" t="s">
        <v>135</v>
      </c>
      <c r="N75" t="s">
        <v>136</v>
      </c>
      <c r="O75" s="14" t="s">
        <v>445</v>
      </c>
      <c r="P75" t="s">
        <v>137</v>
      </c>
    </row>
    <row r="76" spans="2:16" x14ac:dyDescent="0.2">
      <c r="B76" s="14" t="s">
        <v>493</v>
      </c>
      <c r="C76" s="13"/>
      <c r="E76" t="s">
        <v>499</v>
      </c>
      <c r="F76" t="s">
        <v>131</v>
      </c>
      <c r="G76" t="s">
        <v>473</v>
      </c>
      <c r="H76" t="s">
        <v>474</v>
      </c>
      <c r="I76" t="s">
        <v>503</v>
      </c>
      <c r="J76" t="s">
        <v>140</v>
      </c>
      <c r="K76" t="s">
        <v>500</v>
      </c>
      <c r="L76" t="s">
        <v>502</v>
      </c>
      <c r="M76" t="s">
        <v>501</v>
      </c>
      <c r="N76" t="s">
        <v>504</v>
      </c>
      <c r="O76" s="14" t="s">
        <v>493</v>
      </c>
      <c r="P76" t="s">
        <v>137</v>
      </c>
    </row>
    <row r="77" spans="2:16" x14ac:dyDescent="0.2">
      <c r="B77" s="14" t="s">
        <v>495</v>
      </c>
      <c r="C77" s="13"/>
      <c r="E77" t="s">
        <v>498</v>
      </c>
      <c r="F77" t="s">
        <v>131</v>
      </c>
      <c r="G77" t="s">
        <v>473</v>
      </c>
      <c r="H77" t="s">
        <v>474</v>
      </c>
      <c r="I77" t="s">
        <v>503</v>
      </c>
      <c r="J77" t="s">
        <v>140</v>
      </c>
      <c r="K77" t="s">
        <v>500</v>
      </c>
      <c r="L77" t="s">
        <v>502</v>
      </c>
      <c r="M77" t="s">
        <v>501</v>
      </c>
      <c r="N77" t="s">
        <v>504</v>
      </c>
      <c r="O77" s="14" t="s">
        <v>495</v>
      </c>
      <c r="P77" t="s">
        <v>137</v>
      </c>
    </row>
    <row r="78" spans="2:16" x14ac:dyDescent="0.2">
      <c r="B78" s="15" t="s">
        <v>442</v>
      </c>
      <c r="C78" s="13"/>
      <c r="E78" t="s">
        <v>138</v>
      </c>
      <c r="F78" t="s">
        <v>131</v>
      </c>
      <c r="G78" t="s">
        <v>475</v>
      </c>
      <c r="H78" s="11" t="s">
        <v>476</v>
      </c>
      <c r="I78" t="s">
        <v>139</v>
      </c>
      <c r="J78" t="s">
        <v>140</v>
      </c>
      <c r="K78" t="s">
        <v>141</v>
      </c>
      <c r="L78" t="s">
        <v>142</v>
      </c>
      <c r="M78" t="s">
        <v>143</v>
      </c>
      <c r="N78" t="s">
        <v>144</v>
      </c>
      <c r="O78" s="2" t="s">
        <v>443</v>
      </c>
      <c r="P78" t="s">
        <v>137</v>
      </c>
    </row>
    <row r="79" spans="2:16" x14ac:dyDescent="0.2">
      <c r="B79" s="2" t="s">
        <v>440</v>
      </c>
      <c r="E79" t="s">
        <v>145</v>
      </c>
      <c r="F79" t="s">
        <v>131</v>
      </c>
      <c r="G79" s="11" t="s">
        <v>479</v>
      </c>
      <c r="H79" s="11" t="s">
        <v>477</v>
      </c>
      <c r="I79" t="s">
        <v>146</v>
      </c>
      <c r="J79" t="s">
        <v>140</v>
      </c>
      <c r="K79" t="s">
        <v>147</v>
      </c>
      <c r="L79" t="s">
        <v>142</v>
      </c>
      <c r="M79" t="s">
        <v>143</v>
      </c>
      <c r="N79" t="s">
        <v>144</v>
      </c>
      <c r="O79" s="2" t="s">
        <v>441</v>
      </c>
      <c r="P79" t="s">
        <v>137</v>
      </c>
    </row>
    <row r="80" spans="2:16" x14ac:dyDescent="0.2">
      <c r="B80" s="2" t="s">
        <v>438</v>
      </c>
      <c r="E80" t="s">
        <v>148</v>
      </c>
      <c r="F80" t="s">
        <v>131</v>
      </c>
      <c r="G80" s="11" t="s">
        <v>480</v>
      </c>
      <c r="H80" s="11" t="s">
        <v>478</v>
      </c>
      <c r="I80" t="s">
        <v>149</v>
      </c>
      <c r="J80" s="11" t="s">
        <v>140</v>
      </c>
      <c r="K80" t="s">
        <v>147</v>
      </c>
      <c r="L80" t="s">
        <v>150</v>
      </c>
      <c r="M80" t="s">
        <v>151</v>
      </c>
      <c r="N80" t="s">
        <v>144</v>
      </c>
      <c r="O80" s="2" t="s">
        <v>439</v>
      </c>
      <c r="P80" t="s">
        <v>137</v>
      </c>
    </row>
    <row r="81" spans="2:16" x14ac:dyDescent="0.2">
      <c r="B81" s="2" t="s">
        <v>436</v>
      </c>
      <c r="E81" t="s">
        <v>148</v>
      </c>
      <c r="F81" t="s">
        <v>152</v>
      </c>
      <c r="G81" s="11" t="s">
        <v>480</v>
      </c>
      <c r="H81" s="11" t="s">
        <v>478</v>
      </c>
      <c r="I81" t="s">
        <v>153</v>
      </c>
      <c r="J81" s="11" t="s">
        <v>140</v>
      </c>
      <c r="K81" t="s">
        <v>147</v>
      </c>
      <c r="L81" t="s">
        <v>150</v>
      </c>
      <c r="M81" t="s">
        <v>154</v>
      </c>
      <c r="N81" t="s">
        <v>144</v>
      </c>
      <c r="O81" s="2" t="s">
        <v>437</v>
      </c>
      <c r="P81" t="s">
        <v>155</v>
      </c>
    </row>
    <row r="82" spans="2:16" x14ac:dyDescent="0.2">
      <c r="J82" s="11"/>
    </row>
    <row r="83" spans="2:16" x14ac:dyDescent="0.2">
      <c r="J83" s="11"/>
    </row>
    <row r="84" spans="2:16" x14ac:dyDescent="0.2">
      <c r="J84" s="11"/>
    </row>
    <row r="85" spans="2:16" x14ac:dyDescent="0.2">
      <c r="B85" s="2" t="s">
        <v>156</v>
      </c>
      <c r="E85" t="s">
        <v>157</v>
      </c>
      <c r="F85" t="s">
        <v>61</v>
      </c>
      <c r="G85" t="s">
        <v>158</v>
      </c>
      <c r="H85" s="16" t="s">
        <v>159</v>
      </c>
      <c r="I85" t="s">
        <v>160</v>
      </c>
      <c r="J85" s="11" t="s">
        <v>161</v>
      </c>
      <c r="K85" t="s">
        <v>162</v>
      </c>
      <c r="L85" t="s">
        <v>163</v>
      </c>
      <c r="M85" t="s">
        <v>164</v>
      </c>
      <c r="N85" t="s">
        <v>165</v>
      </c>
      <c r="O85" t="s">
        <v>156</v>
      </c>
      <c r="P85" t="s">
        <v>41</v>
      </c>
    </row>
    <row r="86" spans="2:16" x14ac:dyDescent="0.2">
      <c r="B86" s="2" t="s">
        <v>166</v>
      </c>
      <c r="E86" t="s">
        <v>167</v>
      </c>
      <c r="F86" t="s">
        <v>61</v>
      </c>
      <c r="G86" t="s">
        <v>168</v>
      </c>
      <c r="H86" s="16" t="s">
        <v>169</v>
      </c>
      <c r="I86" t="s">
        <v>170</v>
      </c>
      <c r="J86" s="11" t="s">
        <v>171</v>
      </c>
      <c r="K86" t="s">
        <v>162</v>
      </c>
      <c r="L86" t="s">
        <v>172</v>
      </c>
      <c r="M86" t="s">
        <v>164</v>
      </c>
      <c r="N86" t="s">
        <v>165</v>
      </c>
      <c r="O86" t="s">
        <v>166</v>
      </c>
      <c r="P86" t="s">
        <v>41</v>
      </c>
    </row>
    <row r="87" spans="2:16" x14ac:dyDescent="0.2">
      <c r="J87" s="11"/>
    </row>
    <row r="88" spans="2:16" x14ac:dyDescent="0.2">
      <c r="J88" s="11"/>
    </row>
    <row r="89" spans="2:16" x14ac:dyDescent="0.2">
      <c r="J89" s="11"/>
    </row>
    <row r="90" spans="2:16" x14ac:dyDescent="0.2">
      <c r="J90" s="11"/>
    </row>
    <row r="91" spans="2:16" x14ac:dyDescent="0.2">
      <c r="B91"/>
      <c r="J91" s="11"/>
      <c r="K91" s="11"/>
    </row>
    <row r="92" spans="2:16" x14ac:dyDescent="0.2">
      <c r="L92" s="11"/>
    </row>
    <row r="95" spans="2:16" x14ac:dyDescent="0.2">
      <c r="J95" s="11"/>
    </row>
    <row r="96" spans="2:16" x14ac:dyDescent="0.2">
      <c r="J96" s="11"/>
    </row>
    <row r="97" spans="10:10" x14ac:dyDescent="0.2">
      <c r="J97" s="11"/>
    </row>
    <row r="99" spans="10:10" x14ac:dyDescent="0.2">
      <c r="J99" s="11"/>
    </row>
    <row r="100" spans="10:10" x14ac:dyDescent="0.2">
      <c r="J100" s="11"/>
    </row>
    <row r="102" spans="10:10" x14ac:dyDescent="0.2">
      <c r="J102" s="11"/>
    </row>
    <row r="103" spans="10:10" x14ac:dyDescent="0.2">
      <c r="J103" s="11"/>
    </row>
    <row r="104" spans="10:10" x14ac:dyDescent="0.2">
      <c r="J104" s="11"/>
    </row>
    <row r="105" spans="10:10" x14ac:dyDescent="0.2">
      <c r="J105" s="11"/>
    </row>
    <row r="106" spans="10:10" x14ac:dyDescent="0.2">
      <c r="J106" s="11"/>
    </row>
    <row r="107" spans="10:10" x14ac:dyDescent="0.2">
      <c r="J107" s="11"/>
    </row>
    <row r="108" spans="10:10" x14ac:dyDescent="0.2">
      <c r="J108" s="11"/>
    </row>
    <row r="109" spans="10:10" x14ac:dyDescent="0.2">
      <c r="J109" s="11"/>
    </row>
    <row r="110" spans="10:10" x14ac:dyDescent="0.2">
      <c r="J110" s="11"/>
    </row>
    <row r="112" spans="10:10" x14ac:dyDescent="0.2">
      <c r="J112" s="11"/>
    </row>
    <row r="113" spans="2:14" x14ac:dyDescent="0.2">
      <c r="J113" s="11"/>
    </row>
    <row r="117" spans="2:14" x14ac:dyDescent="0.2">
      <c r="B117"/>
      <c r="L117" s="11"/>
    </row>
    <row r="118" spans="2:14" x14ac:dyDescent="0.2">
      <c r="L118" s="11"/>
    </row>
    <row r="119" spans="2:14" x14ac:dyDescent="0.2">
      <c r="B119"/>
    </row>
    <row r="120" spans="2:14" x14ac:dyDescent="0.2">
      <c r="B120" s="14"/>
      <c r="E120" s="14"/>
      <c r="H120" s="14"/>
      <c r="J120" s="11"/>
      <c r="N120" s="14"/>
    </row>
    <row r="121" spans="2:14" x14ac:dyDescent="0.2">
      <c r="B121"/>
      <c r="J121" s="11"/>
    </row>
    <row r="122" spans="2:14" x14ac:dyDescent="0.2">
      <c r="B122"/>
      <c r="J122" s="11"/>
    </row>
    <row r="127" spans="2:14" x14ac:dyDescent="0.2">
      <c r="C127" s="2"/>
      <c r="J127" s="11"/>
    </row>
    <row r="128" spans="2:14" x14ac:dyDescent="0.2">
      <c r="C128" s="2"/>
      <c r="J128" s="11"/>
    </row>
    <row r="129" spans="2:10" x14ac:dyDescent="0.2">
      <c r="C129" s="2"/>
      <c r="J129" s="11"/>
    </row>
    <row r="130" spans="2:10" x14ac:dyDescent="0.2">
      <c r="C130" s="2"/>
      <c r="J130" s="11"/>
    </row>
    <row r="131" spans="2:10" x14ac:dyDescent="0.2">
      <c r="C131" s="2"/>
      <c r="J131" s="11"/>
    </row>
    <row r="132" spans="2:10" x14ac:dyDescent="0.2">
      <c r="B132"/>
      <c r="J132" s="11"/>
    </row>
    <row r="135" spans="2:10" x14ac:dyDescent="0.2">
      <c r="C135" s="2"/>
      <c r="J135" s="11"/>
    </row>
    <row r="136" spans="2:10" x14ac:dyDescent="0.2">
      <c r="C136" s="2"/>
      <c r="J136" s="11"/>
    </row>
    <row r="137" spans="2:10" x14ac:dyDescent="0.2">
      <c r="C137" s="2"/>
      <c r="J137" s="11"/>
    </row>
    <row r="138" spans="2:10" x14ac:dyDescent="0.2">
      <c r="C138" s="2"/>
      <c r="J138" s="11"/>
    </row>
    <row r="139" spans="2:10" x14ac:dyDescent="0.2">
      <c r="C139" s="2"/>
      <c r="J139" s="11"/>
    </row>
    <row r="140" spans="2:10" x14ac:dyDescent="0.2">
      <c r="C140" s="2"/>
      <c r="J140" s="11"/>
    </row>
    <row r="141" spans="2:10" x14ac:dyDescent="0.2">
      <c r="C141" s="2"/>
      <c r="J141" s="11"/>
    </row>
    <row r="142" spans="2:10" x14ac:dyDescent="0.2">
      <c r="C142" s="2"/>
      <c r="J142" s="11"/>
    </row>
    <row r="145" spans="10:10" x14ac:dyDescent="0.2">
      <c r="J145" s="11"/>
    </row>
  </sheetData>
  <phoneticPr fontId="6" type="noConversion"/>
  <conditionalFormatting sqref="B11:B151">
    <cfRule type="containsText" dxfId="1" priority="1" operator="containsText" text="MAX">
      <formula>NOT(ISERROR(SEARCH("MAX",B11)))</formula>
    </cfRule>
  </conditionalFormatting>
  <pageMargins left="0.7" right="0.7" top="0.75" bottom="0.75" header="0.3" footer="0.3"/>
  <pageSetup paperSize="9" orientation="portrait" horizontalDpi="203" verticalDpi="203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61C469-E623-4869-B8C2-783385AA3F86}">
  <sheetPr codeName="Sheet5">
    <tabColor rgb="FFFFC000"/>
  </sheetPr>
  <dimension ref="A1:Q107"/>
  <sheetViews>
    <sheetView zoomScale="85" zoomScaleNormal="85" workbookViewId="0">
      <pane xSplit="1" ySplit="10" topLeftCell="B22" activePane="bottomRight" state="frozen"/>
      <selection pane="topRight" activeCell="B1" sqref="B1"/>
      <selection pane="bottomLeft" activeCell="A11" sqref="A11"/>
      <selection pane="bottomRight" activeCell="C63" sqref="C63"/>
    </sheetView>
  </sheetViews>
  <sheetFormatPr defaultRowHeight="14.25" outlineLevelCol="1" x14ac:dyDescent="0.2"/>
  <cols>
    <col min="1" max="1" width="11" bestFit="1" customWidth="1"/>
    <col min="2" max="2" width="22.5" style="22" bestFit="1" customWidth="1"/>
    <col min="3" max="3" width="34.375" customWidth="1" outlineLevel="1"/>
    <col min="4" max="4" width="25.875" customWidth="1" outlineLevel="1"/>
    <col min="5" max="5" width="7.25" customWidth="1" outlineLevel="1"/>
    <col min="6" max="8" width="17.625" bestFit="1" customWidth="1"/>
    <col min="9" max="11" width="20.625" bestFit="1" customWidth="1"/>
    <col min="12" max="12" width="22.5" customWidth="1"/>
    <col min="13" max="13" width="29.125" bestFit="1" customWidth="1"/>
    <col min="14" max="14" width="26.25" customWidth="1"/>
    <col min="15" max="17" width="24.125" customWidth="1"/>
    <col min="18" max="18" width="17.375" bestFit="1" customWidth="1"/>
  </cols>
  <sheetData>
    <row r="1" spans="1:17" x14ac:dyDescent="0.2">
      <c r="A1" t="s">
        <v>188</v>
      </c>
      <c r="B1" s="22" t="s">
        <v>289</v>
      </c>
    </row>
    <row r="2" spans="1:17" x14ac:dyDescent="0.2">
      <c r="A2" t="s">
        <v>1</v>
      </c>
      <c r="B2" s="22" t="s">
        <v>189</v>
      </c>
    </row>
    <row r="3" spans="1:17" x14ac:dyDescent="0.2">
      <c r="A3" t="s">
        <v>2</v>
      </c>
      <c r="B3" s="22" t="s">
        <v>190</v>
      </c>
    </row>
    <row r="4" spans="1:17" x14ac:dyDescent="0.2">
      <c r="A4" t="s">
        <v>3</v>
      </c>
      <c r="B4" s="22" t="s">
        <v>4</v>
      </c>
    </row>
    <row r="5" spans="1:17" x14ac:dyDescent="0.2">
      <c r="A5" t="s">
        <v>5</v>
      </c>
      <c r="B5" s="23" t="s">
        <v>191</v>
      </c>
    </row>
    <row r="6" spans="1:17" ht="15" thickBot="1" x14ac:dyDescent="0.25"/>
    <row r="7" spans="1:17" ht="19.5" customHeight="1" thickTop="1" x14ac:dyDescent="0.2">
      <c r="F7" s="26" t="s">
        <v>192</v>
      </c>
      <c r="G7" s="27"/>
      <c r="H7" s="28"/>
      <c r="I7" s="38" t="s">
        <v>193</v>
      </c>
      <c r="J7" s="39"/>
      <c r="K7" s="39"/>
      <c r="L7" s="40"/>
      <c r="M7" s="32" t="s">
        <v>194</v>
      </c>
      <c r="N7" s="33"/>
      <c r="O7" s="36" t="s">
        <v>195</v>
      </c>
      <c r="P7" s="36" t="s">
        <v>280</v>
      </c>
      <c r="Q7" s="36" t="s">
        <v>206</v>
      </c>
    </row>
    <row r="8" spans="1:17" ht="19.5" customHeight="1" thickBot="1" x14ac:dyDescent="0.25">
      <c r="F8" s="29"/>
      <c r="G8" s="30"/>
      <c r="H8" s="31"/>
      <c r="I8" s="38"/>
      <c r="J8" s="39"/>
      <c r="K8" s="39"/>
      <c r="L8" s="40"/>
      <c r="M8" s="34"/>
      <c r="N8" s="35"/>
      <c r="O8" s="37"/>
      <c r="P8" s="37"/>
      <c r="Q8" s="37"/>
    </row>
    <row r="9" spans="1:17" ht="15.75" thickTop="1" thickBot="1" x14ac:dyDescent="0.25"/>
    <row r="10" spans="1:17" ht="61.5" customHeight="1" thickTop="1" thickBot="1" x14ac:dyDescent="0.25">
      <c r="B10" s="21" t="s">
        <v>16</v>
      </c>
      <c r="C10" s="17" t="s">
        <v>264</v>
      </c>
      <c r="D10" s="17" t="s">
        <v>265</v>
      </c>
      <c r="E10" s="17" t="s">
        <v>195</v>
      </c>
      <c r="F10" s="18" t="s">
        <v>18</v>
      </c>
      <c r="G10" s="19" t="s">
        <v>196</v>
      </c>
      <c r="H10" s="19" t="s">
        <v>197</v>
      </c>
      <c r="I10" s="19" t="s">
        <v>198</v>
      </c>
      <c r="J10" s="19" t="s">
        <v>199</v>
      </c>
      <c r="K10" s="19" t="s">
        <v>200</v>
      </c>
      <c r="L10" s="19" t="s">
        <v>290</v>
      </c>
      <c r="M10" s="10" t="s">
        <v>201</v>
      </c>
      <c r="N10" s="10" t="s">
        <v>202</v>
      </c>
      <c r="O10" s="10" t="s">
        <v>203</v>
      </c>
      <c r="P10" s="10" t="s">
        <v>30</v>
      </c>
      <c r="Q10" s="10" t="s">
        <v>281</v>
      </c>
    </row>
    <row r="11" spans="1:17" ht="15" thickTop="1" x14ac:dyDescent="0.2">
      <c r="F11" t="str">
        <f>IF(表1_53[[#This Row],[配件1]]&lt;&gt;"",_xlfn.XLOOKUP(表1_53[[#This Row],[配件1]],显卡利益点对照表[型号],显卡利益点对照表[标题1],"ERROR"),"")</f>
        <v/>
      </c>
      <c r="G11" t="str">
        <f>IF(表1_53[[#This Row],[配件1]]&lt;&gt;"",_xlfn.XLOOKUP(表1_53[[#This Row],[配件1]],显卡利益点对照表[型号],显卡利益点对照表[标题2],"ERROR"),"")</f>
        <v/>
      </c>
      <c r="H11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11" t="str">
        <f>IF(表1_53[[#This Row],[配件1]]&lt;&gt;"",_xlfn.XLOOKUP(表1_53[[#This Row],[配件1]],显卡利益点对照表[型号],显卡利益点对照表[利益点1],"ERROR"),"")</f>
        <v/>
      </c>
      <c r="J11" t="str">
        <f>IF(表1_53[[#This Row],[配件1]]&lt;&gt;"",_xlfn.XLOOKUP(表1_53[[#This Row],[配件1]],显卡利益点对照表[型号],显卡利益点对照表[利益点2],"ERROR"),"")</f>
        <v/>
      </c>
      <c r="K11" t="str">
        <f>IF(表1_53[[#This Row],[配件1]]&lt;&gt;"",_xlfn.XLOOKUP(表1_53[[#This Row],[配件1]],显卡利益点对照表[型号],显卡利益点对照表[利益点3],"ERROR"),"")</f>
        <v/>
      </c>
      <c r="L11" t="str">
        <f>IF(表1_53[[#This Row],[配件1]]&lt;&gt;"",_xlfn.XLOOKUP(表1_53[[#This Row],[配件1]],显卡利益点对照表[型号],显卡利益点对照表[算力],"ERROR"),"")</f>
        <v/>
      </c>
      <c r="M11" t="str">
        <f>IF(表1_53[[#This Row],[配件1]]&lt;&gt;"",_xlfn.XLOOKUP(表1_53[[#This Row],[配件1]],显卡利益点对照表[型号],显卡利益点对照表[可显性],"ERROR"),"")</f>
        <v/>
      </c>
      <c r="N11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11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/>
      </c>
      <c r="Q11" t="str" cm="1">
        <f t="array" ref="Q11">_xlfn.IFS(表1_53[[#This Row],[配件1]]="","",表1_53[[#This Row],[文本丨算力丨算力值]]=0,"",表1_53[[#This Row],[文本丨算力丨算力值]]&lt;&gt;"","算力")</f>
        <v/>
      </c>
    </row>
    <row r="12" spans="1:17" x14ac:dyDescent="0.2">
      <c r="B12" s="22" t="s">
        <v>525</v>
      </c>
      <c r="C12" t="s">
        <v>525</v>
      </c>
      <c r="D12" t="s">
        <v>489</v>
      </c>
      <c r="F12" t="str">
        <f>IF(表1_53[[#This Row],[配件1]]&lt;&gt;"",_xlfn.XLOOKUP(表1_53[[#This Row],[配件1]],显卡利益点对照表[型号],显卡利益点对照表[标题1],"ERROR"),"")</f>
        <v>RTX5050</v>
      </c>
      <c r="G12" t="str">
        <f>IF(表1_53[[#This Row],[配件1]]&lt;&gt;"",_xlfn.XLOOKUP(表1_53[[#This Row],[配件1]],显卡利益点对照表[型号],显卡利益点对照表[标题2],"ERROR"),"")</f>
        <v>半高 8G</v>
      </c>
      <c r="H12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Low Profile</v>
      </c>
      <c r="I12" t="str">
        <f>IF(表1_53[[#This Row],[配件1]]&lt;&gt;"",_xlfn.XLOOKUP(表1_53[[#This Row],[配件1]],显卡利益点对照表[型号],显卡利益点对照表[利益点1],"ERROR"),"")</f>
        <v>石墨烯润滑油</v>
      </c>
      <c r="J12" t="str">
        <f>IF(表1_53[[#This Row],[配件1]]&lt;&gt;"",_xlfn.XLOOKUP(表1_53[[#This Row],[配件1]],显卡利益点对照表[型号],显卡利益点对照表[利益点2],"ERROR"),"")</f>
        <v>精巧半高卡设计丨25</v>
      </c>
      <c r="K12" t="str">
        <f>IF(表1_53[[#This Row],[配件1]]&lt;&gt;"",_xlfn.XLOOKUP(表1_53[[#This Row],[配件1]],显卡利益点对照表[型号],显卡利益点对照表[利益点3],"ERROR"),"")</f>
        <v>仿生降噪风扇</v>
      </c>
      <c r="L12" t="str">
        <f>IF(表1_53[[#This Row],[配件1]]&lt;&gt;"",_xlfn.XLOOKUP(表1_53[[#This Row],[配件1]],显卡利益点对照表[型号],显卡利益点对照表[算力],"ERROR"),"")</f>
        <v>AI算力421 TOPS</v>
      </c>
      <c r="M12" t="str">
        <f>IF(表1_53[[#This Row],[配件1]]&lt;&gt;"",_xlfn.XLOOKUP(表1_53[[#This Row],[配件1]],显卡利益点对照表[型号],显卡利益点对照表[可显性],"ERROR"),"")</f>
        <v>GV-N5050OC-8GL</v>
      </c>
      <c r="N12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12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12" t="str" cm="1">
        <f t="array" ref="Q12">_xlfn.IFS(表1_53[[#This Row],[配件1]]="","",表1_53[[#This Row],[文本丨算力丨算力值]]=0,"",表1_53[[#This Row],[文本丨算力丨算力值]]&lt;&gt;"","算力")</f>
        <v>算力</v>
      </c>
    </row>
    <row r="13" spans="1:17" x14ac:dyDescent="0.2">
      <c r="B13" s="22" t="s">
        <v>528</v>
      </c>
      <c r="C13" t="s">
        <v>525</v>
      </c>
      <c r="D13" t="s">
        <v>490</v>
      </c>
      <c r="F13" t="str">
        <f>IF(表1_53[[#This Row],[配件1]]&lt;&gt;"",_xlfn.XLOOKUP(表1_53[[#This Row],[配件1]],显卡利益点对照表[型号],显卡利益点对照表[标题1],"ERROR"),"")</f>
        <v>RTX5050</v>
      </c>
      <c r="G13" t="str">
        <f>IF(表1_53[[#This Row],[配件1]]&lt;&gt;"",_xlfn.XLOOKUP(表1_53[[#This Row],[配件1]],显卡利益点对照表[型号],显卡利益点对照表[标题2],"ERROR"),"")</f>
        <v>半高 8G</v>
      </c>
      <c r="H13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+550W电源</v>
      </c>
      <c r="I13" t="str">
        <f>IF(表1_53[[#This Row],[配件1]]&lt;&gt;"",_xlfn.XLOOKUP(表1_53[[#This Row],[配件1]],显卡利益点对照表[型号],显卡利益点对照表[利益点1],"ERROR"),"")</f>
        <v>石墨烯润滑油</v>
      </c>
      <c r="J13" t="str">
        <f>IF(表1_53[[#This Row],[配件1]]&lt;&gt;"",_xlfn.XLOOKUP(表1_53[[#This Row],[配件1]],显卡利益点对照表[型号],显卡利益点对照表[利益点2],"ERROR"),"")</f>
        <v>精巧半高卡设计丨25</v>
      </c>
      <c r="K13" t="str">
        <f>IF(表1_53[[#This Row],[配件1]]&lt;&gt;"",_xlfn.XLOOKUP(表1_53[[#This Row],[配件1]],显卡利益点对照表[型号],显卡利益点对照表[利益点3],"ERROR"),"")</f>
        <v>仿生降噪风扇</v>
      </c>
      <c r="L13" t="str">
        <f>IF(表1_53[[#This Row],[配件1]]&lt;&gt;"",_xlfn.XLOOKUP(表1_53[[#This Row],[配件1]],显卡利益点对照表[型号],显卡利益点对照表[算力],"ERROR"),"")</f>
        <v>AI算力421 TOPS</v>
      </c>
      <c r="M13" t="str">
        <f>IF(表1_53[[#This Row],[配件1]]&lt;&gt;"",_xlfn.XLOOKUP(表1_53[[#This Row],[配件1]],显卡利益点对照表[型号],显卡利益点对照表[可显性],"ERROR"),"")</f>
        <v>GV-N5050OC-8GL</v>
      </c>
      <c r="N13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斗战550S</v>
      </c>
      <c r="O13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13" t="str" cm="1">
        <f t="array" ref="Q13">_xlfn.IFS(表1_53[[#This Row],[配件1]]="","",表1_53[[#This Row],[文本丨算力丨算力值]]=0,"",表1_53[[#This Row],[文本丨算力丨算力值]]&lt;&gt;"","算力")</f>
        <v>算力</v>
      </c>
    </row>
    <row r="14" spans="1:17" x14ac:dyDescent="0.2">
      <c r="B14" s="22" t="s">
        <v>526</v>
      </c>
      <c r="C14" t="s">
        <v>526</v>
      </c>
      <c r="D14" t="s">
        <v>489</v>
      </c>
      <c r="F14" t="str">
        <f>IF(表1_53[[#This Row],[配件1]]&lt;&gt;"",_xlfn.XLOOKUP(表1_53[[#This Row],[配件1]],显卡利益点对照表[型号],显卡利益点对照表[标题1],"ERROR"),"")</f>
        <v>RTX5050</v>
      </c>
      <c r="G14" t="str">
        <f>IF(表1_53[[#This Row],[配件1]]&lt;&gt;"",_xlfn.XLOOKUP(表1_53[[#This Row],[配件1]],显卡利益点对照表[型号],显卡利益点对照表[标题2],"ERROR"),"")</f>
        <v>风魔 8G</v>
      </c>
      <c r="H14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WF OC</v>
      </c>
      <c r="I14" t="str">
        <f>IF(表1_53[[#This Row],[配件1]]&lt;&gt;"",_xlfn.XLOOKUP(表1_53[[#This Row],[配件1]],显卡利益点对照表[型号],显卡利益点对照表[利益点1],"ERROR"),"")</f>
        <v>石墨烯润滑油</v>
      </c>
      <c r="J14" t="str">
        <f>IF(表1_53[[#This Row],[配件1]]&lt;&gt;"",_xlfn.XLOOKUP(表1_53[[#This Row],[配件1]],显卡利益点对照表[型号],显卡利益点对照表[利益点2],"ERROR"),"")</f>
        <v>精巧双风扇</v>
      </c>
      <c r="K14" t="str">
        <f>IF(表1_53[[#This Row],[配件1]]&lt;&gt;"",_xlfn.XLOOKUP(表1_53[[#This Row],[配件1]],显卡利益点对照表[型号],显卡利益点对照表[利益点3],"ERROR"),"")</f>
        <v>仿生降噪风扇</v>
      </c>
      <c r="L14" t="str">
        <f>IF(表1_53[[#This Row],[配件1]]&lt;&gt;"",_xlfn.XLOOKUP(表1_53[[#This Row],[配件1]],显卡利益点对照表[型号],显卡利益点对照表[算力],"ERROR"),"")</f>
        <v>AI算力421 TOPS</v>
      </c>
      <c r="M14" t="str">
        <f>IF(表1_53[[#This Row],[配件1]]&lt;&gt;"",_xlfn.XLOOKUP(表1_53[[#This Row],[配件1]],显卡利益点对照表[型号],显卡利益点对照表[可显性],"ERROR"),"")</f>
        <v>GV-N5050WF2OC-8GD</v>
      </c>
      <c r="N14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14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14" t="str" cm="1">
        <f t="array" ref="Q14">_xlfn.IFS(表1_53[[#This Row],[配件1]]="","",表1_53[[#This Row],[文本丨算力丨算力值]]=0,"",表1_53[[#This Row],[文本丨算力丨算力值]]&lt;&gt;"","算力")</f>
        <v>算力</v>
      </c>
    </row>
    <row r="15" spans="1:17" x14ac:dyDescent="0.2">
      <c r="B15" s="22" t="s">
        <v>529</v>
      </c>
      <c r="C15" t="s">
        <v>526</v>
      </c>
      <c r="D15" t="s">
        <v>490</v>
      </c>
      <c r="F15" t="str">
        <f>IF(表1_53[[#This Row],[配件1]]&lt;&gt;"",_xlfn.XLOOKUP(表1_53[[#This Row],[配件1]],显卡利益点对照表[型号],显卡利益点对照表[标题1],"ERROR"),"")</f>
        <v>RTX5050</v>
      </c>
      <c r="G15" t="str">
        <f>IF(表1_53[[#This Row],[配件1]]&lt;&gt;"",_xlfn.XLOOKUP(表1_53[[#This Row],[配件1]],显卡利益点对照表[型号],显卡利益点对照表[标题2],"ERROR"),"")</f>
        <v>风魔 8G</v>
      </c>
      <c r="H15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+550W电源</v>
      </c>
      <c r="I15" t="str">
        <f>IF(表1_53[[#This Row],[配件1]]&lt;&gt;"",_xlfn.XLOOKUP(表1_53[[#This Row],[配件1]],显卡利益点对照表[型号],显卡利益点对照表[利益点1],"ERROR"),"")</f>
        <v>石墨烯润滑油</v>
      </c>
      <c r="J15" t="str">
        <f>IF(表1_53[[#This Row],[配件1]]&lt;&gt;"",_xlfn.XLOOKUP(表1_53[[#This Row],[配件1]],显卡利益点对照表[型号],显卡利益点对照表[利益点2],"ERROR"),"")</f>
        <v>精巧双风扇</v>
      </c>
      <c r="K15" t="str">
        <f>IF(表1_53[[#This Row],[配件1]]&lt;&gt;"",_xlfn.XLOOKUP(表1_53[[#This Row],[配件1]],显卡利益点对照表[型号],显卡利益点对照表[利益点3],"ERROR"),"")</f>
        <v>仿生降噪风扇</v>
      </c>
      <c r="L15" t="str">
        <f>IF(表1_53[[#This Row],[配件1]]&lt;&gt;"",_xlfn.XLOOKUP(表1_53[[#This Row],[配件1]],显卡利益点对照表[型号],显卡利益点对照表[算力],"ERROR"),"")</f>
        <v>AI算力421 TOPS</v>
      </c>
      <c r="M15" t="str">
        <f>IF(表1_53[[#This Row],[配件1]]&lt;&gt;"",_xlfn.XLOOKUP(表1_53[[#This Row],[配件1]],显卡利益点对照表[型号],显卡利益点对照表[可显性],"ERROR"),"")</f>
        <v>GV-N5050WF2OC-8GD</v>
      </c>
      <c r="N15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斗战550S</v>
      </c>
      <c r="O15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15" t="str" cm="1">
        <f t="array" ref="Q15">_xlfn.IFS(表1_53[[#This Row],[配件1]]="","",表1_53[[#This Row],[文本丨算力丨算力值]]=0,"",表1_53[[#This Row],[文本丨算力丨算力值]]&lt;&gt;"","算力")</f>
        <v>算力</v>
      </c>
    </row>
    <row r="16" spans="1:17" x14ac:dyDescent="0.2">
      <c r="B16" s="22" t="s">
        <v>530</v>
      </c>
      <c r="C16" t="s">
        <v>527</v>
      </c>
      <c r="D16" t="s">
        <v>489</v>
      </c>
      <c r="F16" t="str">
        <f>IF(表1_53[[#This Row],[配件1]]&lt;&gt;"",_xlfn.XLOOKUP(表1_53[[#This Row],[配件1]],显卡利益点对照表[型号],显卡利益点对照表[标题1],"ERROR"),"")</f>
        <v>RTX5050</v>
      </c>
      <c r="G16" t="str">
        <f>IF(表1_53[[#This Row],[配件1]]&lt;&gt;"",_xlfn.XLOOKUP(表1_53[[#This Row],[配件1]],显卡利益点对照表[型号],显卡利益点对照表[标题2],"ERROR"),"")</f>
        <v>魔鹰 8G</v>
      </c>
      <c r="H16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GAMING  OC</v>
      </c>
      <c r="I16" t="str">
        <f>IF(表1_53[[#This Row],[配件1]]&lt;&gt;"",_xlfn.XLOOKUP(表1_53[[#This Row],[配件1]],显卡利益点对照表[型号],显卡利益点对照表[利益点1],"ERROR"),"")</f>
        <v>石墨烯润滑油</v>
      </c>
      <c r="J16" t="str">
        <f>IF(表1_53[[#This Row],[配件1]]&lt;&gt;"",_xlfn.XLOOKUP(表1_53[[#This Row],[配件1]],显卡利益点对照表[型号],显卡利益点对照表[利益点2],"ERROR"),"")</f>
        <v>3D智能启停</v>
      </c>
      <c r="K16" t="str">
        <f>IF(表1_53[[#This Row],[配件1]]&lt;&gt;"",_xlfn.XLOOKUP(表1_53[[#This Row],[配件1]],显卡利益点对照表[型号],显卡利益点对照表[利益点3],"ERROR"),"")</f>
        <v>仿生降噪风扇</v>
      </c>
      <c r="L16" t="str">
        <f>IF(表1_53[[#This Row],[配件1]]&lt;&gt;"",_xlfn.XLOOKUP(表1_53[[#This Row],[配件1]],显卡利益点对照表[型号],显卡利益点对照表[算力],"ERROR"),"")</f>
        <v>AI算力421 TOPS</v>
      </c>
      <c r="M16" t="str">
        <f>IF(表1_53[[#This Row],[配件1]]&lt;&gt;"",_xlfn.XLOOKUP(表1_53[[#This Row],[配件1]],显卡利益点对照表[型号],显卡利益点对照表[可显性],"ERROR"),"")</f>
        <v>GV-N5050GAMING OC-8GD</v>
      </c>
      <c r="N16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16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16" t="str" cm="1">
        <f t="array" ref="Q16">_xlfn.IFS(表1_53[[#This Row],[配件1]]="","",表1_53[[#This Row],[文本丨算力丨算力值]]=0,"",表1_53[[#This Row],[文本丨算力丨算力值]]&lt;&gt;"","算力")</f>
        <v>算力</v>
      </c>
    </row>
    <row r="17" spans="2:17" x14ac:dyDescent="0.2">
      <c r="B17" s="22" t="s">
        <v>531</v>
      </c>
      <c r="C17" t="s">
        <v>527</v>
      </c>
      <c r="D17" t="s">
        <v>490</v>
      </c>
      <c r="F17" t="str">
        <f>IF(表1_53[[#This Row],[配件1]]&lt;&gt;"",_xlfn.XLOOKUP(表1_53[[#This Row],[配件1]],显卡利益点对照表[型号],显卡利益点对照表[标题1],"ERROR"),"")</f>
        <v>RTX5050</v>
      </c>
      <c r="G17" t="str">
        <f>IF(表1_53[[#This Row],[配件1]]&lt;&gt;"",_xlfn.XLOOKUP(表1_53[[#This Row],[配件1]],显卡利益点对照表[型号],显卡利益点对照表[标题2],"ERROR"),"")</f>
        <v>魔鹰 8G</v>
      </c>
      <c r="H17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+550W电源</v>
      </c>
      <c r="I17" t="str">
        <f>IF(表1_53[[#This Row],[配件1]]&lt;&gt;"",_xlfn.XLOOKUP(表1_53[[#This Row],[配件1]],显卡利益点对照表[型号],显卡利益点对照表[利益点1],"ERROR"),"")</f>
        <v>石墨烯润滑油</v>
      </c>
      <c r="J17" t="str">
        <f>IF(表1_53[[#This Row],[配件1]]&lt;&gt;"",_xlfn.XLOOKUP(表1_53[[#This Row],[配件1]],显卡利益点对照表[型号],显卡利益点对照表[利益点2],"ERROR"),"")</f>
        <v>3D智能启停</v>
      </c>
      <c r="K17" t="str">
        <f>IF(表1_53[[#This Row],[配件1]]&lt;&gt;"",_xlfn.XLOOKUP(表1_53[[#This Row],[配件1]],显卡利益点对照表[型号],显卡利益点对照表[利益点3],"ERROR"),"")</f>
        <v>仿生降噪风扇</v>
      </c>
      <c r="L17" t="str">
        <f>IF(表1_53[[#This Row],[配件1]]&lt;&gt;"",_xlfn.XLOOKUP(表1_53[[#This Row],[配件1]],显卡利益点对照表[型号],显卡利益点对照表[算力],"ERROR"),"")</f>
        <v>AI算力421 TOPS</v>
      </c>
      <c r="M17" t="str">
        <f>IF(表1_53[[#This Row],[配件1]]&lt;&gt;"",_xlfn.XLOOKUP(表1_53[[#This Row],[配件1]],显卡利益点对照表[型号],显卡利益点对照表[可显性],"ERROR"),"")</f>
        <v>GV-N5050GAMING OC-8GD</v>
      </c>
      <c r="N17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斗战550S</v>
      </c>
      <c r="O17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17" t="str" cm="1">
        <f t="array" ref="Q17">_xlfn.IFS(表1_53[[#This Row],[配件1]]="","",表1_53[[#This Row],[文本丨算力丨算力值]]=0,"",表1_53[[#This Row],[文本丨算力丨算力值]]&lt;&gt;"","算力")</f>
        <v>算力</v>
      </c>
    </row>
    <row r="18" spans="2:17" x14ac:dyDescent="0.2">
      <c r="F18" t="str">
        <f>IF(表1_53[[#This Row],[配件1]]&lt;&gt;"",_xlfn.XLOOKUP(表1_53[[#This Row],[配件1]],显卡利益点对照表[型号],显卡利益点对照表[标题1],"ERROR"),"")</f>
        <v/>
      </c>
      <c r="G18" t="str">
        <f>IF(表1_53[[#This Row],[配件1]]&lt;&gt;"",_xlfn.XLOOKUP(表1_53[[#This Row],[配件1]],显卡利益点对照表[型号],显卡利益点对照表[标题2],"ERROR"),"")</f>
        <v/>
      </c>
      <c r="H18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18" t="str">
        <f>IF(表1_53[[#This Row],[配件1]]&lt;&gt;"",_xlfn.XLOOKUP(表1_53[[#This Row],[配件1]],显卡利益点对照表[型号],显卡利益点对照表[利益点1],"ERROR"),"")</f>
        <v/>
      </c>
      <c r="J18" t="str">
        <f>IF(表1_53[[#This Row],[配件1]]&lt;&gt;"",_xlfn.XLOOKUP(表1_53[[#This Row],[配件1]],显卡利益点对照表[型号],显卡利益点对照表[利益点2],"ERROR"),"")</f>
        <v/>
      </c>
      <c r="K18" t="str">
        <f>IF(表1_53[[#This Row],[配件1]]&lt;&gt;"",_xlfn.XLOOKUP(表1_53[[#This Row],[配件1]],显卡利益点对照表[型号],显卡利益点对照表[利益点3],"ERROR"),"")</f>
        <v/>
      </c>
      <c r="L18" t="str">
        <f>IF(表1_53[[#This Row],[配件1]]&lt;&gt;"",_xlfn.XLOOKUP(表1_53[[#This Row],[配件1]],显卡利益点对照表[型号],显卡利益点对照表[算力],"ERROR"),"")</f>
        <v/>
      </c>
      <c r="M18" t="str">
        <f>IF(表1_53[[#This Row],[配件1]]&lt;&gt;"",_xlfn.XLOOKUP(表1_53[[#This Row],[配件1]],显卡利益点对照表[型号],显卡利益点对照表[可显性],"ERROR"),"")</f>
        <v/>
      </c>
      <c r="N18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18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/>
      </c>
      <c r="Q18" t="str" cm="1">
        <f t="array" ref="Q18">_xlfn.IFS(表1_53[[#This Row],[配件1]]="","",表1_53[[#This Row],[文本丨算力丨算力值]]=0,"",表1_53[[#This Row],[文本丨算力丨算力值]]&lt;&gt;"","算力")</f>
        <v/>
      </c>
    </row>
    <row r="19" spans="2:17" x14ac:dyDescent="0.2">
      <c r="B19" s="22">
        <v>10079004855423</v>
      </c>
      <c r="C19" t="s">
        <v>481</v>
      </c>
      <c r="D19" t="s">
        <v>489</v>
      </c>
      <c r="F19" t="str">
        <f>IF(表1_53[[#This Row],[配件1]]&lt;&gt;"",_xlfn.XLOOKUP(表1_53[[#This Row],[配件1]],显卡利益点对照表[型号],显卡利益点对照表[标题1],"ERROR"),"")</f>
        <v>RTX5060</v>
      </c>
      <c r="G19" t="str">
        <f>IF(表1_53[[#This Row],[配件1]]&lt;&gt;"",_xlfn.XLOOKUP(表1_53[[#This Row],[配件1]],显卡利益点对照表[型号],显卡利益点对照表[标题2],"ERROR"),"")</f>
        <v>半高 8G</v>
      </c>
      <c r="H19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Low Profile</v>
      </c>
      <c r="I19" t="str">
        <f>IF(表1_53[[#This Row],[配件1]]&lt;&gt;"",_xlfn.XLOOKUP(表1_53[[#This Row],[配件1]],显卡利益点对照表[型号],显卡利益点对照表[利益点1],"ERROR"),"")</f>
        <v>铜板+复合式热管</v>
      </c>
      <c r="J19" t="str">
        <f>IF(表1_53[[#This Row],[配件1]]&lt;&gt;"",_xlfn.XLOOKUP(表1_53[[#This Row],[配件1]],显卡利益点对照表[型号],显卡利益点对照表[利益点2],"ERROR"),"")</f>
        <v>182mm半高卡设计丨25</v>
      </c>
      <c r="K19" t="str">
        <f>IF(表1_53[[#This Row],[配件1]]&lt;&gt;"",_xlfn.XLOOKUP(表1_53[[#This Row],[配件1]],显卡利益点对照表[型号],显卡利益点对照表[利益点3],"ERROR"),"")</f>
        <v>仿生降噪风扇</v>
      </c>
      <c r="L19" t="str">
        <f>IF(表1_53[[#This Row],[配件1]]&lt;&gt;"",_xlfn.XLOOKUP(表1_53[[#This Row],[配件1]],显卡利益点对照表[型号],显卡利益点对照表[算力],"ERROR"),"")</f>
        <v>AI算力614 TOPS</v>
      </c>
      <c r="M19" t="str">
        <f>IF(表1_53[[#This Row],[配件1]]&lt;&gt;"",_xlfn.XLOOKUP(表1_53[[#This Row],[配件1]],显卡利益点对照表[型号],显卡利益点对照表[可显性],"ERROR"),"")</f>
        <v>GV-N5060OC-8GL</v>
      </c>
      <c r="N19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19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19" t="str" cm="1">
        <f t="array" ref="Q19">_xlfn.IFS(表1_53[[#This Row],[配件1]]="","",表1_53[[#This Row],[文本丨算力丨算力值]]=0,"",表1_53[[#This Row],[文本丨算力丨算力值]]&lt;&gt;"","算力")</f>
        <v>算力</v>
      </c>
    </row>
    <row r="20" spans="2:17" x14ac:dyDescent="0.2">
      <c r="B20" s="22">
        <v>10079004855424</v>
      </c>
      <c r="C20" t="s">
        <v>481</v>
      </c>
      <c r="D20" t="s">
        <v>490</v>
      </c>
      <c r="F20" t="str">
        <f>IF(表1_53[[#This Row],[配件1]]&lt;&gt;"",_xlfn.XLOOKUP(表1_53[[#This Row],[配件1]],显卡利益点对照表[型号],显卡利益点对照表[标题1],"ERROR"),"")</f>
        <v>RTX5060</v>
      </c>
      <c r="G20" t="str">
        <f>IF(表1_53[[#This Row],[配件1]]&lt;&gt;"",_xlfn.XLOOKUP(表1_53[[#This Row],[配件1]],显卡利益点对照表[型号],显卡利益点对照表[标题2],"ERROR"),"")</f>
        <v>半高 8G</v>
      </c>
      <c r="H20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+550W电源</v>
      </c>
      <c r="I20" t="str">
        <f>IF(表1_53[[#This Row],[配件1]]&lt;&gt;"",_xlfn.XLOOKUP(表1_53[[#This Row],[配件1]],显卡利益点对照表[型号],显卡利益点对照表[利益点1],"ERROR"),"")</f>
        <v>铜板+复合式热管</v>
      </c>
      <c r="J20" t="str">
        <f>IF(表1_53[[#This Row],[配件1]]&lt;&gt;"",_xlfn.XLOOKUP(表1_53[[#This Row],[配件1]],显卡利益点对照表[型号],显卡利益点对照表[利益点2],"ERROR"),"")</f>
        <v>182mm半高卡设计丨25</v>
      </c>
      <c r="K20" t="str">
        <f>IF(表1_53[[#This Row],[配件1]]&lt;&gt;"",_xlfn.XLOOKUP(表1_53[[#This Row],[配件1]],显卡利益点对照表[型号],显卡利益点对照表[利益点3],"ERROR"),"")</f>
        <v>仿生降噪风扇</v>
      </c>
      <c r="L20" t="str">
        <f>IF(表1_53[[#This Row],[配件1]]&lt;&gt;"",_xlfn.XLOOKUP(表1_53[[#This Row],[配件1]],显卡利益点对照表[型号],显卡利益点对照表[算力],"ERROR"),"")</f>
        <v>AI算力614 TOPS</v>
      </c>
      <c r="M20" t="str">
        <f>IF(表1_53[[#This Row],[配件1]]&lt;&gt;"",_xlfn.XLOOKUP(表1_53[[#This Row],[配件1]],显卡利益点对照表[型号],显卡利益点对照表[可显性],"ERROR"),"")</f>
        <v>GV-N5060OC-8GL</v>
      </c>
      <c r="N20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斗战550S</v>
      </c>
      <c r="O20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20" t="str" cm="1">
        <f t="array" ref="Q20">_xlfn.IFS(表1_53[[#This Row],[配件1]]="","",表1_53[[#This Row],[文本丨算力丨算力值]]=0,"",表1_53[[#This Row],[文本丨算力丨算力值]]&lt;&gt;"","算力")</f>
        <v>算力</v>
      </c>
    </row>
    <row r="21" spans="2:17" x14ac:dyDescent="0.2">
      <c r="B21" s="22">
        <v>10155071515452</v>
      </c>
      <c r="C21" s="42" t="s">
        <v>568</v>
      </c>
      <c r="D21" t="s">
        <v>489</v>
      </c>
      <c r="F21" t="str">
        <f>IF(表1_53[[#This Row],[配件1]]&lt;&gt;"",_xlfn.XLOOKUP(表1_53[[#This Row],[配件1]],显卡利益点对照表[型号],显卡利益点对照表[标题1],"ERROR"),"")</f>
        <v>RTX5060</v>
      </c>
      <c r="G21" t="str">
        <f>IF(表1_53[[#This Row],[配件1]]&lt;&gt;"",_xlfn.XLOOKUP(表1_53[[#This Row],[配件1]],显卡利益点对照表[型号],显卡利益点对照表[标题2],"ERROR"),"")</f>
        <v>风魔 8G</v>
      </c>
      <c r="H21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WF2 MAX OC</v>
      </c>
      <c r="I21" t="str">
        <f>IF(表1_53[[#This Row],[配件1]]&lt;&gt;"",_xlfn.XLOOKUP(表1_53[[#This Row],[配件1]],显卡利益点对照表[型号],显卡利益点对照表[利益点1],"ERROR"),"")</f>
        <v>铜板+复合式热管</v>
      </c>
      <c r="J21" t="str">
        <f>IF(表1_53[[#This Row],[配件1]]&lt;&gt;"",_xlfn.XLOOKUP(表1_53[[#This Row],[配件1]],显卡利益点对照表[型号],显卡利益点对照表[利益点2],"ERROR"),"")</f>
        <v>精巧双风扇</v>
      </c>
      <c r="K21" t="str">
        <f>IF(表1_53[[#This Row],[配件1]]&lt;&gt;"",_xlfn.XLOOKUP(表1_53[[#This Row],[配件1]],显卡利益点对照表[型号],显卡利益点对照表[利益点3],"ERROR"),"")</f>
        <v>仿生降噪风扇</v>
      </c>
      <c r="L21" t="str">
        <f>IF(表1_53[[#This Row],[配件1]]&lt;&gt;"",_xlfn.XLOOKUP(表1_53[[#This Row],[配件1]],显卡利益点对照表[型号],显卡利益点对照表[算力],"ERROR"),"")</f>
        <v>AI算力614 TOPS</v>
      </c>
      <c r="M21" t="str">
        <f>IF(表1_53[[#This Row],[配件1]]&lt;&gt;"",_xlfn.XLOOKUP(表1_53[[#This Row],[配件1]],显卡利益点对照表[型号],显卡利益点对照表[可显性],"ERROR"),"")</f>
        <v>GV-N5060WF2MAX OC-8GD</v>
      </c>
      <c r="N21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21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21" t="str" cm="1">
        <f t="array" ref="Q21">_xlfn.IFS(表1_53[[#This Row],[配件1]]="","",表1_53[[#This Row],[文本丨算力丨算力值]]=0,"",表1_53[[#This Row],[文本丨算力丨算力值]]&lt;&gt;"","算力")</f>
        <v>算力</v>
      </c>
    </row>
    <row r="22" spans="2:17" x14ac:dyDescent="0.2">
      <c r="B22" s="22">
        <v>10156669859368</v>
      </c>
      <c r="C22" s="42" t="s">
        <v>568</v>
      </c>
      <c r="D22" t="s">
        <v>490</v>
      </c>
      <c r="F22" t="str">
        <f>IF(表1_53[[#This Row],[配件1]]&lt;&gt;"",_xlfn.XLOOKUP(表1_53[[#This Row],[配件1]],显卡利益点对照表[型号],显卡利益点对照表[标题1],"ERROR"),"")</f>
        <v>RTX5060</v>
      </c>
      <c r="G22" t="str">
        <f>IF(表1_53[[#This Row],[配件1]]&lt;&gt;"",_xlfn.XLOOKUP(表1_53[[#This Row],[配件1]],显卡利益点对照表[型号],显卡利益点对照表[标题2],"ERROR"),"")</f>
        <v>风魔 8G</v>
      </c>
      <c r="H22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+550W电源</v>
      </c>
      <c r="I22" t="str">
        <f>IF(表1_53[[#This Row],[配件1]]&lt;&gt;"",_xlfn.XLOOKUP(表1_53[[#This Row],[配件1]],显卡利益点对照表[型号],显卡利益点对照表[利益点1],"ERROR"),"")</f>
        <v>铜板+复合式热管</v>
      </c>
      <c r="J22" t="str">
        <f>IF(表1_53[[#This Row],[配件1]]&lt;&gt;"",_xlfn.XLOOKUP(表1_53[[#This Row],[配件1]],显卡利益点对照表[型号],显卡利益点对照表[利益点2],"ERROR"),"")</f>
        <v>精巧双风扇</v>
      </c>
      <c r="K22" t="str">
        <f>IF(表1_53[[#This Row],[配件1]]&lt;&gt;"",_xlfn.XLOOKUP(表1_53[[#This Row],[配件1]],显卡利益点对照表[型号],显卡利益点对照表[利益点3],"ERROR"),"")</f>
        <v>仿生降噪风扇</v>
      </c>
      <c r="L22" t="str">
        <f>IF(表1_53[[#This Row],[配件1]]&lt;&gt;"",_xlfn.XLOOKUP(表1_53[[#This Row],[配件1]],显卡利益点对照表[型号],显卡利益点对照表[算力],"ERROR"),"")</f>
        <v>AI算力614 TOPS</v>
      </c>
      <c r="M22" t="str">
        <f>IF(表1_53[[#This Row],[配件1]]&lt;&gt;"",_xlfn.XLOOKUP(表1_53[[#This Row],[配件1]],显卡利益点对照表[型号],显卡利益点对照表[可显性],"ERROR"),"")</f>
        <v>GV-N5060WF2MAX OC-8GD</v>
      </c>
      <c r="N22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斗战550S</v>
      </c>
      <c r="O22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22" t="str" cm="1">
        <f t="array" ref="Q22">_xlfn.IFS(表1_53[[#This Row],[配件1]]="","",表1_53[[#This Row],[文本丨算力丨算力值]]=0,"",表1_53[[#This Row],[文本丨算力丨算力值]]&lt;&gt;"","算力")</f>
        <v>算力</v>
      </c>
    </row>
    <row r="23" spans="2:17" x14ac:dyDescent="0.2">
      <c r="B23" s="22">
        <v>10079005338526</v>
      </c>
      <c r="C23" t="s">
        <v>483</v>
      </c>
      <c r="D23" t="s">
        <v>489</v>
      </c>
      <c r="F23" t="str">
        <f>IF(表1_53[[#This Row],[配件1]]&lt;&gt;"",_xlfn.XLOOKUP(表1_53[[#This Row],[配件1]],显卡利益点对照表[型号],显卡利益点对照表[标题1],"ERROR"),"")</f>
        <v>RTX5060</v>
      </c>
      <c r="G23" t="str">
        <f>IF(表1_53[[#This Row],[配件1]]&lt;&gt;"",_xlfn.XLOOKUP(表1_53[[#This Row],[配件1]],显卡利益点对照表[型号],显卡利益点对照表[标题2],"ERROR"),"")</f>
        <v>猎鹰 8G</v>
      </c>
      <c r="H23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EAGLE OC</v>
      </c>
      <c r="I23" t="str">
        <f>IF(表1_53[[#This Row],[配件1]]&lt;&gt;"",_xlfn.XLOOKUP(表1_53[[#This Row],[配件1]],显卡利益点对照表[型号],显卡利益点对照表[利益点1],"ERROR"),"")</f>
        <v>铜板+复合式热管</v>
      </c>
      <c r="J23" t="str">
        <f>IF(表1_53[[#This Row],[配件1]]&lt;&gt;"",_xlfn.XLOOKUP(表1_53[[#This Row],[配件1]],显卡利益点对照表[型号],显卡利益点对照表[利益点2],"ERROR"),"")</f>
        <v>精巧双风扇</v>
      </c>
      <c r="K23" t="str">
        <f>IF(表1_53[[#This Row],[配件1]]&lt;&gt;"",_xlfn.XLOOKUP(表1_53[[#This Row],[配件1]],显卡利益点对照表[型号],显卡利益点对照表[利益点3],"ERROR"),"")</f>
        <v>仿生降噪风扇</v>
      </c>
      <c r="L23" t="str">
        <f>IF(表1_53[[#This Row],[配件1]]&lt;&gt;"",_xlfn.XLOOKUP(表1_53[[#This Row],[配件1]],显卡利益点对照表[型号],显卡利益点对照表[算力],"ERROR"),"")</f>
        <v>AI算力614 TOPS</v>
      </c>
      <c r="M23" t="str">
        <f>IF(表1_53[[#This Row],[配件1]]&lt;&gt;"",_xlfn.XLOOKUP(表1_53[[#This Row],[配件1]],显卡利益点对照表[型号],显卡利益点对照表[可显性],"ERROR"),"")</f>
        <v>GV-N5060EAGLE OC-8GD</v>
      </c>
      <c r="N23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23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23" t="str" cm="1">
        <f t="array" ref="Q23">_xlfn.IFS(表1_53[[#This Row],[配件1]]="","",表1_53[[#This Row],[文本丨算力丨算力值]]=0,"",表1_53[[#This Row],[文本丨算力丨算力值]]&lt;&gt;"","算力")</f>
        <v>算力</v>
      </c>
    </row>
    <row r="24" spans="2:17" x14ac:dyDescent="0.2">
      <c r="B24" s="22">
        <v>10079005338527</v>
      </c>
      <c r="C24" t="s">
        <v>483</v>
      </c>
      <c r="D24" t="s">
        <v>490</v>
      </c>
      <c r="F24" t="str">
        <f>IF(表1_53[[#This Row],[配件1]]&lt;&gt;"",_xlfn.XLOOKUP(表1_53[[#This Row],[配件1]],显卡利益点对照表[型号],显卡利益点对照表[标题1],"ERROR"),"")</f>
        <v>RTX5060</v>
      </c>
      <c r="G24" t="str">
        <f>IF(表1_53[[#This Row],[配件1]]&lt;&gt;"",_xlfn.XLOOKUP(表1_53[[#This Row],[配件1]],显卡利益点对照表[型号],显卡利益点对照表[标题2],"ERROR"),"")</f>
        <v>猎鹰 8G</v>
      </c>
      <c r="H24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+550W电源</v>
      </c>
      <c r="I24" t="str">
        <f>IF(表1_53[[#This Row],[配件1]]&lt;&gt;"",_xlfn.XLOOKUP(表1_53[[#This Row],[配件1]],显卡利益点对照表[型号],显卡利益点对照表[利益点1],"ERROR"),"")</f>
        <v>铜板+复合式热管</v>
      </c>
      <c r="J24" t="str">
        <f>IF(表1_53[[#This Row],[配件1]]&lt;&gt;"",_xlfn.XLOOKUP(表1_53[[#This Row],[配件1]],显卡利益点对照表[型号],显卡利益点对照表[利益点2],"ERROR"),"")</f>
        <v>精巧双风扇</v>
      </c>
      <c r="K24" t="str">
        <f>IF(表1_53[[#This Row],[配件1]]&lt;&gt;"",_xlfn.XLOOKUP(表1_53[[#This Row],[配件1]],显卡利益点对照表[型号],显卡利益点对照表[利益点3],"ERROR"),"")</f>
        <v>仿生降噪风扇</v>
      </c>
      <c r="L24" t="str">
        <f>IF(表1_53[[#This Row],[配件1]]&lt;&gt;"",_xlfn.XLOOKUP(表1_53[[#This Row],[配件1]],显卡利益点对照表[型号],显卡利益点对照表[算力],"ERROR"),"")</f>
        <v>AI算力614 TOPS</v>
      </c>
      <c r="M24" t="str">
        <f>IF(表1_53[[#This Row],[配件1]]&lt;&gt;"",_xlfn.XLOOKUP(表1_53[[#This Row],[配件1]],显卡利益点对照表[型号],显卡利益点对照表[可显性],"ERROR"),"")</f>
        <v>GV-N5060EAGLE OC-8GD</v>
      </c>
      <c r="N24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斗战550S</v>
      </c>
      <c r="O24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24" t="str" cm="1">
        <f t="array" ref="Q24">_xlfn.IFS(表1_53[[#This Row],[配件1]]="","",表1_53[[#This Row],[文本丨算力丨算力值]]=0,"",表1_53[[#This Row],[文本丨算力丨算力值]]&lt;&gt;"","算力")</f>
        <v>算力</v>
      </c>
    </row>
    <row r="25" spans="2:17" x14ac:dyDescent="0.2">
      <c r="B25" s="22">
        <v>10164253233946</v>
      </c>
      <c r="C25" s="42" t="s">
        <v>569</v>
      </c>
      <c r="D25" t="s">
        <v>489</v>
      </c>
      <c r="F25" t="str">
        <f>IF(表1_53[[#This Row],[配件1]]&lt;&gt;"",_xlfn.XLOOKUP(表1_53[[#This Row],[配件1]],显卡利益点对照表[型号],显卡利益点对照表[标题1],"ERROR"),"")</f>
        <v>RTX5060</v>
      </c>
      <c r="G25" t="str">
        <f>IF(表1_53[[#This Row],[配件1]]&lt;&gt;"",_xlfn.XLOOKUP(表1_53[[#This Row],[配件1]],显卡利益点对照表[型号],显卡利益点对照表[标题2],"ERROR"),"")</f>
        <v>猎鹰 8G</v>
      </c>
      <c r="H25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EAGLE MAX</v>
      </c>
      <c r="I25" t="str">
        <f>IF(表1_53[[#This Row],[配件1]]&lt;&gt;"",_xlfn.XLOOKUP(表1_53[[#This Row],[配件1]],显卡利益点对照表[型号],显卡利益点对照表[利益点1],"ERROR"),"")</f>
        <v>铜板+复合式热管</v>
      </c>
      <c r="J25" t="str">
        <f>IF(表1_53[[#This Row],[配件1]]&lt;&gt;"",_xlfn.XLOOKUP(表1_53[[#This Row],[配件1]],显卡利益点对照表[型号],显卡利益点对照表[利益点2],"ERROR"),"")</f>
        <v>正逆转三风扇</v>
      </c>
      <c r="K25" t="str">
        <f>IF(表1_53[[#This Row],[配件1]]&lt;&gt;"",_xlfn.XLOOKUP(表1_53[[#This Row],[配件1]],显卡利益点对照表[型号],显卡利益点对照表[利益点3],"ERROR"),"")</f>
        <v>仿生降噪风扇</v>
      </c>
      <c r="L25" t="str">
        <f>IF(表1_53[[#This Row],[配件1]]&lt;&gt;"",_xlfn.XLOOKUP(表1_53[[#This Row],[配件1]],显卡利益点对照表[型号],显卡利益点对照表[算力],"ERROR"),"")</f>
        <v>AI算力614 TOPS</v>
      </c>
      <c r="M25" t="str">
        <f>IF(表1_53[[#This Row],[配件1]]&lt;&gt;"",_xlfn.XLOOKUP(表1_53[[#This Row],[配件1]],显卡利益点对照表[型号],显卡利益点对照表[可显性],"ERROR"),"")</f>
        <v>GV-N5060EAGLEMAX OC-8GD</v>
      </c>
      <c r="N25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25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25" t="str" cm="1">
        <f t="array" ref="Q25">_xlfn.IFS(表1_53[[#This Row],[配件1]]="","",表1_53[[#This Row],[文本丨算力丨算力值]]=0,"",表1_53[[#This Row],[文本丨算力丨算力值]]&lt;&gt;"","算力")</f>
        <v>算力</v>
      </c>
    </row>
    <row r="26" spans="2:17" x14ac:dyDescent="0.2">
      <c r="B26" s="22">
        <v>10164253233947</v>
      </c>
      <c r="C26" s="42" t="s">
        <v>569</v>
      </c>
      <c r="D26" t="s">
        <v>490</v>
      </c>
      <c r="F26" t="str">
        <f>IF(表1_53[[#This Row],[配件1]]&lt;&gt;"",_xlfn.XLOOKUP(表1_53[[#This Row],[配件1]],显卡利益点对照表[型号],显卡利益点对照表[标题1],"ERROR"),"")</f>
        <v>RTX5060</v>
      </c>
      <c r="G26" t="str">
        <f>IF(表1_53[[#This Row],[配件1]]&lt;&gt;"",_xlfn.XLOOKUP(表1_53[[#This Row],[配件1]],显卡利益点对照表[型号],显卡利益点对照表[标题2],"ERROR"),"")</f>
        <v>猎鹰 8G</v>
      </c>
      <c r="H26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+550W电源</v>
      </c>
      <c r="I26" t="str">
        <f>IF(表1_53[[#This Row],[配件1]]&lt;&gt;"",_xlfn.XLOOKUP(表1_53[[#This Row],[配件1]],显卡利益点对照表[型号],显卡利益点对照表[利益点1],"ERROR"),"")</f>
        <v>铜板+复合式热管</v>
      </c>
      <c r="J26" t="str">
        <f>IF(表1_53[[#This Row],[配件1]]&lt;&gt;"",_xlfn.XLOOKUP(表1_53[[#This Row],[配件1]],显卡利益点对照表[型号],显卡利益点对照表[利益点2],"ERROR"),"")</f>
        <v>正逆转三风扇</v>
      </c>
      <c r="K26" t="str">
        <f>IF(表1_53[[#This Row],[配件1]]&lt;&gt;"",_xlfn.XLOOKUP(表1_53[[#This Row],[配件1]],显卡利益点对照表[型号],显卡利益点对照表[利益点3],"ERROR"),"")</f>
        <v>仿生降噪风扇</v>
      </c>
      <c r="L26" t="str">
        <f>IF(表1_53[[#This Row],[配件1]]&lt;&gt;"",_xlfn.XLOOKUP(表1_53[[#This Row],[配件1]],显卡利益点对照表[型号],显卡利益点对照表[算力],"ERROR"),"")</f>
        <v>AI算力614 TOPS</v>
      </c>
      <c r="M26" t="str">
        <f>IF(表1_53[[#This Row],[配件1]]&lt;&gt;"",_xlfn.XLOOKUP(表1_53[[#This Row],[配件1]],显卡利益点对照表[型号],显卡利益点对照表[可显性],"ERROR"),"")</f>
        <v>GV-N5060EAGLEMAX OC-8GD</v>
      </c>
      <c r="N26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斗战550S</v>
      </c>
      <c r="O26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26" t="str" cm="1">
        <f t="array" ref="Q26">_xlfn.IFS(表1_53[[#This Row],[配件1]]="","",表1_53[[#This Row],[文本丨算力丨算力值]]=0,"",表1_53[[#This Row],[文本丨算力丨算力值]]&lt;&gt;"","算力")</f>
        <v>算力</v>
      </c>
    </row>
    <row r="27" spans="2:17" x14ac:dyDescent="0.2">
      <c r="B27" s="22">
        <v>10096423596457</v>
      </c>
      <c r="C27" t="s">
        <v>484</v>
      </c>
      <c r="D27" t="s">
        <v>489</v>
      </c>
      <c r="F27" t="str">
        <f>IF(表1_53[[#This Row],[配件1]]&lt;&gt;"",_xlfn.XLOOKUP(表1_53[[#This Row],[配件1]],显卡利益点对照表[型号],显卡利益点对照表[标题1],"ERROR"),"")</f>
        <v>RTX5060</v>
      </c>
      <c r="G27" t="str">
        <f>IF(表1_53[[#This Row],[配件1]]&lt;&gt;"",_xlfn.XLOOKUP(表1_53[[#This Row],[配件1]],显卡利益点对照表[型号],显卡利益点对照表[标题2],"ERROR"),"")</f>
        <v>冰猎鹰 8G</v>
      </c>
      <c r="H27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EAGLE OC ICE</v>
      </c>
      <c r="I27" t="str">
        <f>IF(表1_53[[#This Row],[配件1]]&lt;&gt;"",_xlfn.XLOOKUP(表1_53[[#This Row],[配件1]],显卡利益点对照表[型号],显卡利益点对照表[利益点1],"ERROR"),"")</f>
        <v>铜板+复合式热管</v>
      </c>
      <c r="J27" t="str">
        <f>IF(表1_53[[#This Row],[配件1]]&lt;&gt;"",_xlfn.XLOOKUP(表1_53[[#This Row],[配件1]],显卡利益点对照表[型号],显卡利益点对照表[利益点2],"ERROR"),"")</f>
        <v>精巧双风扇</v>
      </c>
      <c r="K27" t="str">
        <f>IF(表1_53[[#This Row],[配件1]]&lt;&gt;"",_xlfn.XLOOKUP(表1_53[[#This Row],[配件1]],显卡利益点对照表[型号],显卡利益点对照表[利益点3],"ERROR"),"")</f>
        <v>仿生降噪风扇</v>
      </c>
      <c r="L27" t="str">
        <f>IF(表1_53[[#This Row],[配件1]]&lt;&gt;"",_xlfn.XLOOKUP(表1_53[[#This Row],[配件1]],显卡利益点对照表[型号],显卡利益点对照表[算力],"ERROR"),"")</f>
        <v>AI算力614 TOPS</v>
      </c>
      <c r="M27" t="str">
        <f>IF(表1_53[[#This Row],[配件1]]&lt;&gt;"",_xlfn.XLOOKUP(表1_53[[#This Row],[配件1]],显卡利益点对照表[型号],显卡利益点对照表[可显性],"ERROR"),"")</f>
        <v>GV-N5060EAGLEOC ICE-8GD</v>
      </c>
      <c r="N27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27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27" t="str" cm="1">
        <f t="array" ref="Q27">_xlfn.IFS(表1_53[[#This Row],[配件1]]="","",表1_53[[#This Row],[文本丨算力丨算力值]]=0,"",表1_53[[#This Row],[文本丨算力丨算力值]]&lt;&gt;"","算力")</f>
        <v>算力</v>
      </c>
    </row>
    <row r="28" spans="2:17" x14ac:dyDescent="0.2">
      <c r="B28" s="22">
        <v>10096423596458</v>
      </c>
      <c r="C28" t="s">
        <v>484</v>
      </c>
      <c r="D28" t="s">
        <v>207</v>
      </c>
      <c r="F28" t="str">
        <f>IF(表1_53[[#This Row],[配件1]]&lt;&gt;"",_xlfn.XLOOKUP(表1_53[[#This Row],[配件1]],显卡利益点对照表[型号],显卡利益点对照表[标题1],"ERROR"),"")</f>
        <v>RTX5060</v>
      </c>
      <c r="G28" t="str">
        <f>IF(表1_53[[#This Row],[配件1]]&lt;&gt;"",_xlfn.XLOOKUP(表1_53[[#This Row],[配件1]],显卡利益点对照表[型号],显卡利益点对照表[标题2],"ERROR"),"")</f>
        <v>冰猎鹰 8G</v>
      </c>
      <c r="H28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+550W电源</v>
      </c>
      <c r="I28" t="str">
        <f>IF(表1_53[[#This Row],[配件1]]&lt;&gt;"",_xlfn.XLOOKUP(表1_53[[#This Row],[配件1]],显卡利益点对照表[型号],显卡利益点对照表[利益点1],"ERROR"),"")</f>
        <v>铜板+复合式热管</v>
      </c>
      <c r="J28" t="str">
        <f>IF(表1_53[[#This Row],[配件1]]&lt;&gt;"",_xlfn.XLOOKUP(表1_53[[#This Row],[配件1]],显卡利益点对照表[型号],显卡利益点对照表[利益点2],"ERROR"),"")</f>
        <v>精巧双风扇</v>
      </c>
      <c r="K28" t="str">
        <f>IF(表1_53[[#This Row],[配件1]]&lt;&gt;"",_xlfn.XLOOKUP(表1_53[[#This Row],[配件1]],显卡利益点对照表[型号],显卡利益点对照表[利益点3],"ERROR"),"")</f>
        <v>仿生降噪风扇</v>
      </c>
      <c r="L28" t="str">
        <f>IF(表1_53[[#This Row],[配件1]]&lt;&gt;"",_xlfn.XLOOKUP(表1_53[[#This Row],[配件1]],显卡利益点对照表[型号],显卡利益点对照表[算力],"ERROR"),"")</f>
        <v>AI算力614 TOPS</v>
      </c>
      <c r="M28" t="str">
        <f>IF(表1_53[[#This Row],[配件1]]&lt;&gt;"",_xlfn.XLOOKUP(表1_53[[#This Row],[配件1]],显卡利益点对照表[型号],显卡利益点对照表[可显性],"ERROR"),"")</f>
        <v>GV-N5060EAGLEOC ICE-8GD</v>
      </c>
      <c r="N28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斗战550 ICE</v>
      </c>
      <c r="O28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28" t="str" cm="1">
        <f t="array" ref="Q28">_xlfn.IFS(表1_53[[#This Row],[配件1]]="","",表1_53[[#This Row],[文本丨算力丨算力值]]=0,"",表1_53[[#This Row],[文本丨算力丨算力值]]&lt;&gt;"","算力")</f>
        <v>算力</v>
      </c>
    </row>
    <row r="29" spans="2:17" x14ac:dyDescent="0.2">
      <c r="B29" s="22">
        <v>10079004855425</v>
      </c>
      <c r="C29" t="s">
        <v>485</v>
      </c>
      <c r="D29" t="s">
        <v>489</v>
      </c>
      <c r="F29" t="str">
        <f>IF(表1_53[[#This Row],[配件1]]&lt;&gt;"",_xlfn.XLOOKUP(表1_53[[#This Row],[配件1]],显卡利益点对照表[型号],显卡利益点对照表[标题1],"ERROR"),"")</f>
        <v>RTX5060</v>
      </c>
      <c r="G29" t="str">
        <f>IF(表1_53[[#This Row],[配件1]]&lt;&gt;"",_xlfn.XLOOKUP(表1_53[[#This Row],[配件1]],显卡利益点对照表[型号],显卡利益点对照表[标题2],"ERROR"),"")</f>
        <v>魔鹰 8G</v>
      </c>
      <c r="H29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GAMING  OC</v>
      </c>
      <c r="I29" t="str">
        <f>IF(表1_53[[#This Row],[配件1]]&lt;&gt;"",_xlfn.XLOOKUP(表1_53[[#This Row],[配件1]],显卡利益点对照表[型号],显卡利益点对照表[利益点1],"ERROR"),"")</f>
        <v>铜板+复合式热管</v>
      </c>
      <c r="J29" t="str">
        <f>IF(表1_53[[#This Row],[配件1]]&lt;&gt;"",_xlfn.XLOOKUP(表1_53[[#This Row],[配件1]],显卡利益点对照表[型号],显卡利益点对照表[利益点2],"ERROR"),"")</f>
        <v>RGB滑动侧板</v>
      </c>
      <c r="K29" t="str">
        <f>IF(表1_53[[#This Row],[配件1]]&lt;&gt;"",_xlfn.XLOOKUP(表1_53[[#This Row],[配件1]],显卡利益点对照表[型号],显卡利益点对照表[利益点3],"ERROR"),"")</f>
        <v>强化金属背板</v>
      </c>
      <c r="L29" t="str">
        <f>IF(表1_53[[#This Row],[配件1]]&lt;&gt;"",_xlfn.XLOOKUP(表1_53[[#This Row],[配件1]],显卡利益点对照表[型号],显卡利益点对照表[算力],"ERROR"),"")</f>
        <v>AI算力614 TOPS</v>
      </c>
      <c r="M29" t="str">
        <f>IF(表1_53[[#This Row],[配件1]]&lt;&gt;"",_xlfn.XLOOKUP(表1_53[[#This Row],[配件1]],显卡利益点对照表[型号],显卡利益点对照表[可显性],"ERROR"),"")</f>
        <v>GV-N5060GAMING OC-8GD</v>
      </c>
      <c r="N29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29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29" t="str" cm="1">
        <f t="array" ref="Q29">_xlfn.IFS(表1_53[[#This Row],[配件1]]="","",表1_53[[#This Row],[文本丨算力丨算力值]]=0,"",表1_53[[#This Row],[文本丨算力丨算力值]]&lt;&gt;"","算力")</f>
        <v>算力</v>
      </c>
    </row>
    <row r="30" spans="2:17" x14ac:dyDescent="0.2">
      <c r="B30" s="22">
        <v>10079004855426</v>
      </c>
      <c r="C30" t="s">
        <v>485</v>
      </c>
      <c r="D30" t="s">
        <v>490</v>
      </c>
      <c r="F30" t="str">
        <f>IF(表1_53[[#This Row],[配件1]]&lt;&gt;"",_xlfn.XLOOKUP(表1_53[[#This Row],[配件1]],显卡利益点对照表[型号],显卡利益点对照表[标题1],"ERROR"),"")</f>
        <v>RTX5060</v>
      </c>
      <c r="G30" t="str">
        <f>IF(表1_53[[#This Row],[配件1]]&lt;&gt;"",_xlfn.XLOOKUP(表1_53[[#This Row],[配件1]],显卡利益点对照表[型号],显卡利益点对照表[标题2],"ERROR"),"")</f>
        <v>魔鹰 8G</v>
      </c>
      <c r="H30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+550W电源</v>
      </c>
      <c r="I30" t="str">
        <f>IF(表1_53[[#This Row],[配件1]]&lt;&gt;"",_xlfn.XLOOKUP(表1_53[[#This Row],[配件1]],显卡利益点对照表[型号],显卡利益点对照表[利益点1],"ERROR"),"")</f>
        <v>铜板+复合式热管</v>
      </c>
      <c r="J30" t="str">
        <f>IF(表1_53[[#This Row],[配件1]]&lt;&gt;"",_xlfn.XLOOKUP(表1_53[[#This Row],[配件1]],显卡利益点对照表[型号],显卡利益点对照表[利益点2],"ERROR"),"")</f>
        <v>RGB滑动侧板</v>
      </c>
      <c r="K30" t="str">
        <f>IF(表1_53[[#This Row],[配件1]]&lt;&gt;"",_xlfn.XLOOKUP(表1_53[[#This Row],[配件1]],显卡利益点对照表[型号],显卡利益点对照表[利益点3],"ERROR"),"")</f>
        <v>强化金属背板</v>
      </c>
      <c r="L30" t="str">
        <f>IF(表1_53[[#This Row],[配件1]]&lt;&gt;"",_xlfn.XLOOKUP(表1_53[[#This Row],[配件1]],显卡利益点对照表[型号],显卡利益点对照表[算力],"ERROR"),"")</f>
        <v>AI算力614 TOPS</v>
      </c>
      <c r="M30" t="str">
        <f>IF(表1_53[[#This Row],[配件1]]&lt;&gt;"",_xlfn.XLOOKUP(表1_53[[#This Row],[配件1]],显卡利益点对照表[型号],显卡利益点对照表[可显性],"ERROR"),"")</f>
        <v>GV-N5060GAMING OC-8GD</v>
      </c>
      <c r="N30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斗战550S</v>
      </c>
      <c r="O30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30" t="str" cm="1">
        <f t="array" ref="Q30">_xlfn.IFS(表1_53[[#This Row],[配件1]]="","",表1_53[[#This Row],[文本丨算力丨算力值]]=0,"",表1_53[[#This Row],[文本丨算力丨算力值]]&lt;&gt;"","算力")</f>
        <v>算力</v>
      </c>
    </row>
    <row r="31" spans="2:17" x14ac:dyDescent="0.2">
      <c r="B31" s="22">
        <v>10079004855427</v>
      </c>
      <c r="C31" t="s">
        <v>486</v>
      </c>
      <c r="D31" t="s">
        <v>489</v>
      </c>
      <c r="F31" t="str">
        <f>IF(表1_53[[#This Row],[配件1]]&lt;&gt;"",_xlfn.XLOOKUP(表1_53[[#This Row],[配件1]],显卡利益点对照表[型号],显卡利益点对照表[标题1],"ERROR"),"")</f>
        <v>RTX5060</v>
      </c>
      <c r="G31" t="str">
        <f>IF(表1_53[[#This Row],[配件1]]&lt;&gt;"",_xlfn.XLOOKUP(表1_53[[#This Row],[配件1]],显卡利益点对照表[型号],显卡利益点对照表[标题2],"ERROR"),"")</f>
        <v>雪鹰 8G</v>
      </c>
      <c r="H31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AERO OC</v>
      </c>
      <c r="I31" t="str">
        <f>IF(表1_53[[#This Row],[配件1]]&lt;&gt;"",_xlfn.XLOOKUP(表1_53[[#This Row],[配件1]],显卡利益点对照表[型号],显卡利益点对照表[利益点1],"ERROR"),"")</f>
        <v>铜板+复合式热管</v>
      </c>
      <c r="J31" t="str">
        <f>IF(表1_53[[#This Row],[配件1]]&lt;&gt;"",_xlfn.XLOOKUP(表1_53[[#This Row],[配件1]],显卡利益点对照表[型号],显卡利益点对照表[利益点2],"ERROR"),"")</f>
        <v>银白雪装外观</v>
      </c>
      <c r="K31" t="str">
        <f>IF(表1_53[[#This Row],[配件1]]&lt;&gt;"",_xlfn.XLOOKUP(表1_53[[#This Row],[配件1]],显卡利益点对照表[型号],显卡利益点对照表[利益点3],"ERROR"),"")</f>
        <v>强化金属背板</v>
      </c>
      <c r="L31" t="str">
        <f>IF(表1_53[[#This Row],[配件1]]&lt;&gt;"",_xlfn.XLOOKUP(表1_53[[#This Row],[配件1]],显卡利益点对照表[型号],显卡利益点对照表[算力],"ERROR"),"")</f>
        <v>AI算力614 TOPS</v>
      </c>
      <c r="M31" t="str">
        <f>IF(表1_53[[#This Row],[配件1]]&lt;&gt;"",_xlfn.XLOOKUP(表1_53[[#This Row],[配件1]],显卡利益点对照表[型号],显卡利益点对照表[可显性],"ERROR"),"")</f>
        <v>GV-N5060AERO OC-8GD</v>
      </c>
      <c r="N31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31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31" t="str" cm="1">
        <f t="array" ref="Q31">_xlfn.IFS(表1_53[[#This Row],[配件1]]="","",表1_53[[#This Row],[文本丨算力丨算力值]]=0,"",表1_53[[#This Row],[文本丨算力丨算力值]]&lt;&gt;"","算力")</f>
        <v>算力</v>
      </c>
    </row>
    <row r="32" spans="2:17" x14ac:dyDescent="0.2">
      <c r="B32" s="22">
        <v>10079004855428</v>
      </c>
      <c r="C32" t="s">
        <v>486</v>
      </c>
      <c r="D32" t="s">
        <v>207</v>
      </c>
      <c r="F32" t="str">
        <f>IF(表1_53[[#This Row],[配件1]]&lt;&gt;"",_xlfn.XLOOKUP(表1_53[[#This Row],[配件1]],显卡利益点对照表[型号],显卡利益点对照表[标题1],"ERROR"),"")</f>
        <v>RTX5060</v>
      </c>
      <c r="G32" t="str">
        <f>IF(表1_53[[#This Row],[配件1]]&lt;&gt;"",_xlfn.XLOOKUP(表1_53[[#This Row],[配件1]],显卡利益点对照表[型号],显卡利益点对照表[标题2],"ERROR"),"")</f>
        <v>雪鹰 8G</v>
      </c>
      <c r="H32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+550W电源</v>
      </c>
      <c r="I32" t="str">
        <f>IF(表1_53[[#This Row],[配件1]]&lt;&gt;"",_xlfn.XLOOKUP(表1_53[[#This Row],[配件1]],显卡利益点对照表[型号],显卡利益点对照表[利益点1],"ERROR"),"")</f>
        <v>铜板+复合式热管</v>
      </c>
      <c r="J32" t="str">
        <f>IF(表1_53[[#This Row],[配件1]]&lt;&gt;"",_xlfn.XLOOKUP(表1_53[[#This Row],[配件1]],显卡利益点对照表[型号],显卡利益点对照表[利益点2],"ERROR"),"")</f>
        <v>银白雪装外观</v>
      </c>
      <c r="K32" t="str">
        <f>IF(表1_53[[#This Row],[配件1]]&lt;&gt;"",_xlfn.XLOOKUP(表1_53[[#This Row],[配件1]],显卡利益点对照表[型号],显卡利益点对照表[利益点3],"ERROR"),"")</f>
        <v>强化金属背板</v>
      </c>
      <c r="L32" t="str">
        <f>IF(表1_53[[#This Row],[配件1]]&lt;&gt;"",_xlfn.XLOOKUP(表1_53[[#This Row],[配件1]],显卡利益点对照表[型号],显卡利益点对照表[算力],"ERROR"),"")</f>
        <v>AI算力614 TOPS</v>
      </c>
      <c r="M32" t="str">
        <f>IF(表1_53[[#This Row],[配件1]]&lt;&gt;"",_xlfn.XLOOKUP(表1_53[[#This Row],[配件1]],显卡利益点对照表[型号],显卡利益点对照表[可显性],"ERROR"),"")</f>
        <v>GV-N5060AERO OC-8GD</v>
      </c>
      <c r="N32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斗战550 ICE</v>
      </c>
      <c r="O32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32" t="str" cm="1">
        <f t="array" ref="Q32">_xlfn.IFS(表1_53[[#This Row],[配件1]]="","",表1_53[[#This Row],[文本丨算力丨算力值]]=0,"",表1_53[[#This Row],[文本丨算力丨算力值]]&lt;&gt;"","算力")</f>
        <v>算力</v>
      </c>
    </row>
    <row r="33" spans="2:17" x14ac:dyDescent="0.2">
      <c r="B33" s="22">
        <v>10079004855429</v>
      </c>
      <c r="C33" t="s">
        <v>573</v>
      </c>
      <c r="D33" t="s">
        <v>489</v>
      </c>
      <c r="F33" t="str">
        <f>IF(表1_53[[#This Row],[配件1]]&lt;&gt;"",_xlfn.XLOOKUP(表1_53[[#This Row],[配件1]],显卡利益点对照表[型号],显卡利益点对照表[标题1],"ERROR"),"")</f>
        <v>RTX5060</v>
      </c>
      <c r="G33" t="str">
        <f>IF(表1_53[[#This Row],[配件1]]&lt;&gt;"",_xlfn.XLOOKUP(表1_53[[#This Row],[配件1]],显卡利益点对照表[型号],显卡利益点对照表[标题2],"ERROR"),"")</f>
        <v>小雕 8G</v>
      </c>
      <c r="H33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AORUS ELITE</v>
      </c>
      <c r="I33" t="str">
        <f>IF(表1_53[[#This Row],[配件1]]&lt;&gt;"",_xlfn.XLOOKUP(表1_53[[#This Row],[配件1]],显卡利益点对照表[型号],显卡利益点对照表[利益点1],"ERROR"),"")</f>
        <v>注册4年保/个人送保丨25</v>
      </c>
      <c r="J33" t="str">
        <f>IF(表1_53[[#This Row],[配件1]]&lt;&gt;"",_xlfn.XLOOKUP(表1_53[[#This Row],[配件1]],显卡利益点对照表[型号],显卡利益点对照表[利益点2],"ERROR"),"")</f>
        <v>RGB幻彩光轮</v>
      </c>
      <c r="K33" t="str">
        <f>IF(表1_53[[#This Row],[配件1]]&lt;&gt;"",_xlfn.XLOOKUP(表1_53[[#This Row],[配件1]],显卡利益点对照表[型号],显卡利益点对照表[利益点3],"ERROR"),"")</f>
        <v>五重高效散热</v>
      </c>
      <c r="L33" t="str">
        <f>IF(表1_53[[#This Row],[配件1]]&lt;&gt;"",_xlfn.XLOOKUP(表1_53[[#This Row],[配件1]],显卡利益点对照表[型号],显卡利益点对照表[算力],"ERROR"),"")</f>
        <v>AI算力614 TOPS</v>
      </c>
      <c r="M33" t="str">
        <f>IF(表1_53[[#This Row],[配件1]]&lt;&gt;"",_xlfn.XLOOKUP(表1_53[[#This Row],[配件1]],显卡利益点对照表[型号],显卡利益点对照表[可显性],"ERROR"),"")</f>
        <v>GV-N5060AORUS E-8GD</v>
      </c>
      <c r="N33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33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33" t="str" cm="1">
        <f t="array" ref="Q33">_xlfn.IFS(表1_53[[#This Row],[配件1]]="","",表1_53[[#This Row],[文本丨算力丨算力值]]=0,"",表1_53[[#This Row],[文本丨算力丨算力值]]&lt;&gt;"","算力")</f>
        <v>算力</v>
      </c>
    </row>
    <row r="34" spans="2:17" x14ac:dyDescent="0.2">
      <c r="B34" s="22">
        <v>10079004855430</v>
      </c>
      <c r="C34" t="s">
        <v>573</v>
      </c>
      <c r="D34" t="s">
        <v>490</v>
      </c>
      <c r="F34" t="str">
        <f>IF(表1_53[[#This Row],[配件1]]&lt;&gt;"",_xlfn.XLOOKUP(表1_53[[#This Row],[配件1]],显卡利益点对照表[型号],显卡利益点对照表[标题1],"ERROR"),"")</f>
        <v>RTX5060</v>
      </c>
      <c r="G34" t="str">
        <f>IF(表1_53[[#This Row],[配件1]]&lt;&gt;"",_xlfn.XLOOKUP(表1_53[[#This Row],[配件1]],显卡利益点对照表[型号],显卡利益点对照表[标题2],"ERROR"),"")</f>
        <v>小雕 8G</v>
      </c>
      <c r="H34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+550W电源</v>
      </c>
      <c r="I34" t="str">
        <f>IF(表1_53[[#This Row],[配件1]]&lt;&gt;"",_xlfn.XLOOKUP(表1_53[[#This Row],[配件1]],显卡利益点对照表[型号],显卡利益点对照表[利益点1],"ERROR"),"")</f>
        <v>注册4年保/个人送保丨25</v>
      </c>
      <c r="J34" t="str">
        <f>IF(表1_53[[#This Row],[配件1]]&lt;&gt;"",_xlfn.XLOOKUP(表1_53[[#This Row],[配件1]],显卡利益点对照表[型号],显卡利益点对照表[利益点2],"ERROR"),"")</f>
        <v>RGB幻彩光轮</v>
      </c>
      <c r="K34" t="str">
        <f>IF(表1_53[[#This Row],[配件1]]&lt;&gt;"",_xlfn.XLOOKUP(表1_53[[#This Row],[配件1]],显卡利益点对照表[型号],显卡利益点对照表[利益点3],"ERROR"),"")</f>
        <v>五重高效散热</v>
      </c>
      <c r="L34" t="str">
        <f>IF(表1_53[[#This Row],[配件1]]&lt;&gt;"",_xlfn.XLOOKUP(表1_53[[#This Row],[配件1]],显卡利益点对照表[型号],显卡利益点对照表[算力],"ERROR"),"")</f>
        <v>AI算力614 TOPS</v>
      </c>
      <c r="M34" t="str">
        <f>IF(表1_53[[#This Row],[配件1]]&lt;&gt;"",_xlfn.XLOOKUP(表1_53[[#This Row],[配件1]],显卡利益点对照表[型号],显卡利益点对照表[可显性],"ERROR"),"")</f>
        <v>GV-N5060AORUS E-8GD</v>
      </c>
      <c r="N34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斗战550S</v>
      </c>
      <c r="O34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34" t="str" cm="1">
        <f t="array" ref="Q34">_xlfn.IFS(表1_53[[#This Row],[配件1]]="","",表1_53[[#This Row],[文本丨算力丨算力值]]=0,"",表1_53[[#This Row],[文本丨算力丨算力值]]&lt;&gt;"","算力")</f>
        <v>算力</v>
      </c>
    </row>
    <row r="35" spans="2:17" x14ac:dyDescent="0.2">
      <c r="F35" t="str">
        <f>IF(表1_53[[#This Row],[配件1]]&lt;&gt;"",_xlfn.XLOOKUP(表1_53[[#This Row],[配件1]],显卡利益点对照表[型号],显卡利益点对照表[标题1],"ERROR"),"")</f>
        <v/>
      </c>
      <c r="G35" t="str">
        <f>IF(表1_53[[#This Row],[配件1]]&lt;&gt;"",_xlfn.XLOOKUP(表1_53[[#This Row],[配件1]],显卡利益点对照表[型号],显卡利益点对照表[标题2],"ERROR"),"")</f>
        <v/>
      </c>
      <c r="H35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35" t="str">
        <f>IF(表1_53[[#This Row],[配件1]]&lt;&gt;"",_xlfn.XLOOKUP(表1_53[[#This Row],[配件1]],显卡利益点对照表[型号],显卡利益点对照表[利益点1],"ERROR"),"")</f>
        <v/>
      </c>
      <c r="J35" t="str">
        <f>IF(表1_53[[#This Row],[配件1]]&lt;&gt;"",_xlfn.XLOOKUP(表1_53[[#This Row],[配件1]],显卡利益点对照表[型号],显卡利益点对照表[利益点2],"ERROR"),"")</f>
        <v/>
      </c>
      <c r="K35" t="str">
        <f>IF(表1_53[[#This Row],[配件1]]&lt;&gt;"",_xlfn.XLOOKUP(表1_53[[#This Row],[配件1]],显卡利益点对照表[型号],显卡利益点对照表[利益点3],"ERROR"),"")</f>
        <v/>
      </c>
      <c r="L35" t="str">
        <f>IF(表1_53[[#This Row],[配件1]]&lt;&gt;"",_xlfn.XLOOKUP(表1_53[[#This Row],[配件1]],显卡利益点对照表[型号],显卡利益点对照表[算力],"ERROR"),"")</f>
        <v/>
      </c>
      <c r="M35" t="str">
        <f>IF(表1_53[[#This Row],[配件1]]&lt;&gt;"",_xlfn.XLOOKUP(表1_53[[#This Row],[配件1]],显卡利益点对照表[型号],显卡利益点对照表[可显性],"ERROR"),"")</f>
        <v/>
      </c>
      <c r="N35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35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/>
      </c>
      <c r="Q35" t="str" cm="1">
        <f t="array" ref="Q35">_xlfn.IFS(表1_53[[#This Row],[配件1]]="","",表1_53[[#This Row],[文本丨算力丨算力值]]=0,"",表1_53[[#This Row],[文本丨算力丨算力值]]&lt;&gt;"","算力")</f>
        <v/>
      </c>
    </row>
    <row r="36" spans="2:17" x14ac:dyDescent="0.2">
      <c r="F36" t="str">
        <f>IF(表1_53[[#This Row],[配件1]]&lt;&gt;"",_xlfn.XLOOKUP(表1_53[[#This Row],[配件1]],显卡利益点对照表[型号],显卡利益点对照表[标题1],"ERROR"),"")</f>
        <v/>
      </c>
      <c r="G36" t="str">
        <f>IF(表1_53[[#This Row],[配件1]]&lt;&gt;"",_xlfn.XLOOKUP(表1_53[[#This Row],[配件1]],显卡利益点对照表[型号],显卡利益点对照表[标题2],"ERROR"),"")</f>
        <v/>
      </c>
      <c r="H36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36" t="str">
        <f>IF(表1_53[[#This Row],[配件1]]&lt;&gt;"",_xlfn.XLOOKUP(表1_53[[#This Row],[配件1]],显卡利益点对照表[型号],显卡利益点对照表[利益点1],"ERROR"),"")</f>
        <v/>
      </c>
      <c r="J36" t="str">
        <f>IF(表1_53[[#This Row],[配件1]]&lt;&gt;"",_xlfn.XLOOKUP(表1_53[[#This Row],[配件1]],显卡利益点对照表[型号],显卡利益点对照表[利益点2],"ERROR"),"")</f>
        <v/>
      </c>
      <c r="K36" t="str">
        <f>IF(表1_53[[#This Row],[配件1]]&lt;&gt;"",_xlfn.XLOOKUP(表1_53[[#This Row],[配件1]],显卡利益点对照表[型号],显卡利益点对照表[利益点3],"ERROR"),"")</f>
        <v/>
      </c>
      <c r="L36" t="str">
        <f>IF(表1_53[[#This Row],[配件1]]&lt;&gt;"",_xlfn.XLOOKUP(表1_53[[#This Row],[配件1]],显卡利益点对照表[型号],显卡利益点对照表[算力],"ERROR"),"")</f>
        <v/>
      </c>
      <c r="M36" t="str">
        <f>IF(表1_53[[#This Row],[配件1]]&lt;&gt;"",_xlfn.XLOOKUP(表1_53[[#This Row],[配件1]],显卡利益点对照表[型号],显卡利益点对照表[可显性],"ERROR"),"")</f>
        <v/>
      </c>
      <c r="N36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36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/>
      </c>
      <c r="Q36" t="str" cm="1">
        <f t="array" ref="Q36">_xlfn.IFS(表1_53[[#This Row],[配件1]]="","",表1_53[[#This Row],[文本丨算力丨算力值]]=0,"",表1_53[[#This Row],[文本丨算力丨算力值]]&lt;&gt;"","算力")</f>
        <v/>
      </c>
    </row>
    <row r="37" spans="2:17" x14ac:dyDescent="0.2">
      <c r="F37" t="str">
        <f>IF(表1_53[[#This Row],[配件1]]&lt;&gt;"",_xlfn.XLOOKUP(表1_53[[#This Row],[配件1]],显卡利益点对照表[型号],显卡利益点对照表[标题1],"ERROR"),"")</f>
        <v/>
      </c>
      <c r="G37" t="str">
        <f>IF(表1_53[[#This Row],[配件1]]&lt;&gt;"",_xlfn.XLOOKUP(表1_53[[#This Row],[配件1]],显卡利益点对照表[型号],显卡利益点对照表[标题2],"ERROR"),"")</f>
        <v/>
      </c>
      <c r="H37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37" t="str">
        <f>IF(表1_53[[#This Row],[配件1]]&lt;&gt;"",_xlfn.XLOOKUP(表1_53[[#This Row],[配件1]],显卡利益点对照表[型号],显卡利益点对照表[利益点1],"ERROR"),"")</f>
        <v/>
      </c>
      <c r="J37" t="str">
        <f>IF(表1_53[[#This Row],[配件1]]&lt;&gt;"",_xlfn.XLOOKUP(表1_53[[#This Row],[配件1]],显卡利益点对照表[型号],显卡利益点对照表[利益点2],"ERROR"),"")</f>
        <v/>
      </c>
      <c r="K37" t="str">
        <f>IF(表1_53[[#This Row],[配件1]]&lt;&gt;"",_xlfn.XLOOKUP(表1_53[[#This Row],[配件1]],显卡利益点对照表[型号],显卡利益点对照表[利益点3],"ERROR"),"")</f>
        <v/>
      </c>
      <c r="L37" t="str">
        <f>IF(表1_53[[#This Row],[配件1]]&lt;&gt;"",_xlfn.XLOOKUP(表1_53[[#This Row],[配件1]],显卡利益点对照表[型号],显卡利益点对照表[算力],"ERROR"),"")</f>
        <v/>
      </c>
      <c r="M37" t="str">
        <f>IF(表1_53[[#This Row],[配件1]]&lt;&gt;"",_xlfn.XLOOKUP(表1_53[[#This Row],[配件1]],显卡利益点对照表[型号],显卡利益点对照表[可显性],"ERROR"),"")</f>
        <v/>
      </c>
      <c r="N37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37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/>
      </c>
      <c r="Q37" t="str" cm="1">
        <f t="array" ref="Q37">_xlfn.IFS(表1_53[[#This Row],[配件1]]="","",表1_53[[#This Row],[文本丨算力丨算力值]]=0,"",表1_53[[#This Row],[文本丨算力丨算力值]]&lt;&gt;"","算力")</f>
        <v/>
      </c>
    </row>
    <row r="38" spans="2:17" x14ac:dyDescent="0.2">
      <c r="B38" s="22">
        <v>10148980474711</v>
      </c>
      <c r="C38" t="s">
        <v>267</v>
      </c>
      <c r="D38" t="s">
        <v>489</v>
      </c>
      <c r="F38" t="str">
        <f>IF(表1_53[[#This Row],[配件1]]&lt;&gt;"",_xlfn.XLOOKUP(表1_53[[#This Row],[配件1]],显卡利益点对照表[型号],显卡利益点对照表[标题1],"ERROR"),"")</f>
        <v>RTX5060 Ti</v>
      </c>
      <c r="G38" t="str">
        <f>IF(表1_53[[#This Row],[配件1]]&lt;&gt;"",_xlfn.XLOOKUP(表1_53[[#This Row],[配件1]],显卡利益点对照表[型号],显卡利益点对照表[标题2],"ERROR"),"")</f>
        <v>风魔 8G</v>
      </c>
      <c r="H38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WF2</v>
      </c>
      <c r="I38" t="str">
        <f>IF(表1_53[[#This Row],[配件1]]&lt;&gt;"",_xlfn.XLOOKUP(表1_53[[#This Row],[配件1]],显卡利益点对照表[型号],显卡利益点对照表[利益点1],"ERROR"),"")</f>
        <v>铜板+复合式热管</v>
      </c>
      <c r="J38" t="str">
        <f>IF(表1_53[[#This Row],[配件1]]&lt;&gt;"",_xlfn.XLOOKUP(表1_53[[#This Row],[配件1]],显卡利益点对照表[型号],显卡利益点对照表[利益点2],"ERROR"),"")</f>
        <v>精巧双风扇</v>
      </c>
      <c r="K38" t="str">
        <f>IF(表1_53[[#This Row],[配件1]]&lt;&gt;"",_xlfn.XLOOKUP(表1_53[[#This Row],[配件1]],显卡利益点对照表[型号],显卡利益点对照表[利益点3],"ERROR"),"")</f>
        <v>仿生降噪风扇</v>
      </c>
      <c r="L38" t="str">
        <f>IF(表1_53[[#This Row],[配件1]]&lt;&gt;"",_xlfn.XLOOKUP(表1_53[[#This Row],[配件1]],显卡利益点对照表[型号],显卡利益点对照表[算力],"ERROR"),"")</f>
        <v>AI算力759 TOPS</v>
      </c>
      <c r="M38" t="str">
        <f>IF(表1_53[[#This Row],[配件1]]&lt;&gt;"",_xlfn.XLOOKUP(表1_53[[#This Row],[配件1]],显卡利益点对照表[型号],显卡利益点对照表[可显性],"ERROR"),"")</f>
        <v>GV-N506TWF2-8GD</v>
      </c>
      <c r="N38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38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38" t="str" cm="1">
        <f t="array" ref="Q38">_xlfn.IFS(表1_53[[#This Row],[配件1]]="","",表1_53[[#This Row],[文本丨算力丨算力值]]=0,"",表1_53[[#This Row],[文本丨算力丨算力值]]&lt;&gt;"","算力")</f>
        <v>算力</v>
      </c>
    </row>
    <row r="39" spans="2:17" x14ac:dyDescent="0.2">
      <c r="B39" s="22">
        <v>10148980474712</v>
      </c>
      <c r="C39" t="s">
        <v>267</v>
      </c>
      <c r="D39" t="s">
        <v>279</v>
      </c>
      <c r="F39" t="str">
        <f>IF(表1_53[[#This Row],[配件1]]&lt;&gt;"",_xlfn.XLOOKUP(表1_53[[#This Row],[配件1]],显卡利益点对照表[型号],显卡利益点对照表[标题1],"ERROR"),"")</f>
        <v>RTX5060 Ti</v>
      </c>
      <c r="G39" t="str">
        <f>IF(表1_53[[#This Row],[配件1]]&lt;&gt;"",_xlfn.XLOOKUP(表1_53[[#This Row],[配件1]],显卡利益点对照表[型号],显卡利益点对照表[标题2],"ERROR"),"")</f>
        <v>风魔 8G</v>
      </c>
      <c r="H39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+650W电源</v>
      </c>
      <c r="I39" t="str">
        <f>IF(表1_53[[#This Row],[配件1]]&lt;&gt;"",_xlfn.XLOOKUP(表1_53[[#This Row],[配件1]],显卡利益点对照表[型号],显卡利益点对照表[利益点1],"ERROR"),"")</f>
        <v>铜板+复合式热管</v>
      </c>
      <c r="J39" t="str">
        <f>IF(表1_53[[#This Row],[配件1]]&lt;&gt;"",_xlfn.XLOOKUP(表1_53[[#This Row],[配件1]],显卡利益点对照表[型号],显卡利益点对照表[利益点2],"ERROR"),"")</f>
        <v>精巧双风扇</v>
      </c>
      <c r="K39" t="str">
        <f>IF(表1_53[[#This Row],[配件1]]&lt;&gt;"",_xlfn.XLOOKUP(表1_53[[#This Row],[配件1]],显卡利益点对照表[型号],显卡利益点对照表[利益点3],"ERROR"),"")</f>
        <v>仿生降噪风扇</v>
      </c>
      <c r="L39" t="str">
        <f>IF(表1_53[[#This Row],[配件1]]&lt;&gt;"",_xlfn.XLOOKUP(表1_53[[#This Row],[配件1]],显卡利益点对照表[型号],显卡利益点对照表[算力],"ERROR"),"")</f>
        <v>AI算力759 TOPS</v>
      </c>
      <c r="M39" t="str">
        <f>IF(表1_53[[#This Row],[配件1]]&lt;&gt;"",_xlfn.XLOOKUP(表1_53[[#This Row],[配件1]],显卡利益点对照表[型号],显卡利益点对照表[可显性],"ERROR"),"")</f>
        <v>GV-N506TWF2-8GD</v>
      </c>
      <c r="N39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斗战650S</v>
      </c>
      <c r="O39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39" t="str" cm="1">
        <f t="array" ref="Q39">_xlfn.IFS(表1_53[[#This Row],[配件1]]="","",表1_53[[#This Row],[文本丨算力丨算力值]]=0,"",表1_53[[#This Row],[文本丨算力丨算力值]]&lt;&gt;"","算力")</f>
        <v>算力</v>
      </c>
    </row>
    <row r="40" spans="2:17" x14ac:dyDescent="0.2">
      <c r="B40" s="22">
        <v>10076155580250</v>
      </c>
      <c r="C40" t="s">
        <v>276</v>
      </c>
      <c r="D40" t="s">
        <v>489</v>
      </c>
      <c r="F40" t="str">
        <f>IF(表1_53[[#This Row],[配件1]]&lt;&gt;"",_xlfn.XLOOKUP(表1_53[[#This Row],[配件1]],显卡利益点对照表[型号],显卡利益点对照表[标题1],"ERROR"),"")</f>
        <v>RTX5060 Ti</v>
      </c>
      <c r="G40" t="str">
        <f>IF(表1_53[[#This Row],[配件1]]&lt;&gt;"",_xlfn.XLOOKUP(表1_53[[#This Row],[配件1]],显卡利益点对照表[型号],显卡利益点对照表[标题2],"ERROR"),"")</f>
        <v>猎鹰 8G</v>
      </c>
      <c r="H40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EAGLE OC</v>
      </c>
      <c r="I40" t="str">
        <f>IF(表1_53[[#This Row],[配件1]]&lt;&gt;"",_xlfn.XLOOKUP(表1_53[[#This Row],[配件1]],显卡利益点对照表[型号],显卡利益点对照表[利益点1],"ERROR"),"")</f>
        <v>铜板+复合式热管</v>
      </c>
      <c r="J40" t="str">
        <f>IF(表1_53[[#This Row],[配件1]]&lt;&gt;"",_xlfn.XLOOKUP(表1_53[[#This Row],[配件1]],显卡利益点对照表[型号],显卡利益点对照表[利益点2],"ERROR"),"")</f>
        <v>精巧双风扇</v>
      </c>
      <c r="K40" t="str">
        <f>IF(表1_53[[#This Row],[配件1]]&lt;&gt;"",_xlfn.XLOOKUP(表1_53[[#This Row],[配件1]],显卡利益点对照表[型号],显卡利益点对照表[利益点3],"ERROR"),"")</f>
        <v>仿生降噪风扇</v>
      </c>
      <c r="L40" t="str">
        <f>IF(表1_53[[#This Row],[配件1]]&lt;&gt;"",_xlfn.XLOOKUP(表1_53[[#This Row],[配件1]],显卡利益点对照表[型号],显卡利益点对照表[算力],"ERROR"),"")</f>
        <v>AI算力759 TOPS</v>
      </c>
      <c r="M40" t="str">
        <f>IF(表1_53[[#This Row],[配件1]]&lt;&gt;"",_xlfn.XLOOKUP(表1_53[[#This Row],[配件1]],显卡利益点对照表[型号],显卡利益点对照表[可显性],"ERROR"),"")</f>
        <v>GV-N506TEAGLE OC-16GD</v>
      </c>
      <c r="N40" s="15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40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40" t="str" cm="1">
        <f t="array" ref="Q40">_xlfn.IFS(表1_53[[#This Row],[配件1]]="","",表1_53[[#This Row],[文本丨算力丨算力值]]=0,"",表1_53[[#This Row],[文本丨算力丨算力值]]&lt;&gt;"","算力")</f>
        <v>算力</v>
      </c>
    </row>
    <row r="41" spans="2:17" x14ac:dyDescent="0.2">
      <c r="B41" s="22">
        <v>10098325451766</v>
      </c>
      <c r="C41" t="s">
        <v>276</v>
      </c>
      <c r="D41" t="s">
        <v>279</v>
      </c>
      <c r="F41" t="str">
        <f>IF(表1_53[[#This Row],[配件1]]&lt;&gt;"",_xlfn.XLOOKUP(表1_53[[#This Row],[配件1]],显卡利益点对照表[型号],显卡利益点对照表[标题1],"ERROR"),"")</f>
        <v>RTX5060 Ti</v>
      </c>
      <c r="G41" t="str">
        <f>IF(表1_53[[#This Row],[配件1]]&lt;&gt;"",_xlfn.XLOOKUP(表1_53[[#This Row],[配件1]],显卡利益点对照表[型号],显卡利益点对照表[标题2],"ERROR"),"")</f>
        <v>猎鹰 8G</v>
      </c>
      <c r="H41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+650W电源</v>
      </c>
      <c r="I41" t="str">
        <f>IF(表1_53[[#This Row],[配件1]]&lt;&gt;"",_xlfn.XLOOKUP(表1_53[[#This Row],[配件1]],显卡利益点对照表[型号],显卡利益点对照表[利益点1],"ERROR"),"")</f>
        <v>铜板+复合式热管</v>
      </c>
      <c r="J41" t="str">
        <f>IF(表1_53[[#This Row],[配件1]]&lt;&gt;"",_xlfn.XLOOKUP(表1_53[[#This Row],[配件1]],显卡利益点对照表[型号],显卡利益点对照表[利益点2],"ERROR"),"")</f>
        <v>精巧双风扇</v>
      </c>
      <c r="K41" t="str">
        <f>IF(表1_53[[#This Row],[配件1]]&lt;&gt;"",_xlfn.XLOOKUP(表1_53[[#This Row],[配件1]],显卡利益点对照表[型号],显卡利益点对照表[利益点3],"ERROR"),"")</f>
        <v>仿生降噪风扇</v>
      </c>
      <c r="L41" t="str">
        <f>IF(表1_53[[#This Row],[配件1]]&lt;&gt;"",_xlfn.XLOOKUP(表1_53[[#This Row],[配件1]],显卡利益点对照表[型号],显卡利益点对照表[算力],"ERROR"),"")</f>
        <v>AI算力759 TOPS</v>
      </c>
      <c r="M41" t="str">
        <f>IF(表1_53[[#This Row],[配件1]]&lt;&gt;"",_xlfn.XLOOKUP(表1_53[[#This Row],[配件1]],显卡利益点对照表[型号],显卡利益点对照表[可显性],"ERROR"),"")</f>
        <v>GV-N506TEAGLE OC-16GD</v>
      </c>
      <c r="N41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斗战650S</v>
      </c>
      <c r="O41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41" t="str" cm="1">
        <f t="array" ref="Q41">_xlfn.IFS(表1_53[[#This Row],[配件1]]="","",表1_53[[#This Row],[文本丨算力丨算力值]]=0,"",表1_53[[#This Row],[文本丨算力丨算力值]]&lt;&gt;"","算力")</f>
        <v>算力</v>
      </c>
    </row>
    <row r="42" spans="2:17" x14ac:dyDescent="0.2">
      <c r="B42" s="22">
        <v>10164254379475</v>
      </c>
      <c r="C42" s="42" t="s">
        <v>570</v>
      </c>
      <c r="D42" t="s">
        <v>489</v>
      </c>
      <c r="F42" t="str">
        <f>IF(表1_53[[#This Row],[配件1]]&lt;&gt;"",_xlfn.XLOOKUP(表1_53[[#This Row],[配件1]],显卡利益点对照表[型号],显卡利益点对照表[标题1],"ERROR"),"")</f>
        <v>RTX5060 Ti</v>
      </c>
      <c r="G42" t="str">
        <f>IF(表1_53[[#This Row],[配件1]]&lt;&gt;"",_xlfn.XLOOKUP(表1_53[[#This Row],[配件1]],显卡利益点对照表[型号],显卡利益点对照表[标题2],"ERROR"),"")</f>
        <v>猎鹰 8G</v>
      </c>
      <c r="H42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EAGLE MAX</v>
      </c>
      <c r="I42" t="str">
        <f>IF(表1_53[[#This Row],[配件1]]&lt;&gt;"",_xlfn.XLOOKUP(表1_53[[#This Row],[配件1]],显卡利益点对照表[型号],显卡利益点对照表[利益点1],"ERROR"),"")</f>
        <v>铜板+复合式热管</v>
      </c>
      <c r="J42" t="str">
        <f>IF(表1_53[[#This Row],[配件1]]&lt;&gt;"",_xlfn.XLOOKUP(表1_53[[#This Row],[配件1]],显卡利益点对照表[型号],显卡利益点对照表[利益点2],"ERROR"),"")</f>
        <v>正逆转三风扇</v>
      </c>
      <c r="K42" t="str">
        <f>IF(表1_53[[#This Row],[配件1]]&lt;&gt;"",_xlfn.XLOOKUP(表1_53[[#This Row],[配件1]],显卡利益点对照表[型号],显卡利益点对照表[利益点3],"ERROR"),"")</f>
        <v>仿生降噪风扇</v>
      </c>
      <c r="L42" t="str">
        <f>IF(表1_53[[#This Row],[配件1]]&lt;&gt;"",_xlfn.XLOOKUP(表1_53[[#This Row],[配件1]],显卡利益点对照表[型号],显卡利益点对照表[算力],"ERROR"),"")</f>
        <v>AI算力759 TOPS</v>
      </c>
      <c r="M42" t="str">
        <f>IF(表1_53[[#This Row],[配件1]]&lt;&gt;"",_xlfn.XLOOKUP(表1_53[[#This Row],[配件1]],显卡利益点对照表[型号],显卡利益点对照表[可显性],"ERROR"),"")</f>
        <v>GV-N506TEAGLEMAX OC-8GD</v>
      </c>
      <c r="N42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42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42" t="str" cm="1">
        <f t="array" ref="Q42">_xlfn.IFS(表1_53[[#This Row],[配件1]]="","",表1_53[[#This Row],[文本丨算力丨算力值]]=0,"",表1_53[[#This Row],[文本丨算力丨算力值]]&lt;&gt;"","算力")</f>
        <v>算力</v>
      </c>
    </row>
    <row r="43" spans="2:17" x14ac:dyDescent="0.2">
      <c r="B43" s="22" t="s">
        <v>572</v>
      </c>
      <c r="C43" s="42" t="s">
        <v>570</v>
      </c>
      <c r="D43" t="s">
        <v>279</v>
      </c>
      <c r="F43" t="str">
        <f>IF(表1_53[[#This Row],[配件1]]&lt;&gt;"",_xlfn.XLOOKUP(表1_53[[#This Row],[配件1]],显卡利益点对照表[型号],显卡利益点对照表[标题1],"ERROR"),"")</f>
        <v>RTX5060 Ti</v>
      </c>
      <c r="G43" t="str">
        <f>IF(表1_53[[#This Row],[配件1]]&lt;&gt;"",_xlfn.XLOOKUP(表1_53[[#This Row],[配件1]],显卡利益点对照表[型号],显卡利益点对照表[标题2],"ERROR"),"")</f>
        <v>猎鹰 8G</v>
      </c>
      <c r="H43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+650W电源</v>
      </c>
      <c r="I43" t="str">
        <f>IF(表1_53[[#This Row],[配件1]]&lt;&gt;"",_xlfn.XLOOKUP(表1_53[[#This Row],[配件1]],显卡利益点对照表[型号],显卡利益点对照表[利益点1],"ERROR"),"")</f>
        <v>铜板+复合式热管</v>
      </c>
      <c r="J43" t="str">
        <f>IF(表1_53[[#This Row],[配件1]]&lt;&gt;"",_xlfn.XLOOKUP(表1_53[[#This Row],[配件1]],显卡利益点对照表[型号],显卡利益点对照表[利益点2],"ERROR"),"")</f>
        <v>正逆转三风扇</v>
      </c>
      <c r="K43" t="str">
        <f>IF(表1_53[[#This Row],[配件1]]&lt;&gt;"",_xlfn.XLOOKUP(表1_53[[#This Row],[配件1]],显卡利益点对照表[型号],显卡利益点对照表[利益点3],"ERROR"),"")</f>
        <v>仿生降噪风扇</v>
      </c>
      <c r="L43" t="str">
        <f>IF(表1_53[[#This Row],[配件1]]&lt;&gt;"",_xlfn.XLOOKUP(表1_53[[#This Row],[配件1]],显卡利益点对照表[型号],显卡利益点对照表[算力],"ERROR"),"")</f>
        <v>AI算力759 TOPS</v>
      </c>
      <c r="M43" t="str">
        <f>IF(表1_53[[#This Row],[配件1]]&lt;&gt;"",_xlfn.XLOOKUP(表1_53[[#This Row],[配件1]],显卡利益点对照表[型号],显卡利益点对照表[可显性],"ERROR"),"")</f>
        <v>GV-N506TEAGLEMAX OC-8GD</v>
      </c>
      <c r="N43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斗战650S</v>
      </c>
      <c r="O43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43" t="str" cm="1">
        <f t="array" ref="Q43">_xlfn.IFS(表1_53[[#This Row],[配件1]]="","",表1_53[[#This Row],[文本丨算力丨算力值]]=0,"",表1_53[[#This Row],[文本丨算力丨算力值]]&lt;&gt;"","算力")</f>
        <v>算力</v>
      </c>
    </row>
    <row r="44" spans="2:17" x14ac:dyDescent="0.2">
      <c r="B44" s="22">
        <v>10148980474713</v>
      </c>
      <c r="C44" t="s">
        <v>275</v>
      </c>
      <c r="D44" t="s">
        <v>489</v>
      </c>
      <c r="F44" t="str">
        <f>IF(表1_53[[#This Row],[配件1]]&lt;&gt;"",_xlfn.XLOOKUP(表1_53[[#This Row],[配件1]],显卡利益点对照表[型号],显卡利益点对照表[标题1],"ERROR"),"")</f>
        <v>RTX5060 Ti</v>
      </c>
      <c r="G44" t="str">
        <f>IF(表1_53[[#This Row],[配件1]]&lt;&gt;"",_xlfn.XLOOKUP(表1_53[[#This Row],[配件1]],显卡利益点对照表[型号],显卡利益点对照表[标题2],"ERROR"),"")</f>
        <v>冰猎鹰 8G</v>
      </c>
      <c r="H44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EAGLE OC ICE</v>
      </c>
      <c r="I44" t="str">
        <f>IF(表1_53[[#This Row],[配件1]]&lt;&gt;"",_xlfn.XLOOKUP(表1_53[[#This Row],[配件1]],显卡利益点对照表[型号],显卡利益点对照表[利益点1],"ERROR"),"")</f>
        <v>铜板+复合式热管</v>
      </c>
      <c r="J44" t="str">
        <f>IF(表1_53[[#This Row],[配件1]]&lt;&gt;"",_xlfn.XLOOKUP(表1_53[[#This Row],[配件1]],显卡利益点对照表[型号],显卡利益点对照表[利益点2],"ERROR"),"")</f>
        <v>精巧双风扇</v>
      </c>
      <c r="K44" t="str">
        <f>IF(表1_53[[#This Row],[配件1]]&lt;&gt;"",_xlfn.XLOOKUP(表1_53[[#This Row],[配件1]],显卡利益点对照表[型号],显卡利益点对照表[利益点3],"ERROR"),"")</f>
        <v>仿生降噪风扇</v>
      </c>
      <c r="L44" t="str">
        <f>IF(表1_53[[#This Row],[配件1]]&lt;&gt;"",_xlfn.XLOOKUP(表1_53[[#This Row],[配件1]],显卡利益点对照表[型号],显卡利益点对照表[算力],"ERROR"),"")</f>
        <v>AI算力759 TOPS</v>
      </c>
      <c r="M44" t="str">
        <f>IF(表1_53[[#This Row],[配件1]]&lt;&gt;"",_xlfn.XLOOKUP(表1_53[[#This Row],[配件1]],显卡利益点对照表[型号],显卡利益点对照表[可显性],"ERROR"),"")</f>
        <v>GV-N506TEAGLE OC ICE-16GD</v>
      </c>
      <c r="N44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44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44" t="str" cm="1">
        <f t="array" ref="Q44">_xlfn.IFS(表1_53[[#This Row],[配件1]]="","",表1_53[[#This Row],[文本丨算力丨算力值]]=0,"",表1_53[[#This Row],[文本丨算力丨算力值]]&lt;&gt;"","算力")</f>
        <v>算力</v>
      </c>
    </row>
    <row r="45" spans="2:17" x14ac:dyDescent="0.2">
      <c r="B45" s="22">
        <v>10148980474714</v>
      </c>
      <c r="C45" t="s">
        <v>275</v>
      </c>
      <c r="D45" t="s">
        <v>210</v>
      </c>
      <c r="F45" t="str">
        <f>IF(表1_53[[#This Row],[配件1]]&lt;&gt;"",_xlfn.XLOOKUP(表1_53[[#This Row],[配件1]],显卡利益点对照表[型号],显卡利益点对照表[标题1],"ERROR"),"")</f>
        <v>RTX5060 Ti</v>
      </c>
      <c r="G45" t="str">
        <f>IF(表1_53[[#This Row],[配件1]]&lt;&gt;"",_xlfn.XLOOKUP(表1_53[[#This Row],[配件1]],显卡利益点对照表[型号],显卡利益点对照表[标题2],"ERROR"),"")</f>
        <v>冰猎鹰 8G</v>
      </c>
      <c r="H45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+650W电源</v>
      </c>
      <c r="I45" t="str">
        <f>IF(表1_53[[#This Row],[配件1]]&lt;&gt;"",_xlfn.XLOOKUP(表1_53[[#This Row],[配件1]],显卡利益点对照表[型号],显卡利益点对照表[利益点1],"ERROR"),"")</f>
        <v>铜板+复合式热管</v>
      </c>
      <c r="J45" t="str">
        <f>IF(表1_53[[#This Row],[配件1]]&lt;&gt;"",_xlfn.XLOOKUP(表1_53[[#This Row],[配件1]],显卡利益点对照表[型号],显卡利益点对照表[利益点2],"ERROR"),"")</f>
        <v>精巧双风扇</v>
      </c>
      <c r="K45" t="str">
        <f>IF(表1_53[[#This Row],[配件1]]&lt;&gt;"",_xlfn.XLOOKUP(表1_53[[#This Row],[配件1]],显卡利益点对照表[型号],显卡利益点对照表[利益点3],"ERROR"),"")</f>
        <v>仿生降噪风扇</v>
      </c>
      <c r="L45" t="str">
        <f>IF(表1_53[[#This Row],[配件1]]&lt;&gt;"",_xlfn.XLOOKUP(表1_53[[#This Row],[配件1]],显卡利益点对照表[型号],显卡利益点对照表[算力],"ERROR"),"")</f>
        <v>AI算力759 TOPS</v>
      </c>
      <c r="M45" t="str">
        <f>IF(表1_53[[#This Row],[配件1]]&lt;&gt;"",_xlfn.XLOOKUP(表1_53[[#This Row],[配件1]],显卡利益点对照表[型号],显卡利益点对照表[可显性],"ERROR"),"")</f>
        <v>GV-N506TEAGLE OC ICE-16GD</v>
      </c>
      <c r="N45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斗战650 ICE</v>
      </c>
      <c r="O45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45" t="str" cm="1">
        <f t="array" ref="Q45">_xlfn.IFS(表1_53[[#This Row],[配件1]]="","",表1_53[[#This Row],[文本丨算力丨算力值]]=0,"",表1_53[[#This Row],[文本丨算力丨算力值]]&lt;&gt;"","算力")</f>
        <v>算力</v>
      </c>
    </row>
    <row r="46" spans="2:17" x14ac:dyDescent="0.2">
      <c r="B46" s="22">
        <v>10076155580252</v>
      </c>
      <c r="C46" t="s">
        <v>272</v>
      </c>
      <c r="D46" t="s">
        <v>489</v>
      </c>
      <c r="F46" t="str">
        <f>IF(表1_53[[#This Row],[配件1]]&lt;&gt;"",_xlfn.XLOOKUP(表1_53[[#This Row],[配件1]],显卡利益点对照表[型号],显卡利益点对照表[标题1],"ERROR"),"")</f>
        <v>RTX5060 Ti</v>
      </c>
      <c r="G46" t="str">
        <f>IF(表1_53[[#This Row],[配件1]]&lt;&gt;"",_xlfn.XLOOKUP(表1_53[[#This Row],[配件1]],显卡利益点对照表[型号],显卡利益点对照表[标题2],"ERROR"),"")</f>
        <v>魔鹰 8G</v>
      </c>
      <c r="H46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GAMING  OC</v>
      </c>
      <c r="I46" t="str">
        <f>IF(表1_53[[#This Row],[配件1]]&lt;&gt;"",_xlfn.XLOOKUP(表1_53[[#This Row],[配件1]],显卡利益点对照表[型号],显卡利益点对照表[利益点1],"ERROR"),"")</f>
        <v>铜板+复合式热管</v>
      </c>
      <c r="J46" t="str">
        <f>IF(表1_53[[#This Row],[配件1]]&lt;&gt;"",_xlfn.XLOOKUP(表1_53[[#This Row],[配件1]],显卡利益点对照表[型号],显卡利益点对照表[利益点2],"ERROR"),"")</f>
        <v>RGB滑动侧板</v>
      </c>
      <c r="K46" t="str">
        <f>IF(表1_53[[#This Row],[配件1]]&lt;&gt;"",_xlfn.XLOOKUP(表1_53[[#This Row],[配件1]],显卡利益点对照表[型号],显卡利益点对照表[利益点3],"ERROR"),"")</f>
        <v>正逆转三风扇</v>
      </c>
      <c r="L46" t="str">
        <f>IF(表1_53[[#This Row],[配件1]]&lt;&gt;"",_xlfn.XLOOKUP(表1_53[[#This Row],[配件1]],显卡利益点对照表[型号],显卡利益点对照表[算力],"ERROR"),"")</f>
        <v>AI算力759 TOPS</v>
      </c>
      <c r="M46" t="str">
        <f>IF(表1_53[[#This Row],[配件1]]&lt;&gt;"",_xlfn.XLOOKUP(表1_53[[#This Row],[配件1]],显卡利益点对照表[型号],显卡利益点对照表[可显性],"ERROR"),"")</f>
        <v>GV-N506TGAMING OC-16GD</v>
      </c>
      <c r="N46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46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46" t="str" cm="1">
        <f t="array" ref="Q46">_xlfn.IFS(表1_53[[#This Row],[配件1]]="","",表1_53[[#This Row],[文本丨算力丨算力值]]=0,"",表1_53[[#This Row],[文本丨算力丨算力值]]&lt;&gt;"","算力")</f>
        <v>算力</v>
      </c>
    </row>
    <row r="47" spans="2:17" x14ac:dyDescent="0.2">
      <c r="B47" s="22">
        <v>10098325451768</v>
      </c>
      <c r="C47" t="s">
        <v>272</v>
      </c>
      <c r="D47" t="s">
        <v>279</v>
      </c>
      <c r="F47" t="str">
        <f>IF(表1_53[[#This Row],[配件1]]&lt;&gt;"",_xlfn.XLOOKUP(表1_53[[#This Row],[配件1]],显卡利益点对照表[型号],显卡利益点对照表[标题1],"ERROR"),"")</f>
        <v>RTX5060 Ti</v>
      </c>
      <c r="G47" t="str">
        <f>IF(表1_53[[#This Row],[配件1]]&lt;&gt;"",_xlfn.XLOOKUP(表1_53[[#This Row],[配件1]],显卡利益点对照表[型号],显卡利益点对照表[标题2],"ERROR"),"")</f>
        <v>魔鹰 8G</v>
      </c>
      <c r="H47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+650W电源</v>
      </c>
      <c r="I47" t="str">
        <f>IF(表1_53[[#This Row],[配件1]]&lt;&gt;"",_xlfn.XLOOKUP(表1_53[[#This Row],[配件1]],显卡利益点对照表[型号],显卡利益点对照表[利益点1],"ERROR"),"")</f>
        <v>铜板+复合式热管</v>
      </c>
      <c r="J47" t="str">
        <f>IF(表1_53[[#This Row],[配件1]]&lt;&gt;"",_xlfn.XLOOKUP(表1_53[[#This Row],[配件1]],显卡利益点对照表[型号],显卡利益点对照表[利益点2],"ERROR"),"")</f>
        <v>RGB滑动侧板</v>
      </c>
      <c r="K47" t="str">
        <f>IF(表1_53[[#This Row],[配件1]]&lt;&gt;"",_xlfn.XLOOKUP(表1_53[[#This Row],[配件1]],显卡利益点对照表[型号],显卡利益点对照表[利益点3],"ERROR"),"")</f>
        <v>正逆转三风扇</v>
      </c>
      <c r="L47" t="str">
        <f>IF(表1_53[[#This Row],[配件1]]&lt;&gt;"",_xlfn.XLOOKUP(表1_53[[#This Row],[配件1]],显卡利益点对照表[型号],显卡利益点对照表[算力],"ERROR"),"")</f>
        <v>AI算力759 TOPS</v>
      </c>
      <c r="M47" t="str">
        <f>IF(表1_53[[#This Row],[配件1]]&lt;&gt;"",_xlfn.XLOOKUP(表1_53[[#This Row],[配件1]],显卡利益点对照表[型号],显卡利益点对照表[可显性],"ERROR"),"")</f>
        <v>GV-N506TGAMING OC-16GD</v>
      </c>
      <c r="N47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斗战650S</v>
      </c>
      <c r="O47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47" t="str" cm="1">
        <f t="array" ref="Q47">_xlfn.IFS(表1_53[[#This Row],[配件1]]="","",表1_53[[#This Row],[文本丨算力丨算力值]]=0,"",表1_53[[#This Row],[文本丨算力丨算力值]]&lt;&gt;"","算力")</f>
        <v>算力</v>
      </c>
    </row>
    <row r="48" spans="2:17" x14ac:dyDescent="0.2">
      <c r="B48" s="22">
        <v>10076155580254</v>
      </c>
      <c r="C48" t="s">
        <v>270</v>
      </c>
      <c r="D48" t="s">
        <v>489</v>
      </c>
      <c r="F48" t="str">
        <f>IF(表1_53[[#This Row],[配件1]]&lt;&gt;"",_xlfn.XLOOKUP(表1_53[[#This Row],[配件1]],显卡利益点对照表[型号],显卡利益点对照表[标题1],"ERROR"),"")</f>
        <v>RTX5060 Ti</v>
      </c>
      <c r="G48" t="str">
        <f>IF(表1_53[[#This Row],[配件1]]&lt;&gt;"",_xlfn.XLOOKUP(表1_53[[#This Row],[配件1]],显卡利益点对照表[型号],显卡利益点对照表[标题2],"ERROR"),"")</f>
        <v>雪鹰 8G</v>
      </c>
      <c r="H48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AERO OC</v>
      </c>
      <c r="I48" t="str">
        <f>IF(表1_53[[#This Row],[配件1]]&lt;&gt;"",_xlfn.XLOOKUP(表1_53[[#This Row],[配件1]],显卡利益点对照表[型号],显卡利益点对照表[利益点1],"ERROR"),"")</f>
        <v>铜板+复合式热管</v>
      </c>
      <c r="J48" t="str">
        <f>IF(表1_53[[#This Row],[配件1]]&lt;&gt;"",_xlfn.XLOOKUP(表1_53[[#This Row],[配件1]],显卡利益点对照表[型号],显卡利益点对照表[利益点2],"ERROR"),"")</f>
        <v>银白雪装外观</v>
      </c>
      <c r="K48" t="str">
        <f>IF(表1_53[[#This Row],[配件1]]&lt;&gt;"",_xlfn.XLOOKUP(表1_53[[#This Row],[配件1]],显卡利益点对照表[型号],显卡利益点对照表[利益点3],"ERROR"),"")</f>
        <v>正逆转三风扇</v>
      </c>
      <c r="L48" t="str">
        <f>IF(表1_53[[#This Row],[配件1]]&lt;&gt;"",_xlfn.XLOOKUP(表1_53[[#This Row],[配件1]],显卡利益点对照表[型号],显卡利益点对照表[算力],"ERROR"),"")</f>
        <v>AI算力759 TOPS</v>
      </c>
      <c r="M48" t="str">
        <f>IF(表1_53[[#This Row],[配件1]]&lt;&gt;"",_xlfn.XLOOKUP(表1_53[[#This Row],[配件1]],显卡利益点对照表[型号],显卡利益点对照表[可显性],"ERROR"),"")</f>
        <v>GV-N506TAERO OC-16GD</v>
      </c>
      <c r="N48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48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48" t="str" cm="1">
        <f t="array" ref="Q48">_xlfn.IFS(表1_53[[#This Row],[配件1]]="","",表1_53[[#This Row],[文本丨算力丨算力值]]=0,"",表1_53[[#This Row],[文本丨算力丨算力值]]&lt;&gt;"","算力")</f>
        <v>算力</v>
      </c>
    </row>
    <row r="49" spans="2:17" x14ac:dyDescent="0.2">
      <c r="B49" s="22">
        <v>10098325451769</v>
      </c>
      <c r="C49" t="s">
        <v>270</v>
      </c>
      <c r="D49" t="s">
        <v>210</v>
      </c>
      <c r="F49" t="str">
        <f>IF(表1_53[[#This Row],[配件1]]&lt;&gt;"",_xlfn.XLOOKUP(表1_53[[#This Row],[配件1]],显卡利益点对照表[型号],显卡利益点对照表[标题1],"ERROR"),"")</f>
        <v>RTX5060 Ti</v>
      </c>
      <c r="G49" t="str">
        <f>IF(表1_53[[#This Row],[配件1]]&lt;&gt;"",_xlfn.XLOOKUP(表1_53[[#This Row],[配件1]],显卡利益点对照表[型号],显卡利益点对照表[标题2],"ERROR"),"")</f>
        <v>雪鹰 8G</v>
      </c>
      <c r="H49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+650W电源</v>
      </c>
      <c r="I49" t="str">
        <f>IF(表1_53[[#This Row],[配件1]]&lt;&gt;"",_xlfn.XLOOKUP(表1_53[[#This Row],[配件1]],显卡利益点对照表[型号],显卡利益点对照表[利益点1],"ERROR"),"")</f>
        <v>铜板+复合式热管</v>
      </c>
      <c r="J49" t="str">
        <f>IF(表1_53[[#This Row],[配件1]]&lt;&gt;"",_xlfn.XLOOKUP(表1_53[[#This Row],[配件1]],显卡利益点对照表[型号],显卡利益点对照表[利益点2],"ERROR"),"")</f>
        <v>银白雪装外观</v>
      </c>
      <c r="K49" t="str">
        <f>IF(表1_53[[#This Row],[配件1]]&lt;&gt;"",_xlfn.XLOOKUP(表1_53[[#This Row],[配件1]],显卡利益点对照表[型号],显卡利益点对照表[利益点3],"ERROR"),"")</f>
        <v>正逆转三风扇</v>
      </c>
      <c r="L49" t="str">
        <f>IF(表1_53[[#This Row],[配件1]]&lt;&gt;"",_xlfn.XLOOKUP(表1_53[[#This Row],[配件1]],显卡利益点对照表[型号],显卡利益点对照表[算力],"ERROR"),"")</f>
        <v>AI算力759 TOPS</v>
      </c>
      <c r="M49" t="str">
        <f>IF(表1_53[[#This Row],[配件1]]&lt;&gt;"",_xlfn.XLOOKUP(表1_53[[#This Row],[配件1]],显卡利益点对照表[型号],显卡利益点对照表[可显性],"ERROR"),"")</f>
        <v>GV-N506TAERO OC-16GD</v>
      </c>
      <c r="N49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斗战650 ICE</v>
      </c>
      <c r="O49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49" t="str" cm="1">
        <f t="array" ref="Q49">_xlfn.IFS(表1_53[[#This Row],[配件1]]="","",表1_53[[#This Row],[文本丨算力丨算力值]]=0,"",表1_53[[#This Row],[文本丨算力丨算力值]]&lt;&gt;"","算力")</f>
        <v>算力</v>
      </c>
    </row>
    <row r="50" spans="2:17" x14ac:dyDescent="0.2">
      <c r="B50" s="22">
        <v>10076155580248</v>
      </c>
      <c r="C50" t="s">
        <v>271</v>
      </c>
      <c r="D50" t="s">
        <v>489</v>
      </c>
      <c r="F50" t="str">
        <f>IF(表1_53[[#This Row],[配件1]]&lt;&gt;"",_xlfn.XLOOKUP(表1_53[[#This Row],[配件1]],显卡利益点对照表[型号],显卡利益点对照表[标题1],"ERROR"),"")</f>
        <v>RTX5060 Ti</v>
      </c>
      <c r="G50" t="str">
        <f>IF(表1_53[[#This Row],[配件1]]&lt;&gt;"",_xlfn.XLOOKUP(表1_53[[#This Row],[配件1]],显卡利益点对照表[型号],显卡利益点对照表[标题2],"ERROR"),"")</f>
        <v>风魔16G</v>
      </c>
      <c r="H50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WF2</v>
      </c>
      <c r="I50" t="str">
        <f>IF(表1_53[[#This Row],[配件1]]&lt;&gt;"",_xlfn.XLOOKUP(表1_53[[#This Row],[配件1]],显卡利益点对照表[型号],显卡利益点对照表[利益点1],"ERROR"),"")</f>
        <v>铜板+复合式热管</v>
      </c>
      <c r="J50" t="str">
        <f>IF(表1_53[[#This Row],[配件1]]&lt;&gt;"",_xlfn.XLOOKUP(表1_53[[#This Row],[配件1]],显卡利益点对照表[型号],显卡利益点对照表[利益点2],"ERROR"),"")</f>
        <v>精巧双风扇</v>
      </c>
      <c r="K50" t="str">
        <f>IF(表1_53[[#This Row],[配件1]]&lt;&gt;"",_xlfn.XLOOKUP(表1_53[[#This Row],[配件1]],显卡利益点对照表[型号],显卡利益点对照表[利益点3],"ERROR"),"")</f>
        <v>16G大显存</v>
      </c>
      <c r="L50" t="str">
        <f>IF(表1_53[[#This Row],[配件1]]&lt;&gt;"",_xlfn.XLOOKUP(表1_53[[#This Row],[配件1]],显卡利益点对照表[型号],显卡利益点对照表[算力],"ERROR"),"")</f>
        <v>AI算力759 TOPS</v>
      </c>
      <c r="M50" t="str">
        <f>IF(表1_53[[#This Row],[配件1]]&lt;&gt;"",_xlfn.XLOOKUP(表1_53[[#This Row],[配件1]],显卡利益点对照表[型号],显卡利益点对照表[可显性],"ERROR"),"")</f>
        <v>GV-N506TWF2-16GD</v>
      </c>
      <c r="N50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50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50" t="str" cm="1">
        <f t="array" ref="Q50">_xlfn.IFS(表1_53[[#This Row],[配件1]]="","",表1_53[[#This Row],[文本丨算力丨算力值]]=0,"",表1_53[[#This Row],[文本丨算力丨算力值]]&lt;&gt;"","算力")</f>
        <v>算力</v>
      </c>
    </row>
    <row r="51" spans="2:17" x14ac:dyDescent="0.2">
      <c r="B51" s="22">
        <v>10098325451770</v>
      </c>
      <c r="C51" t="s">
        <v>271</v>
      </c>
      <c r="D51" t="s">
        <v>279</v>
      </c>
      <c r="F51" t="str">
        <f>IF(表1_53[[#This Row],[配件1]]&lt;&gt;"",_xlfn.XLOOKUP(表1_53[[#This Row],[配件1]],显卡利益点对照表[型号],显卡利益点对照表[标题1],"ERROR"),"")</f>
        <v>RTX5060 Ti</v>
      </c>
      <c r="G51" t="str">
        <f>IF(表1_53[[#This Row],[配件1]]&lt;&gt;"",_xlfn.XLOOKUP(表1_53[[#This Row],[配件1]],显卡利益点对照表[型号],显卡利益点对照表[标题2],"ERROR"),"")</f>
        <v>风魔16G</v>
      </c>
      <c r="H51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+650W电源</v>
      </c>
      <c r="I51" t="str">
        <f>IF(表1_53[[#This Row],[配件1]]&lt;&gt;"",_xlfn.XLOOKUP(表1_53[[#This Row],[配件1]],显卡利益点对照表[型号],显卡利益点对照表[利益点1],"ERROR"),"")</f>
        <v>铜板+复合式热管</v>
      </c>
      <c r="J51" t="str">
        <f>IF(表1_53[[#This Row],[配件1]]&lt;&gt;"",_xlfn.XLOOKUP(表1_53[[#This Row],[配件1]],显卡利益点对照表[型号],显卡利益点对照表[利益点2],"ERROR"),"")</f>
        <v>精巧双风扇</v>
      </c>
      <c r="K51" t="str">
        <f>IF(表1_53[[#This Row],[配件1]]&lt;&gt;"",_xlfn.XLOOKUP(表1_53[[#This Row],[配件1]],显卡利益点对照表[型号],显卡利益点对照表[利益点3],"ERROR"),"")</f>
        <v>16G大显存</v>
      </c>
      <c r="L51" t="str">
        <f>IF(表1_53[[#This Row],[配件1]]&lt;&gt;"",_xlfn.XLOOKUP(表1_53[[#This Row],[配件1]],显卡利益点对照表[型号],显卡利益点对照表[算力],"ERROR"),"")</f>
        <v>AI算力759 TOPS</v>
      </c>
      <c r="M51" t="str">
        <f>IF(表1_53[[#This Row],[配件1]]&lt;&gt;"",_xlfn.XLOOKUP(表1_53[[#This Row],[配件1]],显卡利益点对照表[型号],显卡利益点对照表[可显性],"ERROR"),"")</f>
        <v>GV-N506TWF2-16GD</v>
      </c>
      <c r="N51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斗战650S</v>
      </c>
      <c r="O51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51" t="str" cm="1">
        <f t="array" ref="Q51">_xlfn.IFS(表1_53[[#This Row],[配件1]]="","",表1_53[[#This Row],[文本丨算力丨算力值]]=0,"",表1_53[[#This Row],[文本丨算力丨算力值]]&lt;&gt;"","算力")</f>
        <v>算力</v>
      </c>
    </row>
    <row r="52" spans="2:17" x14ac:dyDescent="0.2">
      <c r="B52" s="22">
        <v>10148977887434</v>
      </c>
      <c r="C52" t="s">
        <v>278</v>
      </c>
      <c r="D52" t="s">
        <v>489</v>
      </c>
      <c r="F52" t="str">
        <f>IF(表1_53[[#This Row],[配件1]]&lt;&gt;"",_xlfn.XLOOKUP(表1_53[[#This Row],[配件1]],显卡利益点对照表[型号],显卡利益点对照表[标题1],"ERROR"),"")</f>
        <v>RTX5060 Ti</v>
      </c>
      <c r="G52" t="str">
        <f>IF(表1_53[[#This Row],[配件1]]&lt;&gt;"",_xlfn.XLOOKUP(表1_53[[#This Row],[配件1]],显卡利益点对照表[型号],显卡利益点对照表[标题2],"ERROR"),"")</f>
        <v>猎鹰 16G</v>
      </c>
      <c r="H52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EAGLE OC</v>
      </c>
      <c r="I52" t="str">
        <f>IF(表1_53[[#This Row],[配件1]]&lt;&gt;"",_xlfn.XLOOKUP(表1_53[[#This Row],[配件1]],显卡利益点对照表[型号],显卡利益点对照表[利益点1],"ERROR"),"")</f>
        <v>铜板+复合式热管</v>
      </c>
      <c r="J52" t="str">
        <f>IF(表1_53[[#This Row],[配件1]]&lt;&gt;"",_xlfn.XLOOKUP(表1_53[[#This Row],[配件1]],显卡利益点对照表[型号],显卡利益点对照表[利益点2],"ERROR"),"")</f>
        <v>精巧双风扇</v>
      </c>
      <c r="K52" t="str">
        <f>IF(表1_53[[#This Row],[配件1]]&lt;&gt;"",_xlfn.XLOOKUP(表1_53[[#This Row],[配件1]],显卡利益点对照表[型号],显卡利益点对照表[利益点3],"ERROR"),"")</f>
        <v>16G大显存</v>
      </c>
      <c r="L52" t="str">
        <f>IF(表1_53[[#This Row],[配件1]]&lt;&gt;"",_xlfn.XLOOKUP(表1_53[[#This Row],[配件1]],显卡利益点对照表[型号],显卡利益点对照表[算力],"ERROR"),"")</f>
        <v>AI算力759 TOPS</v>
      </c>
      <c r="M52" t="str">
        <f>IF(表1_53[[#This Row],[配件1]]&lt;&gt;"",_xlfn.XLOOKUP(表1_53[[#This Row],[配件1]],显卡利益点对照表[型号],显卡利益点对照表[可显性],"ERROR"),"")</f>
        <v>GV-N506TEAGLE OC-16GD</v>
      </c>
      <c r="N52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52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52" t="str" cm="1">
        <f t="array" ref="Q52">_xlfn.IFS(表1_53[[#This Row],[配件1]]="","",表1_53[[#This Row],[文本丨算力丨算力值]]=0,"",表1_53[[#This Row],[文本丨算力丨算力值]]&lt;&gt;"","算力")</f>
        <v>算力</v>
      </c>
    </row>
    <row r="53" spans="2:17" x14ac:dyDescent="0.2">
      <c r="B53" s="22">
        <v>10148977887435</v>
      </c>
      <c r="C53" t="s">
        <v>278</v>
      </c>
      <c r="D53" t="s">
        <v>279</v>
      </c>
      <c r="F53" t="str">
        <f>IF(表1_53[[#This Row],[配件1]]&lt;&gt;"",_xlfn.XLOOKUP(表1_53[[#This Row],[配件1]],显卡利益点对照表[型号],显卡利益点对照表[标题1],"ERROR"),"")</f>
        <v>RTX5060 Ti</v>
      </c>
      <c r="G53" t="str">
        <f>IF(表1_53[[#This Row],[配件1]]&lt;&gt;"",_xlfn.XLOOKUP(表1_53[[#This Row],[配件1]],显卡利益点对照表[型号],显卡利益点对照表[标题2],"ERROR"),"")</f>
        <v>猎鹰 16G</v>
      </c>
      <c r="H53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+650W电源</v>
      </c>
      <c r="I53" t="str">
        <f>IF(表1_53[[#This Row],[配件1]]&lt;&gt;"",_xlfn.XLOOKUP(表1_53[[#This Row],[配件1]],显卡利益点对照表[型号],显卡利益点对照表[利益点1],"ERROR"),"")</f>
        <v>铜板+复合式热管</v>
      </c>
      <c r="J53" t="str">
        <f>IF(表1_53[[#This Row],[配件1]]&lt;&gt;"",_xlfn.XLOOKUP(表1_53[[#This Row],[配件1]],显卡利益点对照表[型号],显卡利益点对照表[利益点2],"ERROR"),"")</f>
        <v>精巧双风扇</v>
      </c>
      <c r="K53" t="str">
        <f>IF(表1_53[[#This Row],[配件1]]&lt;&gt;"",_xlfn.XLOOKUP(表1_53[[#This Row],[配件1]],显卡利益点对照表[型号],显卡利益点对照表[利益点3],"ERROR"),"")</f>
        <v>16G大显存</v>
      </c>
      <c r="L53" t="str">
        <f>IF(表1_53[[#This Row],[配件1]]&lt;&gt;"",_xlfn.XLOOKUP(表1_53[[#This Row],[配件1]],显卡利益点对照表[型号],显卡利益点对照表[算力],"ERROR"),"")</f>
        <v>AI算力759 TOPS</v>
      </c>
      <c r="M53" t="str">
        <f>IF(表1_53[[#This Row],[配件1]]&lt;&gt;"",_xlfn.XLOOKUP(表1_53[[#This Row],[配件1]],显卡利益点对照表[型号],显卡利益点对照表[可显性],"ERROR"),"")</f>
        <v>GV-N506TEAGLE OC-16GD</v>
      </c>
      <c r="N53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斗战650S</v>
      </c>
      <c r="O53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53" t="str" cm="1">
        <f t="array" ref="Q53">_xlfn.IFS(表1_53[[#This Row],[配件1]]="","",表1_53[[#This Row],[文本丨算力丨算力值]]=0,"",表1_53[[#This Row],[文本丨算力丨算力值]]&lt;&gt;"","算力")</f>
        <v>算力</v>
      </c>
    </row>
    <row r="54" spans="2:17" x14ac:dyDescent="0.2">
      <c r="B54" s="22">
        <v>10164254379477</v>
      </c>
      <c r="C54" s="42" t="s">
        <v>571</v>
      </c>
      <c r="D54" t="s">
        <v>489</v>
      </c>
      <c r="F54" t="str">
        <f>IF(表1_53[[#This Row],[配件1]]&lt;&gt;"",_xlfn.XLOOKUP(表1_53[[#This Row],[配件1]],显卡利益点对照表[型号],显卡利益点对照表[标题1],"ERROR"),"")</f>
        <v>RTX5060 Ti</v>
      </c>
      <c r="G54" t="str">
        <f>IF(表1_53[[#This Row],[配件1]]&lt;&gt;"",_xlfn.XLOOKUP(表1_53[[#This Row],[配件1]],显卡利益点对照表[型号],显卡利益点对照表[标题2],"ERROR"),"")</f>
        <v>猎鹰 16G</v>
      </c>
      <c r="H54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EAGLE MAX</v>
      </c>
      <c r="I54" t="str">
        <f>IF(表1_53[[#This Row],[配件1]]&lt;&gt;"",_xlfn.XLOOKUP(表1_53[[#This Row],[配件1]],显卡利益点对照表[型号],显卡利益点对照表[利益点1],"ERROR"),"")</f>
        <v>铜板+复合式热管</v>
      </c>
      <c r="J54" t="str">
        <f>IF(表1_53[[#This Row],[配件1]]&lt;&gt;"",_xlfn.XLOOKUP(表1_53[[#This Row],[配件1]],显卡利益点对照表[型号],显卡利益点对照表[利益点2],"ERROR"),"")</f>
        <v>正逆转三风扇</v>
      </c>
      <c r="K54" t="str">
        <f>IF(表1_53[[#This Row],[配件1]]&lt;&gt;"",_xlfn.XLOOKUP(表1_53[[#This Row],[配件1]],显卡利益点对照表[型号],显卡利益点对照表[利益点3],"ERROR"),"")</f>
        <v>16G大显存</v>
      </c>
      <c r="L54" t="str">
        <f>IF(表1_53[[#This Row],[配件1]]&lt;&gt;"",_xlfn.XLOOKUP(表1_53[[#This Row],[配件1]],显卡利益点对照表[型号],显卡利益点对照表[算力],"ERROR"),"")</f>
        <v>AI算力759 TOPS</v>
      </c>
      <c r="M54" t="str">
        <f>IF(表1_53[[#This Row],[配件1]]&lt;&gt;"",_xlfn.XLOOKUP(表1_53[[#This Row],[配件1]],显卡利益点对照表[型号],显卡利益点对照表[可显性],"ERROR"),"")</f>
        <v>GV-N506TEAGLEMAX OC-16GD</v>
      </c>
      <c r="N54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54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54" t="str" cm="1">
        <f t="array" ref="Q54">_xlfn.IFS(表1_53[[#This Row],[配件1]]="","",表1_53[[#This Row],[文本丨算力丨算力值]]=0,"",表1_53[[#This Row],[文本丨算力丨算力值]]&lt;&gt;"","算力")</f>
        <v>算力</v>
      </c>
    </row>
    <row r="55" spans="2:17" x14ac:dyDescent="0.2">
      <c r="B55" s="22" t="s">
        <v>572</v>
      </c>
      <c r="C55" s="42" t="s">
        <v>571</v>
      </c>
      <c r="D55" t="s">
        <v>279</v>
      </c>
      <c r="F55" t="str">
        <f>IF(表1_53[[#This Row],[配件1]]&lt;&gt;"",_xlfn.XLOOKUP(表1_53[[#This Row],[配件1]],显卡利益点对照表[型号],显卡利益点对照表[标题1],"ERROR"),"")</f>
        <v>RTX5060 Ti</v>
      </c>
      <c r="G55" t="str">
        <f>IF(表1_53[[#This Row],[配件1]]&lt;&gt;"",_xlfn.XLOOKUP(表1_53[[#This Row],[配件1]],显卡利益点对照表[型号],显卡利益点对照表[标题2],"ERROR"),"")</f>
        <v>猎鹰 16G</v>
      </c>
      <c r="H55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+650W电源</v>
      </c>
      <c r="I55" t="str">
        <f>IF(表1_53[[#This Row],[配件1]]&lt;&gt;"",_xlfn.XLOOKUP(表1_53[[#This Row],[配件1]],显卡利益点对照表[型号],显卡利益点对照表[利益点1],"ERROR"),"")</f>
        <v>铜板+复合式热管</v>
      </c>
      <c r="J55" t="str">
        <f>IF(表1_53[[#This Row],[配件1]]&lt;&gt;"",_xlfn.XLOOKUP(表1_53[[#This Row],[配件1]],显卡利益点对照表[型号],显卡利益点对照表[利益点2],"ERROR"),"")</f>
        <v>正逆转三风扇</v>
      </c>
      <c r="K55" t="str">
        <f>IF(表1_53[[#This Row],[配件1]]&lt;&gt;"",_xlfn.XLOOKUP(表1_53[[#This Row],[配件1]],显卡利益点对照表[型号],显卡利益点对照表[利益点3],"ERROR"),"")</f>
        <v>16G大显存</v>
      </c>
      <c r="L55" t="str">
        <f>IF(表1_53[[#This Row],[配件1]]&lt;&gt;"",_xlfn.XLOOKUP(表1_53[[#This Row],[配件1]],显卡利益点对照表[型号],显卡利益点对照表[算力],"ERROR"),"")</f>
        <v>AI算力759 TOPS</v>
      </c>
      <c r="M55" t="str">
        <f>IF(表1_53[[#This Row],[配件1]]&lt;&gt;"",_xlfn.XLOOKUP(表1_53[[#This Row],[配件1]],显卡利益点对照表[型号],显卡利益点对照表[可显性],"ERROR"),"")</f>
        <v>GV-N506TEAGLEMAX OC-16GD</v>
      </c>
      <c r="N55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斗战650S</v>
      </c>
      <c r="O55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55" t="str" cm="1">
        <f t="array" ref="Q55">_xlfn.IFS(表1_53[[#This Row],[配件1]]="","",表1_53[[#This Row],[文本丨算力丨算力值]]=0,"",表1_53[[#This Row],[文本丨算力丨算力值]]&lt;&gt;"","算力")</f>
        <v>算力</v>
      </c>
    </row>
    <row r="56" spans="2:17" x14ac:dyDescent="0.2">
      <c r="B56" s="22">
        <v>10148977887436</v>
      </c>
      <c r="C56" t="s">
        <v>274</v>
      </c>
      <c r="D56" t="s">
        <v>489</v>
      </c>
      <c r="F56" t="str">
        <f>IF(表1_53[[#This Row],[配件1]]&lt;&gt;"",_xlfn.XLOOKUP(表1_53[[#This Row],[配件1]],显卡利益点对照表[型号],显卡利益点对照表[标题1],"ERROR"),"")</f>
        <v>RTX5060 Ti</v>
      </c>
      <c r="G56" t="str">
        <f>IF(表1_53[[#This Row],[配件1]]&lt;&gt;"",_xlfn.XLOOKUP(表1_53[[#This Row],[配件1]],显卡利益点对照表[型号],显卡利益点对照表[标题2],"ERROR"),"")</f>
        <v>冰猎鹰 16G</v>
      </c>
      <c r="H56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EAGLE OC ICE</v>
      </c>
      <c r="I56" t="str">
        <f>IF(表1_53[[#This Row],[配件1]]&lt;&gt;"",_xlfn.XLOOKUP(表1_53[[#This Row],[配件1]],显卡利益点对照表[型号],显卡利益点对照表[利益点1],"ERROR"),"")</f>
        <v>铜板+复合式热管</v>
      </c>
      <c r="J56" t="str">
        <f>IF(表1_53[[#This Row],[配件1]]&lt;&gt;"",_xlfn.XLOOKUP(表1_53[[#This Row],[配件1]],显卡利益点对照表[型号],显卡利益点对照表[利益点2],"ERROR"),"")</f>
        <v>精巧双风扇</v>
      </c>
      <c r="K56" t="str">
        <f>IF(表1_53[[#This Row],[配件1]]&lt;&gt;"",_xlfn.XLOOKUP(表1_53[[#This Row],[配件1]],显卡利益点对照表[型号],显卡利益点对照表[利益点3],"ERROR"),"")</f>
        <v>16G大显存</v>
      </c>
      <c r="L56" t="str">
        <f>IF(表1_53[[#This Row],[配件1]]&lt;&gt;"",_xlfn.XLOOKUP(表1_53[[#This Row],[配件1]],显卡利益点对照表[型号],显卡利益点对照表[算力],"ERROR"),"")</f>
        <v>AI算力759 TOPS</v>
      </c>
      <c r="M56" t="str">
        <f>IF(表1_53[[#This Row],[配件1]]&lt;&gt;"",_xlfn.XLOOKUP(表1_53[[#This Row],[配件1]],显卡利益点对照表[型号],显卡利益点对照表[可显性],"ERROR"),"")</f>
        <v>GV-N506TEAGLE OC ICE-16GD</v>
      </c>
      <c r="N56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56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56" t="str" cm="1">
        <f t="array" ref="Q56">_xlfn.IFS(表1_53[[#This Row],[配件1]]="","",表1_53[[#This Row],[文本丨算力丨算力值]]=0,"",表1_53[[#This Row],[文本丨算力丨算力值]]&lt;&gt;"","算力")</f>
        <v>算力</v>
      </c>
    </row>
    <row r="57" spans="2:17" x14ac:dyDescent="0.2">
      <c r="B57" s="22">
        <v>10148977887437</v>
      </c>
      <c r="C57" t="s">
        <v>274</v>
      </c>
      <c r="D57" t="s">
        <v>210</v>
      </c>
      <c r="F57" t="str">
        <f>IF(表1_53[[#This Row],[配件1]]&lt;&gt;"",_xlfn.XLOOKUP(表1_53[[#This Row],[配件1]],显卡利益点对照表[型号],显卡利益点对照表[标题1],"ERROR"),"")</f>
        <v>RTX5060 Ti</v>
      </c>
      <c r="G57" t="str">
        <f>IF(表1_53[[#This Row],[配件1]]&lt;&gt;"",_xlfn.XLOOKUP(表1_53[[#This Row],[配件1]],显卡利益点对照表[型号],显卡利益点对照表[标题2],"ERROR"),"")</f>
        <v>冰猎鹰 16G</v>
      </c>
      <c r="H57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+650W电源</v>
      </c>
      <c r="I57" t="str">
        <f>IF(表1_53[[#This Row],[配件1]]&lt;&gt;"",_xlfn.XLOOKUP(表1_53[[#This Row],[配件1]],显卡利益点对照表[型号],显卡利益点对照表[利益点1],"ERROR"),"")</f>
        <v>铜板+复合式热管</v>
      </c>
      <c r="J57" t="str">
        <f>IF(表1_53[[#This Row],[配件1]]&lt;&gt;"",_xlfn.XLOOKUP(表1_53[[#This Row],[配件1]],显卡利益点对照表[型号],显卡利益点对照表[利益点2],"ERROR"),"")</f>
        <v>精巧双风扇</v>
      </c>
      <c r="K57" t="str">
        <f>IF(表1_53[[#This Row],[配件1]]&lt;&gt;"",_xlfn.XLOOKUP(表1_53[[#This Row],[配件1]],显卡利益点对照表[型号],显卡利益点对照表[利益点3],"ERROR"),"")</f>
        <v>16G大显存</v>
      </c>
      <c r="L57" t="str">
        <f>IF(表1_53[[#This Row],[配件1]]&lt;&gt;"",_xlfn.XLOOKUP(表1_53[[#This Row],[配件1]],显卡利益点对照表[型号],显卡利益点对照表[算力],"ERROR"),"")</f>
        <v>AI算力759 TOPS</v>
      </c>
      <c r="M57" t="str">
        <f>IF(表1_53[[#This Row],[配件1]]&lt;&gt;"",_xlfn.XLOOKUP(表1_53[[#This Row],[配件1]],显卡利益点对照表[型号],显卡利益点对照表[可显性],"ERROR"),"")</f>
        <v>GV-N506TEAGLE OC ICE-16GD</v>
      </c>
      <c r="N57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斗战650 ICE</v>
      </c>
      <c r="O57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57" t="str" cm="1">
        <f t="array" ref="Q57">_xlfn.IFS(表1_53[[#This Row],[配件1]]="","",表1_53[[#This Row],[文本丨算力丨算力值]]=0,"",表1_53[[#This Row],[文本丨算力丨算力值]]&lt;&gt;"","算力")</f>
        <v>算力</v>
      </c>
    </row>
    <row r="58" spans="2:17" x14ac:dyDescent="0.2">
      <c r="B58" s="22">
        <v>10080978603165</v>
      </c>
      <c r="C58" t="s">
        <v>273</v>
      </c>
      <c r="D58" t="s">
        <v>489</v>
      </c>
      <c r="F58" t="str">
        <f>IF(表1_53[[#This Row],[配件1]]&lt;&gt;"",_xlfn.XLOOKUP(表1_53[[#This Row],[配件1]],显卡利益点对照表[型号],显卡利益点对照表[标题1],"ERROR"),"")</f>
        <v>RTX5060 Ti</v>
      </c>
      <c r="G58" t="str">
        <f>IF(表1_53[[#This Row],[配件1]]&lt;&gt;"",_xlfn.XLOOKUP(表1_53[[#This Row],[配件1]],显卡利益点对照表[型号],显卡利益点对照表[标题2],"ERROR"),"")</f>
        <v>魔鹰 16G</v>
      </c>
      <c r="H58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GAMING  OC</v>
      </c>
      <c r="I58" t="str">
        <f>IF(表1_53[[#This Row],[配件1]]&lt;&gt;"",_xlfn.XLOOKUP(表1_53[[#This Row],[配件1]],显卡利益点对照表[型号],显卡利益点对照表[利益点1],"ERROR"),"")</f>
        <v>铜板+复合式热管</v>
      </c>
      <c r="J58" t="str">
        <f>IF(表1_53[[#This Row],[配件1]]&lt;&gt;"",_xlfn.XLOOKUP(表1_53[[#This Row],[配件1]],显卡利益点对照表[型号],显卡利益点对照表[利益点2],"ERROR"),"")</f>
        <v>RGB滑动侧板</v>
      </c>
      <c r="K58" t="str">
        <f>IF(表1_53[[#This Row],[配件1]]&lt;&gt;"",_xlfn.XLOOKUP(表1_53[[#This Row],[配件1]],显卡利益点对照表[型号],显卡利益点对照表[利益点3],"ERROR"),"")</f>
        <v>正逆转三风扇</v>
      </c>
      <c r="L58" t="str">
        <f>IF(表1_53[[#This Row],[配件1]]&lt;&gt;"",_xlfn.XLOOKUP(表1_53[[#This Row],[配件1]],显卡利益点对照表[型号],显卡利益点对照表[算力],"ERROR"),"")</f>
        <v>AI算力759 TOPS</v>
      </c>
      <c r="M58" t="str">
        <f>IF(表1_53[[#This Row],[配件1]]&lt;&gt;"",_xlfn.XLOOKUP(表1_53[[#This Row],[配件1]],显卡利益点对照表[型号],显卡利益点对照表[可显性],"ERROR"),"")</f>
        <v>GV-N506TGAMING OC-16GD</v>
      </c>
      <c r="N58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58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58" t="str" cm="1">
        <f t="array" ref="Q58">_xlfn.IFS(表1_53[[#This Row],[配件1]]="","",表1_53[[#This Row],[文本丨算力丨算力值]]=0,"",表1_53[[#This Row],[文本丨算力丨算力值]]&lt;&gt;"","算力")</f>
        <v>算力</v>
      </c>
    </row>
    <row r="59" spans="2:17" x14ac:dyDescent="0.2">
      <c r="B59" s="22">
        <v>10098325451771</v>
      </c>
      <c r="C59" t="s">
        <v>273</v>
      </c>
      <c r="D59" t="s">
        <v>279</v>
      </c>
      <c r="F59" t="str">
        <f>IF(表1_53[[#This Row],[配件1]]&lt;&gt;"",_xlfn.XLOOKUP(表1_53[[#This Row],[配件1]],显卡利益点对照表[型号],显卡利益点对照表[标题1],"ERROR"),"")</f>
        <v>RTX5060 Ti</v>
      </c>
      <c r="G59" t="str">
        <f>IF(表1_53[[#This Row],[配件1]]&lt;&gt;"",_xlfn.XLOOKUP(表1_53[[#This Row],[配件1]],显卡利益点对照表[型号],显卡利益点对照表[标题2],"ERROR"),"")</f>
        <v>魔鹰 16G</v>
      </c>
      <c r="H59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+650W电源</v>
      </c>
      <c r="I59" t="str">
        <f>IF(表1_53[[#This Row],[配件1]]&lt;&gt;"",_xlfn.XLOOKUP(表1_53[[#This Row],[配件1]],显卡利益点对照表[型号],显卡利益点对照表[利益点1],"ERROR"),"")</f>
        <v>铜板+复合式热管</v>
      </c>
      <c r="J59" t="str">
        <f>IF(表1_53[[#This Row],[配件1]]&lt;&gt;"",_xlfn.XLOOKUP(表1_53[[#This Row],[配件1]],显卡利益点对照表[型号],显卡利益点对照表[利益点2],"ERROR"),"")</f>
        <v>RGB滑动侧板</v>
      </c>
      <c r="K59" t="str">
        <f>IF(表1_53[[#This Row],[配件1]]&lt;&gt;"",_xlfn.XLOOKUP(表1_53[[#This Row],[配件1]],显卡利益点对照表[型号],显卡利益点对照表[利益点3],"ERROR"),"")</f>
        <v>正逆转三风扇</v>
      </c>
      <c r="L59" t="str">
        <f>IF(表1_53[[#This Row],[配件1]]&lt;&gt;"",_xlfn.XLOOKUP(表1_53[[#This Row],[配件1]],显卡利益点对照表[型号],显卡利益点对照表[算力],"ERROR"),"")</f>
        <v>AI算力759 TOPS</v>
      </c>
      <c r="M59" t="str">
        <f>IF(表1_53[[#This Row],[配件1]]&lt;&gt;"",_xlfn.XLOOKUP(表1_53[[#This Row],[配件1]],显卡利益点对照表[型号],显卡利益点对照表[可显性],"ERROR"),"")</f>
        <v>GV-N506TGAMING OC-16GD</v>
      </c>
      <c r="N59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斗战650S</v>
      </c>
      <c r="O59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59" t="str" cm="1">
        <f t="array" ref="Q59">_xlfn.IFS(表1_53[[#This Row],[配件1]]="","",表1_53[[#This Row],[文本丨算力丨算力值]]=0,"",表1_53[[#This Row],[文本丨算力丨算力值]]&lt;&gt;"","算力")</f>
        <v>算力</v>
      </c>
    </row>
    <row r="60" spans="2:17" ht="15" customHeight="1" x14ac:dyDescent="0.2">
      <c r="B60" s="22">
        <v>10080978603167</v>
      </c>
      <c r="C60" t="s">
        <v>269</v>
      </c>
      <c r="D60" t="s">
        <v>489</v>
      </c>
      <c r="F60" t="str">
        <f>IF(表1_53[[#This Row],[配件1]]&lt;&gt;"",_xlfn.XLOOKUP(表1_53[[#This Row],[配件1]],显卡利益点对照表[型号],显卡利益点对照表[标题1],"ERROR"),"")</f>
        <v>RTX5060 Ti</v>
      </c>
      <c r="G60" t="str">
        <f>IF(表1_53[[#This Row],[配件1]]&lt;&gt;"",_xlfn.XLOOKUP(表1_53[[#This Row],[配件1]],显卡利益点对照表[型号],显卡利益点对照表[标题2],"ERROR"),"")</f>
        <v>雪鹰 16G</v>
      </c>
      <c r="H60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AERO OC</v>
      </c>
      <c r="I60" t="str">
        <f>IF(表1_53[[#This Row],[配件1]]&lt;&gt;"",_xlfn.XLOOKUP(表1_53[[#This Row],[配件1]],显卡利益点对照表[型号],显卡利益点对照表[利益点1],"ERROR"),"")</f>
        <v>铜板+复合式热管</v>
      </c>
      <c r="J60" t="str">
        <f>IF(表1_53[[#This Row],[配件1]]&lt;&gt;"",_xlfn.XLOOKUP(表1_53[[#This Row],[配件1]],显卡利益点对照表[型号],显卡利益点对照表[利益点2],"ERROR"),"")</f>
        <v>银白雪装外观</v>
      </c>
      <c r="K60" t="str">
        <f>IF(表1_53[[#This Row],[配件1]]&lt;&gt;"",_xlfn.XLOOKUP(表1_53[[#This Row],[配件1]],显卡利益点对照表[型号],显卡利益点对照表[利益点3],"ERROR"),"")</f>
        <v>正逆转三风扇</v>
      </c>
      <c r="L60" t="str">
        <f>IF(表1_53[[#This Row],[配件1]]&lt;&gt;"",_xlfn.XLOOKUP(表1_53[[#This Row],[配件1]],显卡利益点对照表[型号],显卡利益点对照表[算力],"ERROR"),"")</f>
        <v>AI算力759 TOPS</v>
      </c>
      <c r="M60" t="str">
        <f>IF(表1_53[[#This Row],[配件1]]&lt;&gt;"",_xlfn.XLOOKUP(表1_53[[#This Row],[配件1]],显卡利益点对照表[型号],显卡利益点对照表[可显性],"ERROR"),"")</f>
        <v>GV-N506TAERO OC-16GD</v>
      </c>
      <c r="N60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60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60" t="str" cm="1">
        <f t="array" ref="Q60">_xlfn.IFS(表1_53[[#This Row],[配件1]]="","",表1_53[[#This Row],[文本丨算力丨算力值]]=0,"",表1_53[[#This Row],[文本丨算力丨算力值]]&lt;&gt;"","算力")</f>
        <v>算力</v>
      </c>
    </row>
    <row r="61" spans="2:17" ht="15" customHeight="1" x14ac:dyDescent="0.2">
      <c r="B61" s="22">
        <v>10148973357244</v>
      </c>
      <c r="C61" s="43" t="s">
        <v>269</v>
      </c>
      <c r="D61" t="s">
        <v>210</v>
      </c>
      <c r="F61" s="44" t="str">
        <f>IF(表1_53[[#This Row],[配件1]]&lt;&gt;"",_xlfn.XLOOKUP(表1_53[[#This Row],[配件1]],显卡利益点对照表[型号],显卡利益点对照表[标题1],"ERROR"),"")</f>
        <v>RTX5060 Ti</v>
      </c>
      <c r="G61" s="44" t="str">
        <f>IF(表1_53[[#This Row],[配件1]]&lt;&gt;"",_xlfn.XLOOKUP(表1_53[[#This Row],[配件1]],显卡利益点对照表[型号],显卡利益点对照表[标题2],"ERROR"),"")</f>
        <v>雪鹰 16G</v>
      </c>
      <c r="H61" s="44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+650W电源</v>
      </c>
      <c r="I61" s="44" t="str">
        <f>IF(表1_53[[#This Row],[配件1]]&lt;&gt;"",_xlfn.XLOOKUP(表1_53[[#This Row],[配件1]],显卡利益点对照表[型号],显卡利益点对照表[利益点1],"ERROR"),"")</f>
        <v>铜板+复合式热管</v>
      </c>
      <c r="J61" s="44" t="str">
        <f>IF(表1_53[[#This Row],[配件1]]&lt;&gt;"",_xlfn.XLOOKUP(表1_53[[#This Row],[配件1]],显卡利益点对照表[型号],显卡利益点对照表[利益点2],"ERROR"),"")</f>
        <v>银白雪装外观</v>
      </c>
      <c r="K61" s="44" t="str">
        <f>IF(表1_53[[#This Row],[配件1]]&lt;&gt;"",_xlfn.XLOOKUP(表1_53[[#This Row],[配件1]],显卡利益点对照表[型号],显卡利益点对照表[利益点3],"ERROR"),"")</f>
        <v>正逆转三风扇</v>
      </c>
      <c r="L61" s="44" t="str">
        <f>IF(表1_53[[#This Row],[配件1]]&lt;&gt;"",_xlfn.XLOOKUP(表1_53[[#This Row],[配件1]],显卡利益点对照表[型号],显卡利益点对照表[算力],"ERROR"),"")</f>
        <v>AI算力759 TOPS</v>
      </c>
      <c r="M61" s="44" t="str">
        <f>IF(表1_53[[#This Row],[配件1]]&lt;&gt;"",_xlfn.XLOOKUP(表1_53[[#This Row],[配件1]],显卡利益点对照表[型号],显卡利益点对照表[可显性],"ERROR"),"")</f>
        <v>GV-N506TAERO OC-16GD</v>
      </c>
      <c r="N61" s="44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斗战650 ICE</v>
      </c>
      <c r="O61" s="44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61" s="44" t="str" cm="1">
        <f t="array" ref="Q61">_xlfn.IFS(表1_53[[#This Row],[配件1]]="","",表1_53[[#This Row],[文本丨算力丨算力值]]=0,"",表1_53[[#This Row],[文本丨算力丨算力值]]&lt;&gt;"","算力")</f>
        <v>算力</v>
      </c>
    </row>
    <row r="62" spans="2:17" ht="15" customHeight="1" x14ac:dyDescent="0.2">
      <c r="B62" s="22">
        <v>10076155580256</v>
      </c>
      <c r="C62" s="43" t="s">
        <v>268</v>
      </c>
      <c r="D62" t="s">
        <v>489</v>
      </c>
      <c r="F62" s="44" t="str">
        <f>IF(表1_53[[#This Row],[配件1]]&lt;&gt;"",_xlfn.XLOOKUP(表1_53[[#This Row],[配件1]],显卡利益点对照表[型号],显卡利益点对照表[标题1],"ERROR"),"")</f>
        <v>RTX5060 Ti</v>
      </c>
      <c r="G62" s="44" t="str">
        <f>IF(表1_53[[#This Row],[配件1]]&lt;&gt;"",_xlfn.XLOOKUP(表1_53[[#This Row],[配件1]],显卡利益点对照表[型号],显卡利益点对照表[标题2],"ERROR"),"")</f>
        <v>小雕 16G</v>
      </c>
      <c r="H62" s="44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AORUS ELITE</v>
      </c>
      <c r="I62" s="44" t="str">
        <f>IF(表1_53[[#This Row],[配件1]]&lt;&gt;"",_xlfn.XLOOKUP(表1_53[[#This Row],[配件1]],显卡利益点对照表[型号],显卡利益点对照表[利益点1],"ERROR"),"")</f>
        <v>注册4年保/个人送保丨25</v>
      </c>
      <c r="J62" s="44" t="str">
        <f>IF(表1_53[[#This Row],[配件1]]&lt;&gt;"",_xlfn.XLOOKUP(表1_53[[#This Row],[配件1]],显卡利益点对照表[型号],显卡利益点对照表[利益点2],"ERROR"),"")</f>
        <v>RGB幻彩光轮</v>
      </c>
      <c r="K62" s="44" t="str">
        <f>IF(表1_53[[#This Row],[配件1]]&lt;&gt;"",_xlfn.XLOOKUP(表1_53[[#This Row],[配件1]],显卡利益点对照表[型号],显卡利益点对照表[利益点3],"ERROR"),"")</f>
        <v>五重高效散热</v>
      </c>
      <c r="L62" s="44" t="str">
        <f>IF(表1_53[[#This Row],[配件1]]&lt;&gt;"",_xlfn.XLOOKUP(表1_53[[#This Row],[配件1]],显卡利益点对照表[型号],显卡利益点对照表[算力],"ERROR"),"")</f>
        <v>AI算力759 TOPS</v>
      </c>
      <c r="M62" s="44" t="str">
        <f>IF(表1_53[[#This Row],[配件1]]&lt;&gt;"",_xlfn.XLOOKUP(表1_53[[#This Row],[配件1]],显卡利益点对照表[型号],显卡利益点对照表[可显性],"ERROR"),"")</f>
        <v>GV-N506TAORUS E-16GD</v>
      </c>
      <c r="N62" s="44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62" s="44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62" s="44" t="str" cm="1">
        <f t="array" ref="Q62">_xlfn.IFS(表1_53[[#This Row],[配件1]]="","",表1_53[[#This Row],[文本丨算力丨算力值]]=0,"",表1_53[[#This Row],[文本丨算力丨算力值]]&lt;&gt;"","算力")</f>
        <v>算力</v>
      </c>
    </row>
    <row r="63" spans="2:17" ht="15" customHeight="1" x14ac:dyDescent="0.2">
      <c r="B63" s="22">
        <v>10148973357245</v>
      </c>
      <c r="C63" s="43" t="s">
        <v>268</v>
      </c>
      <c r="D63" t="s">
        <v>279</v>
      </c>
      <c r="F63" s="44" t="str">
        <f>IF(表1_53[[#This Row],[配件1]]&lt;&gt;"",_xlfn.XLOOKUP(表1_53[[#This Row],[配件1]],显卡利益点对照表[型号],显卡利益点对照表[标题1],"ERROR"),"")</f>
        <v>RTX5060 Ti</v>
      </c>
      <c r="G63" s="44" t="str">
        <f>IF(表1_53[[#This Row],[配件1]]&lt;&gt;"",_xlfn.XLOOKUP(表1_53[[#This Row],[配件1]],显卡利益点对照表[型号],显卡利益点对照表[标题2],"ERROR"),"")</f>
        <v>小雕 16G</v>
      </c>
      <c r="H63" s="44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+650W电源</v>
      </c>
      <c r="I63" s="44" t="str">
        <f>IF(表1_53[[#This Row],[配件1]]&lt;&gt;"",_xlfn.XLOOKUP(表1_53[[#This Row],[配件1]],显卡利益点对照表[型号],显卡利益点对照表[利益点1],"ERROR"),"")</f>
        <v>注册4年保/个人送保丨25</v>
      </c>
      <c r="J63" s="44" t="str">
        <f>IF(表1_53[[#This Row],[配件1]]&lt;&gt;"",_xlfn.XLOOKUP(表1_53[[#This Row],[配件1]],显卡利益点对照表[型号],显卡利益点对照表[利益点2],"ERROR"),"")</f>
        <v>RGB幻彩光轮</v>
      </c>
      <c r="K63" s="44" t="str">
        <f>IF(表1_53[[#This Row],[配件1]]&lt;&gt;"",_xlfn.XLOOKUP(表1_53[[#This Row],[配件1]],显卡利益点对照表[型号],显卡利益点对照表[利益点3],"ERROR"),"")</f>
        <v>五重高效散热</v>
      </c>
      <c r="L63" s="44" t="str">
        <f>IF(表1_53[[#This Row],[配件1]]&lt;&gt;"",_xlfn.XLOOKUP(表1_53[[#This Row],[配件1]],显卡利益点对照表[型号],显卡利益点对照表[算力],"ERROR"),"")</f>
        <v>AI算力759 TOPS</v>
      </c>
      <c r="M63" s="44" t="str">
        <f>IF(表1_53[[#This Row],[配件1]]&lt;&gt;"",_xlfn.XLOOKUP(表1_53[[#This Row],[配件1]],显卡利益点对照表[型号],显卡利益点对照表[可显性],"ERROR"),"")</f>
        <v>GV-N506TAORUS E-16GD</v>
      </c>
      <c r="N63" s="44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斗战650S</v>
      </c>
      <c r="O63" s="44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63" s="44" t="str" cm="1">
        <f t="array" ref="Q63">_xlfn.IFS(表1_53[[#This Row],[配件1]]="","",表1_53[[#This Row],[文本丨算力丨算力值]]=0,"",表1_53[[#This Row],[文本丨算力丨算力值]]&lt;&gt;"","算力")</f>
        <v>算力</v>
      </c>
    </row>
    <row r="64" spans="2:17" ht="15" customHeight="1" x14ac:dyDescent="0.2">
      <c r="C64" s="43"/>
      <c r="F64" s="44" t="str">
        <f>IF(表1_53[[#This Row],[配件1]]&lt;&gt;"",_xlfn.XLOOKUP(表1_53[[#This Row],[配件1]],显卡利益点对照表[型号],显卡利益点对照表[标题1],"ERROR"),"")</f>
        <v/>
      </c>
      <c r="G64" s="44" t="str">
        <f>IF(表1_53[[#This Row],[配件1]]&lt;&gt;"",_xlfn.XLOOKUP(表1_53[[#This Row],[配件1]],显卡利益点对照表[型号],显卡利益点对照表[标题2],"ERROR"),"")</f>
        <v/>
      </c>
      <c r="H64" s="44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64" s="44" t="str">
        <f>IF(表1_53[[#This Row],[配件1]]&lt;&gt;"",_xlfn.XLOOKUP(表1_53[[#This Row],[配件1]],显卡利益点对照表[型号],显卡利益点对照表[利益点1],"ERROR"),"")</f>
        <v/>
      </c>
      <c r="J64" s="44" t="str">
        <f>IF(表1_53[[#This Row],[配件1]]&lt;&gt;"",_xlfn.XLOOKUP(表1_53[[#This Row],[配件1]],显卡利益点对照表[型号],显卡利益点对照表[利益点2],"ERROR"),"")</f>
        <v/>
      </c>
      <c r="K64" s="44" t="str">
        <f>IF(表1_53[[#This Row],[配件1]]&lt;&gt;"",_xlfn.XLOOKUP(表1_53[[#This Row],[配件1]],显卡利益点对照表[型号],显卡利益点对照表[利益点3],"ERROR"),"")</f>
        <v/>
      </c>
      <c r="L64" s="44" t="str">
        <f>IF(表1_53[[#This Row],[配件1]]&lt;&gt;"",_xlfn.XLOOKUP(表1_53[[#This Row],[配件1]],显卡利益点对照表[型号],显卡利益点对照表[算力],"ERROR"),"")</f>
        <v/>
      </c>
      <c r="M64" s="44" t="str">
        <f>IF(表1_53[[#This Row],[配件1]]&lt;&gt;"",_xlfn.XLOOKUP(表1_53[[#This Row],[配件1]],显卡利益点对照表[型号],显卡利益点对照表[可显性],"ERROR"),"")</f>
        <v/>
      </c>
      <c r="N64" s="44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64" s="44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/>
      </c>
      <c r="Q64" s="44" t="str" cm="1">
        <f t="array" ref="Q64">_xlfn.IFS(表1_53[[#This Row],[配件1]]="","",表1_53[[#This Row],[文本丨算力丨算力值]]=0,"",表1_53[[#This Row],[文本丨算力丨算力值]]&lt;&gt;"","算力")</f>
        <v/>
      </c>
    </row>
    <row r="65" spans="2:17" ht="15" customHeight="1" x14ac:dyDescent="0.2">
      <c r="C65" s="43"/>
      <c r="F65" s="44" t="str">
        <f>IF(表1_53[[#This Row],[配件1]]&lt;&gt;"",_xlfn.XLOOKUP(表1_53[[#This Row],[配件1]],显卡利益点对照表[型号],显卡利益点对照表[标题1],"ERROR"),"")</f>
        <v/>
      </c>
      <c r="G65" s="44" t="str">
        <f>IF(表1_53[[#This Row],[配件1]]&lt;&gt;"",_xlfn.XLOOKUP(表1_53[[#This Row],[配件1]],显卡利益点对照表[型号],显卡利益点对照表[标题2],"ERROR"),"")</f>
        <v/>
      </c>
      <c r="H65" s="44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65" s="44" t="str">
        <f>IF(表1_53[[#This Row],[配件1]]&lt;&gt;"",_xlfn.XLOOKUP(表1_53[[#This Row],[配件1]],显卡利益点对照表[型号],显卡利益点对照表[利益点1],"ERROR"),"")</f>
        <v/>
      </c>
      <c r="J65" s="44" t="str">
        <f>IF(表1_53[[#This Row],[配件1]]&lt;&gt;"",_xlfn.XLOOKUP(表1_53[[#This Row],[配件1]],显卡利益点对照表[型号],显卡利益点对照表[利益点2],"ERROR"),"")</f>
        <v/>
      </c>
      <c r="K65" s="44" t="str">
        <f>IF(表1_53[[#This Row],[配件1]]&lt;&gt;"",_xlfn.XLOOKUP(表1_53[[#This Row],[配件1]],显卡利益点对照表[型号],显卡利益点对照表[利益点3],"ERROR"),"")</f>
        <v/>
      </c>
      <c r="L65" s="44" t="str">
        <f>IF(表1_53[[#This Row],[配件1]]&lt;&gt;"",_xlfn.XLOOKUP(表1_53[[#This Row],[配件1]],显卡利益点对照表[型号],显卡利益点对照表[算力],"ERROR"),"")</f>
        <v/>
      </c>
      <c r="M65" s="44" t="str">
        <f>IF(表1_53[[#This Row],[配件1]]&lt;&gt;"",_xlfn.XLOOKUP(表1_53[[#This Row],[配件1]],显卡利益点对照表[型号],显卡利益点对照表[可显性],"ERROR"),"")</f>
        <v/>
      </c>
      <c r="N65" s="44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65" s="44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/>
      </c>
      <c r="Q65" s="44" t="str" cm="1">
        <f t="array" ref="Q65">_xlfn.IFS(表1_53[[#This Row],[配件1]]="","",表1_53[[#This Row],[文本丨算力丨算力值]]=0,"",表1_53[[#This Row],[文本丨算力丨算力值]]&lt;&gt;"","算力")</f>
        <v/>
      </c>
    </row>
    <row r="66" spans="2:17" ht="15" customHeight="1" x14ac:dyDescent="0.2">
      <c r="C66" s="43"/>
      <c r="F66" s="44" t="str">
        <f>IF(表1_53[[#This Row],[配件1]]&lt;&gt;"",_xlfn.XLOOKUP(表1_53[[#This Row],[配件1]],显卡利益点对照表[型号],显卡利益点对照表[标题1],"ERROR"),"")</f>
        <v/>
      </c>
      <c r="G66" s="44" t="str">
        <f>IF(表1_53[[#This Row],[配件1]]&lt;&gt;"",_xlfn.XLOOKUP(表1_53[[#This Row],[配件1]],显卡利益点对照表[型号],显卡利益点对照表[标题2],"ERROR"),"")</f>
        <v/>
      </c>
      <c r="H66" s="44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66" s="44" t="str">
        <f>IF(表1_53[[#This Row],[配件1]]&lt;&gt;"",_xlfn.XLOOKUP(表1_53[[#This Row],[配件1]],显卡利益点对照表[型号],显卡利益点对照表[利益点1],"ERROR"),"")</f>
        <v/>
      </c>
      <c r="J66" s="44" t="str">
        <f>IF(表1_53[[#This Row],[配件1]]&lt;&gt;"",_xlfn.XLOOKUP(表1_53[[#This Row],[配件1]],显卡利益点对照表[型号],显卡利益点对照表[利益点2],"ERROR"),"")</f>
        <v/>
      </c>
      <c r="K66" s="44" t="str">
        <f>IF(表1_53[[#This Row],[配件1]]&lt;&gt;"",_xlfn.XLOOKUP(表1_53[[#This Row],[配件1]],显卡利益点对照表[型号],显卡利益点对照表[利益点3],"ERROR"),"")</f>
        <v/>
      </c>
      <c r="L66" s="44" t="str">
        <f>IF(表1_53[[#This Row],[配件1]]&lt;&gt;"",_xlfn.XLOOKUP(表1_53[[#This Row],[配件1]],显卡利益点对照表[型号],显卡利益点对照表[算力],"ERROR"),"")</f>
        <v/>
      </c>
      <c r="M66" s="44" t="str">
        <f>IF(表1_53[[#This Row],[配件1]]&lt;&gt;"",_xlfn.XLOOKUP(表1_53[[#This Row],[配件1]],显卡利益点对照表[型号],显卡利益点对照表[可显性],"ERROR"),"")</f>
        <v/>
      </c>
      <c r="N66" s="44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66" s="44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/>
      </c>
      <c r="Q66" s="44" t="str" cm="1">
        <f t="array" ref="Q66">_xlfn.IFS(表1_53[[#This Row],[配件1]]="","",表1_53[[#This Row],[文本丨算力丨算力值]]=0,"",表1_53[[#This Row],[文本丨算力丨算力值]]&lt;&gt;"","算力")</f>
        <v/>
      </c>
    </row>
    <row r="67" spans="2:17" ht="15" customHeight="1" x14ac:dyDescent="0.2">
      <c r="C67" s="43"/>
      <c r="F67" s="44" t="str">
        <f>IF(表1_53[[#This Row],[配件1]]&lt;&gt;"",_xlfn.XLOOKUP(表1_53[[#This Row],[配件1]],显卡利益点对照表[型号],显卡利益点对照表[标题1],"ERROR"),"")</f>
        <v/>
      </c>
      <c r="G67" s="44" t="str">
        <f>IF(表1_53[[#This Row],[配件1]]&lt;&gt;"",_xlfn.XLOOKUP(表1_53[[#This Row],[配件1]],显卡利益点对照表[型号],显卡利益点对照表[标题2],"ERROR"),"")</f>
        <v/>
      </c>
      <c r="H67" s="44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67" s="44" t="str">
        <f>IF(表1_53[[#This Row],[配件1]]&lt;&gt;"",_xlfn.XLOOKUP(表1_53[[#This Row],[配件1]],显卡利益点对照表[型号],显卡利益点对照表[利益点1],"ERROR"),"")</f>
        <v/>
      </c>
      <c r="J67" s="44" t="str">
        <f>IF(表1_53[[#This Row],[配件1]]&lt;&gt;"",_xlfn.XLOOKUP(表1_53[[#This Row],[配件1]],显卡利益点对照表[型号],显卡利益点对照表[利益点2],"ERROR"),"")</f>
        <v/>
      </c>
      <c r="K67" s="44" t="str">
        <f>IF(表1_53[[#This Row],[配件1]]&lt;&gt;"",_xlfn.XLOOKUP(表1_53[[#This Row],[配件1]],显卡利益点对照表[型号],显卡利益点对照表[利益点3],"ERROR"),"")</f>
        <v/>
      </c>
      <c r="L67" s="44" t="str">
        <f>IF(表1_53[[#This Row],[配件1]]&lt;&gt;"",_xlfn.XLOOKUP(表1_53[[#This Row],[配件1]],显卡利益点对照表[型号],显卡利益点对照表[算力],"ERROR"),"")</f>
        <v/>
      </c>
      <c r="M67" s="44" t="str">
        <f>IF(表1_53[[#This Row],[配件1]]&lt;&gt;"",_xlfn.XLOOKUP(表1_53[[#This Row],[配件1]],显卡利益点对照表[型号],显卡利益点对照表[可显性],"ERROR"),"")</f>
        <v/>
      </c>
      <c r="N67" s="44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67" s="44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/>
      </c>
      <c r="Q67" s="44" t="str" cm="1">
        <f t="array" ref="Q67">_xlfn.IFS(表1_53[[#This Row],[配件1]]="","",表1_53[[#This Row],[文本丨算力丨算力值]]=0,"",表1_53[[#This Row],[文本丨算力丨算力值]]&lt;&gt;"","算力")</f>
        <v/>
      </c>
    </row>
    <row r="68" spans="2:17" ht="15" customHeight="1" x14ac:dyDescent="0.2">
      <c r="C68" s="43"/>
      <c r="F68" s="44" t="str">
        <f>IF(表1_53[[#This Row],[配件1]]&lt;&gt;"",_xlfn.XLOOKUP(表1_53[[#This Row],[配件1]],显卡利益点对照表[型号],显卡利益点对照表[标题1],"ERROR"),"")</f>
        <v/>
      </c>
      <c r="G68" s="44" t="str">
        <f>IF(表1_53[[#This Row],[配件1]]&lt;&gt;"",_xlfn.XLOOKUP(表1_53[[#This Row],[配件1]],显卡利益点对照表[型号],显卡利益点对照表[标题2],"ERROR"),"")</f>
        <v/>
      </c>
      <c r="H68" s="44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68" s="44" t="str">
        <f>IF(表1_53[[#This Row],[配件1]]&lt;&gt;"",_xlfn.XLOOKUP(表1_53[[#This Row],[配件1]],显卡利益点对照表[型号],显卡利益点对照表[利益点1],"ERROR"),"")</f>
        <v/>
      </c>
      <c r="J68" s="44" t="str">
        <f>IF(表1_53[[#This Row],[配件1]]&lt;&gt;"",_xlfn.XLOOKUP(表1_53[[#This Row],[配件1]],显卡利益点对照表[型号],显卡利益点对照表[利益点2],"ERROR"),"")</f>
        <v/>
      </c>
      <c r="K68" s="44" t="str">
        <f>IF(表1_53[[#This Row],[配件1]]&lt;&gt;"",_xlfn.XLOOKUP(表1_53[[#This Row],[配件1]],显卡利益点对照表[型号],显卡利益点对照表[利益点3],"ERROR"),"")</f>
        <v/>
      </c>
      <c r="L68" s="44" t="str">
        <f>IF(表1_53[[#This Row],[配件1]]&lt;&gt;"",_xlfn.XLOOKUP(表1_53[[#This Row],[配件1]],显卡利益点对照表[型号],显卡利益点对照表[算力],"ERROR"),"")</f>
        <v/>
      </c>
      <c r="M68" s="44" t="str">
        <f>IF(表1_53[[#This Row],[配件1]]&lt;&gt;"",_xlfn.XLOOKUP(表1_53[[#This Row],[配件1]],显卡利益点对照表[型号],显卡利益点对照表[可显性],"ERROR"),"")</f>
        <v/>
      </c>
      <c r="N68" s="44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68" s="44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/>
      </c>
      <c r="Q68" s="44" t="str" cm="1">
        <f t="array" ref="Q68">_xlfn.IFS(表1_53[[#This Row],[配件1]]="","",表1_53[[#This Row],[文本丨算力丨算力值]]=0,"",表1_53[[#This Row],[文本丨算力丨算力值]]&lt;&gt;"","算力")</f>
        <v/>
      </c>
    </row>
    <row r="69" spans="2:17" ht="15" customHeight="1" x14ac:dyDescent="0.2">
      <c r="C69" s="43"/>
      <c r="F69" s="44" t="str">
        <f>IF(表1_53[[#This Row],[配件1]]&lt;&gt;"",_xlfn.XLOOKUP(表1_53[[#This Row],[配件1]],显卡利益点对照表[型号],显卡利益点对照表[标题1],"ERROR"),"")</f>
        <v/>
      </c>
      <c r="G69" s="44" t="str">
        <f>IF(表1_53[[#This Row],[配件1]]&lt;&gt;"",_xlfn.XLOOKUP(表1_53[[#This Row],[配件1]],显卡利益点对照表[型号],显卡利益点对照表[标题2],"ERROR"),"")</f>
        <v/>
      </c>
      <c r="H69" s="44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69" s="44" t="str">
        <f>IF(表1_53[[#This Row],[配件1]]&lt;&gt;"",_xlfn.XLOOKUP(表1_53[[#This Row],[配件1]],显卡利益点对照表[型号],显卡利益点对照表[利益点1],"ERROR"),"")</f>
        <v/>
      </c>
      <c r="J69" s="44" t="str">
        <f>IF(表1_53[[#This Row],[配件1]]&lt;&gt;"",_xlfn.XLOOKUP(表1_53[[#This Row],[配件1]],显卡利益点对照表[型号],显卡利益点对照表[利益点2],"ERROR"),"")</f>
        <v/>
      </c>
      <c r="K69" s="44" t="str">
        <f>IF(表1_53[[#This Row],[配件1]]&lt;&gt;"",_xlfn.XLOOKUP(表1_53[[#This Row],[配件1]],显卡利益点对照表[型号],显卡利益点对照表[利益点3],"ERROR"),"")</f>
        <v/>
      </c>
      <c r="L69" s="44" t="str">
        <f>IF(表1_53[[#This Row],[配件1]]&lt;&gt;"",_xlfn.XLOOKUP(表1_53[[#This Row],[配件1]],显卡利益点对照表[型号],显卡利益点对照表[算力],"ERROR"),"")</f>
        <v/>
      </c>
      <c r="M69" s="44" t="str">
        <f>IF(表1_53[[#This Row],[配件1]]&lt;&gt;"",_xlfn.XLOOKUP(表1_53[[#This Row],[配件1]],显卡利益点对照表[型号],显卡利益点对照表[可显性],"ERROR"),"")</f>
        <v/>
      </c>
      <c r="N69" s="44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69" s="44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/>
      </c>
      <c r="Q69" s="44" t="str" cm="1">
        <f t="array" ref="Q69">_xlfn.IFS(表1_53[[#This Row],[配件1]]="","",表1_53[[#This Row],[文本丨算力丨算力值]]=0,"",表1_53[[#This Row],[文本丨算力丨算力值]]&lt;&gt;"","算力")</f>
        <v/>
      </c>
    </row>
    <row r="70" spans="2:17" ht="15" customHeight="1" x14ac:dyDescent="0.2">
      <c r="C70" s="43"/>
      <c r="F70" s="44" t="str">
        <f>IF(表1_53[[#This Row],[配件1]]&lt;&gt;"",_xlfn.XLOOKUP(表1_53[[#This Row],[配件1]],显卡利益点对照表[型号],显卡利益点对照表[标题1],"ERROR"),"")</f>
        <v/>
      </c>
      <c r="G70" s="44" t="str">
        <f>IF(表1_53[[#This Row],[配件1]]&lt;&gt;"",_xlfn.XLOOKUP(表1_53[[#This Row],[配件1]],显卡利益点对照表[型号],显卡利益点对照表[标题2],"ERROR"),"")</f>
        <v/>
      </c>
      <c r="H70" s="44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70" s="44" t="str">
        <f>IF(表1_53[[#This Row],[配件1]]&lt;&gt;"",_xlfn.XLOOKUP(表1_53[[#This Row],[配件1]],显卡利益点对照表[型号],显卡利益点对照表[利益点1],"ERROR"),"")</f>
        <v/>
      </c>
      <c r="J70" s="44" t="str">
        <f>IF(表1_53[[#This Row],[配件1]]&lt;&gt;"",_xlfn.XLOOKUP(表1_53[[#This Row],[配件1]],显卡利益点对照表[型号],显卡利益点对照表[利益点2],"ERROR"),"")</f>
        <v/>
      </c>
      <c r="K70" s="44" t="str">
        <f>IF(表1_53[[#This Row],[配件1]]&lt;&gt;"",_xlfn.XLOOKUP(表1_53[[#This Row],[配件1]],显卡利益点对照表[型号],显卡利益点对照表[利益点3],"ERROR"),"")</f>
        <v/>
      </c>
      <c r="L70" s="44" t="str">
        <f>IF(表1_53[[#This Row],[配件1]]&lt;&gt;"",_xlfn.XLOOKUP(表1_53[[#This Row],[配件1]],显卡利益点对照表[型号],显卡利益点对照表[算力],"ERROR"),"")</f>
        <v/>
      </c>
      <c r="M70" s="44" t="str">
        <f>IF(表1_53[[#This Row],[配件1]]&lt;&gt;"",_xlfn.XLOOKUP(表1_53[[#This Row],[配件1]],显卡利益点对照表[型号],显卡利益点对照表[可显性],"ERROR"),"")</f>
        <v/>
      </c>
      <c r="N70" s="44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70" s="44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/>
      </c>
      <c r="Q70" s="44" t="str" cm="1">
        <f t="array" ref="Q70">_xlfn.IFS(表1_53[[#This Row],[配件1]]="","",表1_53[[#This Row],[文本丨算力丨算力值]]=0,"",表1_53[[#This Row],[文本丨算力丨算力值]]&lt;&gt;"","算力")</f>
        <v/>
      </c>
    </row>
    <row r="71" spans="2:17" x14ac:dyDescent="0.2">
      <c r="B71" s="22">
        <v>10096477527460</v>
      </c>
      <c r="C71" t="s">
        <v>482</v>
      </c>
      <c r="F71" t="str">
        <f>IF(表1_53[[#This Row],[配件1]]&lt;&gt;"",_xlfn.XLOOKUP(表1_53[[#This Row],[配件1]],显卡利益点对照表[型号],显卡利益点对照表[标题1],"ERROR"),"")</f>
        <v>RTX5060</v>
      </c>
      <c r="G71" t="str">
        <f>IF(表1_53[[#This Row],[配件1]]&lt;&gt;"",_xlfn.XLOOKUP(表1_53[[#This Row],[配件1]],显卡利益点对照表[型号],显卡利益点对照表[标题2],"ERROR"),"")</f>
        <v>风魔 8G</v>
      </c>
      <c r="H71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WF2</v>
      </c>
      <c r="I71" t="str">
        <f>IF(表1_53[[#This Row],[配件1]]&lt;&gt;"",_xlfn.XLOOKUP(表1_53[[#This Row],[配件1]],显卡利益点对照表[型号],显卡利益点对照表[利益点1],"ERROR"),"")</f>
        <v>铜板+复合式热管</v>
      </c>
      <c r="J71" t="str">
        <f>IF(表1_53[[#This Row],[配件1]]&lt;&gt;"",_xlfn.XLOOKUP(表1_53[[#This Row],[配件1]],显卡利益点对照表[型号],显卡利益点对照表[利益点2],"ERROR"),"")</f>
        <v>精巧双风扇</v>
      </c>
      <c r="K71" t="str">
        <f>IF(表1_53[[#This Row],[配件1]]&lt;&gt;"",_xlfn.XLOOKUP(表1_53[[#This Row],[配件1]],显卡利益点对照表[型号],显卡利益点对照表[利益点3],"ERROR"),"")</f>
        <v>仿生降噪风扇</v>
      </c>
      <c r="L71" t="str">
        <f>IF(表1_53[[#This Row],[配件1]]&lt;&gt;"",_xlfn.XLOOKUP(表1_53[[#This Row],[配件1]],显卡利益点对照表[型号],显卡利益点对照表[算力],"ERROR"),"")</f>
        <v>AI算力614 TOPS</v>
      </c>
      <c r="M71" t="str">
        <f>IF(表1_53[[#This Row],[配件1]]&lt;&gt;"",_xlfn.XLOOKUP(表1_53[[#This Row],[配件1]],显卡利益点对照表[型号],显卡利益点对照表[可显性],"ERROR"),"")</f>
        <v>GV-N5060WF2-8GD</v>
      </c>
      <c r="N71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71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P71" t="s">
        <v>492</v>
      </c>
      <c r="Q71" t="str" cm="1">
        <f t="array" ref="Q71">_xlfn.IFS(表1_53[[#This Row],[配件1]]="","",表1_53[[#This Row],[文本丨算力丨算力值]]=0,"",表1_53[[#This Row],[文本丨算力丨算力值]]&lt;&gt;"","算力")</f>
        <v>算力</v>
      </c>
    </row>
    <row r="72" spans="2:17" x14ac:dyDescent="0.2">
      <c r="B72" s="22">
        <v>10127991509947</v>
      </c>
      <c r="C72" t="s">
        <v>483</v>
      </c>
      <c r="F72" t="str">
        <f>IF(表1_53[[#This Row],[配件1]]&lt;&gt;"",_xlfn.XLOOKUP(表1_53[[#This Row],[配件1]],显卡利益点对照表[型号],显卡利益点对照表[标题1],"ERROR"),"")</f>
        <v>RTX5060</v>
      </c>
      <c r="G72" t="str">
        <f>IF(表1_53[[#This Row],[配件1]]&lt;&gt;"",_xlfn.XLOOKUP(表1_53[[#This Row],[配件1]],显卡利益点对照表[型号],显卡利益点对照表[标题2],"ERROR"),"")</f>
        <v>猎鹰 8G</v>
      </c>
      <c r="H72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EAGLE OC</v>
      </c>
      <c r="I72" t="str">
        <f>IF(表1_53[[#This Row],[配件1]]&lt;&gt;"",_xlfn.XLOOKUP(表1_53[[#This Row],[配件1]],显卡利益点对照表[型号],显卡利益点对照表[利益点1],"ERROR"),"")</f>
        <v>铜板+复合式热管</v>
      </c>
      <c r="J72" t="str">
        <f>IF(表1_53[[#This Row],[配件1]]&lt;&gt;"",_xlfn.XLOOKUP(表1_53[[#This Row],[配件1]],显卡利益点对照表[型号],显卡利益点对照表[利益点2],"ERROR"),"")</f>
        <v>精巧双风扇</v>
      </c>
      <c r="K72" t="str">
        <f>IF(表1_53[[#This Row],[配件1]]&lt;&gt;"",_xlfn.XLOOKUP(表1_53[[#This Row],[配件1]],显卡利益点对照表[型号],显卡利益点对照表[利益点3],"ERROR"),"")</f>
        <v>仿生降噪风扇</v>
      </c>
      <c r="L72" t="str">
        <f>IF(表1_53[[#This Row],[配件1]]&lt;&gt;"",_xlfn.XLOOKUP(表1_53[[#This Row],[配件1]],显卡利益点对照表[型号],显卡利益点对照表[算力],"ERROR"),"")</f>
        <v>AI算力614 TOPS</v>
      </c>
      <c r="M72" t="str">
        <f>IF(表1_53[[#This Row],[配件1]]&lt;&gt;"",_xlfn.XLOOKUP(表1_53[[#This Row],[配件1]],显卡利益点对照表[型号],显卡利益点对照表[可显性],"ERROR"),"")</f>
        <v>GV-N5060EAGLE OC-8GD</v>
      </c>
      <c r="N72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72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P72" t="s">
        <v>492</v>
      </c>
      <c r="Q72" t="str" cm="1">
        <f t="array" ref="Q72">_xlfn.IFS(表1_53[[#This Row],[配件1]]="","",表1_53[[#This Row],[文本丨算力丨算力值]]=0,"",表1_53[[#This Row],[文本丨算力丨算力值]]&lt;&gt;"","算力")</f>
        <v>算力</v>
      </c>
    </row>
    <row r="73" spans="2:17" x14ac:dyDescent="0.2">
      <c r="B73" s="22">
        <v>10127991509948</v>
      </c>
      <c r="C73" t="s">
        <v>484</v>
      </c>
      <c r="F73" t="str">
        <f>IF(表1_53[[#This Row],[配件1]]&lt;&gt;"",_xlfn.XLOOKUP(表1_53[[#This Row],[配件1]],显卡利益点对照表[型号],显卡利益点对照表[标题1],"ERROR"),"")</f>
        <v>RTX5060</v>
      </c>
      <c r="G73" t="str">
        <f>IF(表1_53[[#This Row],[配件1]]&lt;&gt;"",_xlfn.XLOOKUP(表1_53[[#This Row],[配件1]],显卡利益点对照表[型号],显卡利益点对照表[标题2],"ERROR"),"")</f>
        <v>冰猎鹰 8G</v>
      </c>
      <c r="H73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EAGLE OC ICE</v>
      </c>
      <c r="I73" t="str">
        <f>IF(表1_53[[#This Row],[配件1]]&lt;&gt;"",_xlfn.XLOOKUP(表1_53[[#This Row],[配件1]],显卡利益点对照表[型号],显卡利益点对照表[利益点1],"ERROR"),"")</f>
        <v>铜板+复合式热管</v>
      </c>
      <c r="J73" t="str">
        <f>IF(表1_53[[#This Row],[配件1]]&lt;&gt;"",_xlfn.XLOOKUP(表1_53[[#This Row],[配件1]],显卡利益点对照表[型号],显卡利益点对照表[利益点2],"ERROR"),"")</f>
        <v>精巧双风扇</v>
      </c>
      <c r="K73" t="str">
        <f>IF(表1_53[[#This Row],[配件1]]&lt;&gt;"",_xlfn.XLOOKUP(表1_53[[#This Row],[配件1]],显卡利益点对照表[型号],显卡利益点对照表[利益点3],"ERROR"),"")</f>
        <v>仿生降噪风扇</v>
      </c>
      <c r="L73" t="str">
        <f>IF(表1_53[[#This Row],[配件1]]&lt;&gt;"",_xlfn.XLOOKUP(表1_53[[#This Row],[配件1]],显卡利益点对照表[型号],显卡利益点对照表[算力],"ERROR"),"")</f>
        <v>AI算力614 TOPS</v>
      </c>
      <c r="M73" t="str">
        <f>IF(表1_53[[#This Row],[配件1]]&lt;&gt;"",_xlfn.XLOOKUP(表1_53[[#This Row],[配件1]],显卡利益点对照表[型号],显卡利益点对照表[可显性],"ERROR"),"")</f>
        <v>GV-N5060EAGLEOC ICE-8GD</v>
      </c>
      <c r="N73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73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P73" t="s">
        <v>492</v>
      </c>
      <c r="Q73" t="str" cm="1">
        <f t="array" ref="Q73">_xlfn.IFS(表1_53[[#This Row],[配件1]]="","",表1_53[[#This Row],[文本丨算力丨算力值]]=0,"",表1_53[[#This Row],[文本丨算力丨算力值]]&lt;&gt;"","算力")</f>
        <v>算力</v>
      </c>
    </row>
    <row r="74" spans="2:17" x14ac:dyDescent="0.2">
      <c r="B74" s="22">
        <v>10087909470515</v>
      </c>
      <c r="C74" t="s">
        <v>485</v>
      </c>
      <c r="F74" t="str">
        <f>IF(表1_53[[#This Row],[配件1]]&lt;&gt;"",_xlfn.XLOOKUP(表1_53[[#This Row],[配件1]],显卡利益点对照表[型号],显卡利益点对照表[标题1],"ERROR"),"")</f>
        <v>RTX5060</v>
      </c>
      <c r="G74" t="str">
        <f>IF(表1_53[[#This Row],[配件1]]&lt;&gt;"",_xlfn.XLOOKUP(表1_53[[#This Row],[配件1]],显卡利益点对照表[型号],显卡利益点对照表[标题2],"ERROR"),"")</f>
        <v>魔鹰 8G</v>
      </c>
      <c r="H74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GAMING  OC</v>
      </c>
      <c r="I74" t="str">
        <f>IF(表1_53[[#This Row],[配件1]]&lt;&gt;"",_xlfn.XLOOKUP(表1_53[[#This Row],[配件1]],显卡利益点对照表[型号],显卡利益点对照表[利益点1],"ERROR"),"")</f>
        <v>铜板+复合式热管</v>
      </c>
      <c r="J74" t="str">
        <f>IF(表1_53[[#This Row],[配件1]]&lt;&gt;"",_xlfn.XLOOKUP(表1_53[[#This Row],[配件1]],显卡利益点对照表[型号],显卡利益点对照表[利益点2],"ERROR"),"")</f>
        <v>RGB滑动侧板</v>
      </c>
      <c r="K74" t="str">
        <f>IF(表1_53[[#This Row],[配件1]]&lt;&gt;"",_xlfn.XLOOKUP(表1_53[[#This Row],[配件1]],显卡利益点对照表[型号],显卡利益点对照表[利益点3],"ERROR"),"")</f>
        <v>强化金属背板</v>
      </c>
      <c r="L74" t="str">
        <f>IF(表1_53[[#This Row],[配件1]]&lt;&gt;"",_xlfn.XLOOKUP(表1_53[[#This Row],[配件1]],显卡利益点对照表[型号],显卡利益点对照表[算力],"ERROR"),"")</f>
        <v>AI算力614 TOPS</v>
      </c>
      <c r="M74" t="str">
        <f>IF(表1_53[[#This Row],[配件1]]&lt;&gt;"",_xlfn.XLOOKUP(表1_53[[#This Row],[配件1]],显卡利益点对照表[型号],显卡利益点对照表[可显性],"ERROR"),"")</f>
        <v>GV-N5060GAMING OC-8GD</v>
      </c>
      <c r="N74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74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P74" t="s">
        <v>492</v>
      </c>
      <c r="Q74" t="str" cm="1">
        <f t="array" ref="Q74">_xlfn.IFS(表1_53[[#This Row],[配件1]]="","",表1_53[[#This Row],[文本丨算力丨算力值]]=0,"",表1_53[[#This Row],[文本丨算力丨算力值]]&lt;&gt;"","算力")</f>
        <v>算力</v>
      </c>
    </row>
    <row r="75" spans="2:17" x14ac:dyDescent="0.2">
      <c r="B75" s="22">
        <v>10087909470516</v>
      </c>
      <c r="C75" t="s">
        <v>486</v>
      </c>
      <c r="F75" t="str">
        <f>IF(表1_53[[#This Row],[配件1]]&lt;&gt;"",_xlfn.XLOOKUP(表1_53[[#This Row],[配件1]],显卡利益点对照表[型号],显卡利益点对照表[标题1],"ERROR"),"")</f>
        <v>RTX5060</v>
      </c>
      <c r="G75" t="str">
        <f>IF(表1_53[[#This Row],[配件1]]&lt;&gt;"",_xlfn.XLOOKUP(表1_53[[#This Row],[配件1]],显卡利益点对照表[型号],显卡利益点对照表[标题2],"ERROR"),"")</f>
        <v>雪鹰 8G</v>
      </c>
      <c r="H75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AERO OC</v>
      </c>
      <c r="I75" t="str">
        <f>IF(表1_53[[#This Row],[配件1]]&lt;&gt;"",_xlfn.XLOOKUP(表1_53[[#This Row],[配件1]],显卡利益点对照表[型号],显卡利益点对照表[利益点1],"ERROR"),"")</f>
        <v>铜板+复合式热管</v>
      </c>
      <c r="J75" t="str">
        <f>IF(表1_53[[#This Row],[配件1]]&lt;&gt;"",_xlfn.XLOOKUP(表1_53[[#This Row],[配件1]],显卡利益点对照表[型号],显卡利益点对照表[利益点2],"ERROR"),"")</f>
        <v>银白雪装外观</v>
      </c>
      <c r="K75" t="str">
        <f>IF(表1_53[[#This Row],[配件1]]&lt;&gt;"",_xlfn.XLOOKUP(表1_53[[#This Row],[配件1]],显卡利益点对照表[型号],显卡利益点对照表[利益点3],"ERROR"),"")</f>
        <v>强化金属背板</v>
      </c>
      <c r="L75" t="str">
        <f>IF(表1_53[[#This Row],[配件1]]&lt;&gt;"",_xlfn.XLOOKUP(表1_53[[#This Row],[配件1]],显卡利益点对照表[型号],显卡利益点对照表[算力],"ERROR"),"")</f>
        <v>AI算力614 TOPS</v>
      </c>
      <c r="M75" t="str">
        <f>IF(表1_53[[#This Row],[配件1]]&lt;&gt;"",_xlfn.XLOOKUP(表1_53[[#This Row],[配件1]],显卡利益点对照表[型号],显卡利益点对照表[可显性],"ERROR"),"")</f>
        <v>GV-N5060AERO OC-8GD</v>
      </c>
      <c r="N75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75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P75" t="s">
        <v>492</v>
      </c>
      <c r="Q75" t="str" cm="1">
        <f t="array" ref="Q75">_xlfn.IFS(表1_53[[#This Row],[配件1]]="","",表1_53[[#This Row],[文本丨算力丨算力值]]=0,"",表1_53[[#This Row],[文本丨算力丨算力值]]&lt;&gt;"","算力")</f>
        <v>算力</v>
      </c>
    </row>
    <row r="76" spans="2:17" x14ac:dyDescent="0.2">
      <c r="F76" t="str">
        <f>IF(表1_53[[#This Row],[配件1]]&lt;&gt;"",_xlfn.XLOOKUP(表1_53[[#This Row],[配件1]],显卡利益点对照表[型号],显卡利益点对照表[标题1],"ERROR"),"")</f>
        <v/>
      </c>
      <c r="G76" t="str">
        <f>IF(表1_53[[#This Row],[配件1]]&lt;&gt;"",_xlfn.XLOOKUP(表1_53[[#This Row],[配件1]],显卡利益点对照表[型号],显卡利益点对照表[标题2],"ERROR"),"")</f>
        <v/>
      </c>
      <c r="H76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76" t="str">
        <f>IF(表1_53[[#This Row],[配件1]]&lt;&gt;"",_xlfn.XLOOKUP(表1_53[[#This Row],[配件1]],显卡利益点对照表[型号],显卡利益点对照表[利益点1],"ERROR"),"")</f>
        <v/>
      </c>
      <c r="J76" t="str">
        <f>IF(表1_53[[#This Row],[配件1]]&lt;&gt;"",_xlfn.XLOOKUP(表1_53[[#This Row],[配件1]],显卡利益点对照表[型号],显卡利益点对照表[利益点2],"ERROR"),"")</f>
        <v/>
      </c>
      <c r="K76" t="str">
        <f>IF(表1_53[[#This Row],[配件1]]&lt;&gt;"",_xlfn.XLOOKUP(表1_53[[#This Row],[配件1]],显卡利益点对照表[型号],显卡利益点对照表[利益点3],"ERROR"),"")</f>
        <v/>
      </c>
      <c r="L76" t="str">
        <f>IF(表1_53[[#This Row],[配件1]]&lt;&gt;"",_xlfn.XLOOKUP(表1_53[[#This Row],[配件1]],显卡利益点对照表[型号],显卡利益点对照表[算力],"ERROR"),"")</f>
        <v/>
      </c>
      <c r="M76" t="str">
        <f>IF(表1_53[[#This Row],[配件1]]&lt;&gt;"",_xlfn.XLOOKUP(表1_53[[#This Row],[配件1]],显卡利益点对照表[型号],显卡利益点对照表[可显性],"ERROR"),"")</f>
        <v/>
      </c>
      <c r="N76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76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/>
      </c>
      <c r="Q76" t="str" cm="1">
        <f t="array" ref="Q76">_xlfn.IFS(表1_53[[#This Row],[配件1]]="","",表1_53[[#This Row],[文本丨算力丨算力值]]=0,"",表1_53[[#This Row],[文本丨算力丨算力值]]&lt;&gt;"","算力")</f>
        <v/>
      </c>
    </row>
    <row r="77" spans="2:17" x14ac:dyDescent="0.2">
      <c r="F77" t="str">
        <f>IF(表1_53[[#This Row],[配件1]]&lt;&gt;"",_xlfn.XLOOKUP(表1_53[[#This Row],[配件1]],显卡利益点对照表[型号],显卡利益点对照表[标题1],"ERROR"),"")</f>
        <v/>
      </c>
      <c r="G77" t="str">
        <f>IF(表1_53[[#This Row],[配件1]]&lt;&gt;"",_xlfn.XLOOKUP(表1_53[[#This Row],[配件1]],显卡利益点对照表[型号],显卡利益点对照表[标题2],"ERROR"),"")</f>
        <v/>
      </c>
      <c r="H77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77" t="str">
        <f>IF(表1_53[[#This Row],[配件1]]&lt;&gt;"",_xlfn.XLOOKUP(表1_53[[#This Row],[配件1]],显卡利益点对照表[型号],显卡利益点对照表[利益点1],"ERROR"),"")</f>
        <v/>
      </c>
      <c r="J77" t="str">
        <f>IF(表1_53[[#This Row],[配件1]]&lt;&gt;"",_xlfn.XLOOKUP(表1_53[[#This Row],[配件1]],显卡利益点对照表[型号],显卡利益点对照表[利益点2],"ERROR"),"")</f>
        <v/>
      </c>
      <c r="K77" t="str">
        <f>IF(表1_53[[#This Row],[配件1]]&lt;&gt;"",_xlfn.XLOOKUP(表1_53[[#This Row],[配件1]],显卡利益点对照表[型号],显卡利益点对照表[利益点3],"ERROR"),"")</f>
        <v/>
      </c>
      <c r="L77" t="str">
        <f>IF(表1_53[[#This Row],[配件1]]&lt;&gt;"",_xlfn.XLOOKUP(表1_53[[#This Row],[配件1]],显卡利益点对照表[型号],显卡利益点对照表[算力],"ERROR"),"")</f>
        <v/>
      </c>
      <c r="M77" t="str">
        <f>IF(表1_53[[#This Row],[配件1]]&lt;&gt;"",_xlfn.XLOOKUP(表1_53[[#This Row],[配件1]],显卡利益点对照表[型号],显卡利益点对照表[可显性],"ERROR"),"")</f>
        <v/>
      </c>
      <c r="N77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77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/>
      </c>
      <c r="Q77" t="str" cm="1">
        <f t="array" ref="Q77">_xlfn.IFS(表1_53[[#This Row],[配件1]]="","",表1_53[[#This Row],[文本丨算力丨算力值]]=0,"",表1_53[[#This Row],[文本丨算力丨算力值]]&lt;&gt;"","算力")</f>
        <v/>
      </c>
    </row>
    <row r="78" spans="2:17" x14ac:dyDescent="0.2">
      <c r="B78" s="22">
        <v>12</v>
      </c>
      <c r="C78" t="s">
        <v>446</v>
      </c>
      <c r="F78" t="str">
        <f>IF(表1_53[[#This Row],[配件1]]&lt;&gt;"",_xlfn.XLOOKUP(表1_53[[#This Row],[配件1]],显卡利益点对照表[型号],显卡利益点对照表[标题1],"ERROR"),"")</f>
        <v>RX9070GRE</v>
      </c>
      <c r="G78" t="str">
        <f>IF(表1_53[[#This Row],[配件1]]&lt;&gt;"",_xlfn.XLOOKUP(表1_53[[#This Row],[配件1]],显卡利益点对照表[型号],显卡利益点对照表[标题2],"ERROR"),"")</f>
        <v>12G 魔鹰</v>
      </c>
      <c r="H78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GAMING OC</v>
      </c>
      <c r="I78" t="str">
        <f>IF(表1_53[[#This Row],[配件1]]&lt;&gt;"",_xlfn.XLOOKUP(表1_53[[#This Row],[配件1]],显卡利益点对照表[型号],显卡利益点对照表[利益点1],"ERROR"),"")</f>
        <v>双BIOS模式</v>
      </c>
      <c r="J78" t="str">
        <f>IF(表1_53[[#This Row],[配件1]]&lt;&gt;"",_xlfn.XLOOKUP(表1_53[[#This Row],[配件1]],显卡利益点对照表[型号],显卡利益点对照表[利益点2],"ERROR"),"")</f>
        <v>服务器级导热凝胶</v>
      </c>
      <c r="K78" t="str">
        <f>IF(表1_53[[#This Row],[配件1]]&lt;&gt;"",_xlfn.XLOOKUP(表1_53[[#This Row],[配件1]],显卡利益点对照表[型号],显卡利益点对照表[利益点3],"ERROR"),"")</f>
        <v>正逆转仿生风扇</v>
      </c>
      <c r="L78">
        <f>IF(表1_53[[#This Row],[配件1]]&lt;&gt;"",_xlfn.XLOOKUP(表1_53[[#This Row],[配件1]],显卡利益点对照表[型号],显卡利益点对照表[算力],"ERROR"),"")</f>
        <v>0</v>
      </c>
      <c r="M78" t="str">
        <f>IF(表1_53[[#This Row],[配件1]]&lt;&gt;"",_xlfn.XLOOKUP(表1_53[[#This Row],[配件1]],显卡利益点对照表[型号],显卡利益点对照表[可显性],"ERROR"),"")</f>
        <v>GV-R907GREGAMING OC-12GD</v>
      </c>
      <c r="N78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78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/>
      </c>
      <c r="P78" t="s">
        <v>508</v>
      </c>
      <c r="Q78" t="str" cm="1">
        <f t="array" ref="Q78">_xlfn.IFS(表1_53[[#This Row],[配件1]]="","",表1_53[[#This Row],[文本丨算力丨算力值]]=0,"",表1_53[[#This Row],[文本丨算力丨算力值]]&lt;&gt;"","算力")</f>
        <v/>
      </c>
    </row>
    <row r="79" spans="2:17" x14ac:dyDescent="0.2">
      <c r="B79" s="22">
        <v>24</v>
      </c>
      <c r="C79" t="s">
        <v>446</v>
      </c>
      <c r="F79" t="str">
        <f>IF(表1_53[[#This Row],[配件1]]&lt;&gt;"",_xlfn.XLOOKUP(表1_53[[#This Row],[配件1]],显卡利益点对照表[型号],显卡利益点对照表[标题1],"ERROR"),"")</f>
        <v>RX9070GRE</v>
      </c>
      <c r="G79" t="str">
        <f>IF(表1_53[[#This Row],[配件1]]&lt;&gt;"",_xlfn.XLOOKUP(表1_53[[#This Row],[配件1]],显卡利益点对照表[型号],显卡利益点对照表[标题2],"ERROR"),"")</f>
        <v>12G 魔鹰</v>
      </c>
      <c r="H79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GAMING OC</v>
      </c>
      <c r="I79" t="str">
        <f>IF(表1_53[[#This Row],[配件1]]&lt;&gt;"",_xlfn.XLOOKUP(表1_53[[#This Row],[配件1]],显卡利益点对照表[型号],显卡利益点对照表[利益点1],"ERROR"),"")</f>
        <v>双BIOS模式</v>
      </c>
      <c r="J79" t="str">
        <f>IF(表1_53[[#This Row],[配件1]]&lt;&gt;"",_xlfn.XLOOKUP(表1_53[[#This Row],[配件1]],显卡利益点对照表[型号],显卡利益点对照表[利益点2],"ERROR"),"")</f>
        <v>服务器级导热凝胶</v>
      </c>
      <c r="K79" t="str">
        <f>IF(表1_53[[#This Row],[配件1]]&lt;&gt;"",_xlfn.XLOOKUP(表1_53[[#This Row],[配件1]],显卡利益点对照表[型号],显卡利益点对照表[利益点3],"ERROR"),"")</f>
        <v>正逆转仿生风扇</v>
      </c>
      <c r="L79">
        <f>IF(表1_53[[#This Row],[配件1]]&lt;&gt;"",_xlfn.XLOOKUP(表1_53[[#This Row],[配件1]],显卡利益点对照表[型号],显卡利益点对照表[算力],"ERROR"),"")</f>
        <v>0</v>
      </c>
      <c r="M79" t="str">
        <f>IF(表1_53[[#This Row],[配件1]]&lt;&gt;"",_xlfn.XLOOKUP(表1_53[[#This Row],[配件1]],显卡利益点对照表[型号],显卡利益点对照表[可显性],"ERROR"),"")</f>
        <v>GV-R907GREGAMING OC-12GD</v>
      </c>
      <c r="N79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79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/>
      </c>
      <c r="P79" t="s">
        <v>492</v>
      </c>
      <c r="Q79" t="str" cm="1">
        <f t="array" ref="Q79">_xlfn.IFS(表1_53[[#This Row],[配件1]]="","",表1_53[[#This Row],[文本丨算力丨算力值]]=0,"",表1_53[[#This Row],[文本丨算力丨算力值]]&lt;&gt;"","算力")</f>
        <v/>
      </c>
    </row>
    <row r="80" spans="2:17" x14ac:dyDescent="0.2">
      <c r="F80" t="str">
        <f>IF(表1_53[[#This Row],[配件1]]&lt;&gt;"",_xlfn.XLOOKUP(表1_53[[#This Row],[配件1]],显卡利益点对照表[型号],显卡利益点对照表[标题1],"ERROR"),"")</f>
        <v/>
      </c>
      <c r="G80" t="str">
        <f>IF(表1_53[[#This Row],[配件1]]&lt;&gt;"",_xlfn.XLOOKUP(表1_53[[#This Row],[配件1]],显卡利益点对照表[型号],显卡利益点对照表[标题2],"ERROR"),"")</f>
        <v/>
      </c>
      <c r="H80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80" t="str">
        <f>IF(表1_53[[#This Row],[配件1]]&lt;&gt;"",_xlfn.XLOOKUP(表1_53[[#This Row],[配件1]],显卡利益点对照表[型号],显卡利益点对照表[利益点1],"ERROR"),"")</f>
        <v/>
      </c>
      <c r="J80" t="str">
        <f>IF(表1_53[[#This Row],[配件1]]&lt;&gt;"",_xlfn.XLOOKUP(表1_53[[#This Row],[配件1]],显卡利益点对照表[型号],显卡利益点对照表[利益点2],"ERROR"),"")</f>
        <v/>
      </c>
      <c r="K80" t="str">
        <f>IF(表1_53[[#This Row],[配件1]]&lt;&gt;"",_xlfn.XLOOKUP(表1_53[[#This Row],[配件1]],显卡利益点对照表[型号],显卡利益点对照表[利益点3],"ERROR"),"")</f>
        <v/>
      </c>
      <c r="L80" t="str">
        <f>IF(表1_53[[#This Row],[配件1]]&lt;&gt;"",_xlfn.XLOOKUP(表1_53[[#This Row],[配件1]],显卡利益点对照表[型号],显卡利益点对照表[算力],"ERROR"),"")</f>
        <v/>
      </c>
      <c r="M80" t="str">
        <f>IF(表1_53[[#This Row],[配件1]]&lt;&gt;"",_xlfn.XLOOKUP(表1_53[[#This Row],[配件1]],显卡利益点对照表[型号],显卡利益点对照表[可显性],"ERROR"),"")</f>
        <v/>
      </c>
      <c r="N80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80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/>
      </c>
      <c r="Q80" t="str" cm="1">
        <f t="array" ref="Q80">_xlfn.IFS(表1_53[[#This Row],[配件1]]="","",表1_53[[#This Row],[文本丨算力丨算力值]]=0,"",表1_53[[#This Row],[文本丨算力丨算力值]]&lt;&gt;"","算力")</f>
        <v/>
      </c>
    </row>
    <row r="81" spans="2:17" x14ac:dyDescent="0.2">
      <c r="B81" s="41" t="s">
        <v>540</v>
      </c>
      <c r="C81" s="42" t="s">
        <v>540</v>
      </c>
      <c r="D81" s="42"/>
      <c r="E81" s="42"/>
      <c r="F81" s="42" t="str">
        <f>IF(表1_53[[#This Row],[配件1]]&lt;&gt;"",_xlfn.XLOOKUP(表1_53[[#This Row],[配件1]],显卡利益点对照表[型号],显卡利益点对照表[标题1],"ERROR"),"")</f>
        <v>GT1030 2GI</v>
      </c>
      <c r="G81" s="42" t="str">
        <f>IF(表1_53[[#This Row],[配件1]]&lt;&gt;"",_xlfn.XLOOKUP(表1_53[[#This Row],[配件1]],显卡利益点对照表[型号],显卡利益点对照表[标题2],"ERROR"),"")</f>
        <v>OC - 2GI</v>
      </c>
      <c r="H81" s="42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耐久之选</v>
      </c>
      <c r="I81" s="42" t="str">
        <f>IF(表1_53[[#This Row],[配件1]]&lt;&gt;"",_xlfn.XLOOKUP(表1_53[[#This Row],[配件1]],显卡利益点对照表[型号],显卡利益点对照表[利益点1],"ERROR"),"")</f>
        <v>三年质保/个人送保</v>
      </c>
      <c r="J81" s="42" t="str">
        <f>IF(表1_53[[#This Row],[配件1]]&lt;&gt;"",_xlfn.XLOOKUP(表1_53[[#This Row],[配件1]],显卡利益点对照表[型号],显卡利益点对照表[利益点2],"ERROR"),"")</f>
        <v>耐久之选</v>
      </c>
      <c r="K81" s="42">
        <f>IF(表1_53[[#This Row],[配件1]]&lt;&gt;"",_xlfn.XLOOKUP(表1_53[[#This Row],[配件1]],显卡利益点对照表[型号],显卡利益点对照表[利益点3],"ERROR"),"")</f>
        <v>0</v>
      </c>
      <c r="L81" s="42">
        <f>IF(表1_53[[#This Row],[配件1]]&lt;&gt;"",_xlfn.XLOOKUP(表1_53[[#This Row],[配件1]],显卡利益点对照表[型号],显卡利益点对照表[算力],"ERROR"),"")</f>
        <v>0</v>
      </c>
      <c r="M81" s="42" t="str">
        <f>IF(表1_53[[#This Row],[配件1]]&lt;&gt;"",_xlfn.XLOOKUP(表1_53[[#This Row],[配件1]],显卡利益点对照表[型号],显卡利益点对照表[可显性],"ERROR"),"")</f>
        <v>1030OC-2GI</v>
      </c>
      <c r="N81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</row>
    <row r="82" spans="2:17" x14ac:dyDescent="0.2">
      <c r="B82" s="41" t="s">
        <v>532</v>
      </c>
      <c r="C82" s="42" t="s">
        <v>532</v>
      </c>
      <c r="D82" s="42"/>
      <c r="E82" s="42"/>
      <c r="F82" s="42" t="str">
        <f>IF(表1_53[[#This Row],[配件1]]&lt;&gt;"",_xlfn.XLOOKUP(表1_53[[#This Row],[配件1]],显卡利益点对照表[型号],显卡利益点对照表[标题1],"ERROR"),"")</f>
        <v>RTX4060</v>
      </c>
      <c r="G82" s="42" t="str">
        <f>IF(表1_53[[#This Row],[配件1]]&lt;&gt;"",_xlfn.XLOOKUP(表1_53[[#This Row],[配件1]],显卡利益点对照表[型号],显卡利益点对照表[标题2],"ERROR"),"")</f>
        <v>OC - 8GL</v>
      </c>
      <c r="H82" s="42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半高刀卡</v>
      </c>
      <c r="I82" s="42" t="str">
        <f>IF(表1_53[[#This Row],[配件1]]&lt;&gt;"",_xlfn.XLOOKUP(表1_53[[#This Row],[配件1]],显卡利益点对照表[型号],显卡利益点对照表[利益点1],"ERROR"),"")</f>
        <v>三年质保/个人送保</v>
      </c>
      <c r="J82" s="42" t="str">
        <f>IF(表1_53[[#This Row],[配件1]]&lt;&gt;"",_xlfn.XLOOKUP(表1_53[[#This Row],[配件1]],显卡利益点对照表[型号],显卡利益点对照表[利益点2],"ERROR"),"")</f>
        <v>精巧半高卡设计丨25</v>
      </c>
      <c r="K82" s="42">
        <f>IF(表1_53[[#This Row],[配件1]]&lt;&gt;"",_xlfn.XLOOKUP(表1_53[[#This Row],[配件1]],显卡利益点对照表[型号],显卡利益点对照表[利益点3],"ERROR"),"")</f>
        <v>0</v>
      </c>
      <c r="L82" s="42">
        <f>IF(表1_53[[#This Row],[配件1]]&lt;&gt;"",_xlfn.XLOOKUP(表1_53[[#This Row],[配件1]],显卡利益点对照表[型号],显卡利益点对照表[算力],"ERROR"),"")</f>
        <v>0</v>
      </c>
      <c r="M82" s="42" t="str">
        <f>IF(表1_53[[#This Row],[配件1]]&lt;&gt;"",_xlfn.XLOOKUP(表1_53[[#This Row],[配件1]],显卡利益点对照表[型号],显卡利益点对照表[可显性],"ERROR"),"")</f>
        <v>4060 OC-8GL 半高刀卡</v>
      </c>
      <c r="N82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82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/>
      </c>
      <c r="Q82" t="str" cm="1">
        <f t="array" ref="Q82">_xlfn.IFS(表1_53[[#This Row],[配件1]]="","",表1_53[[#This Row],[文本丨算力丨算力值]]=0,"",表1_53[[#This Row],[文本丨算力丨算力值]]&lt;&gt;"","算力")</f>
        <v/>
      </c>
    </row>
    <row r="83" spans="2:17" x14ac:dyDescent="0.2">
      <c r="B83" s="41" t="s">
        <v>533</v>
      </c>
      <c r="C83" s="42" t="s">
        <v>533</v>
      </c>
      <c r="D83" s="42"/>
      <c r="E83" s="42"/>
      <c r="F83" s="42" t="str">
        <f>IF(表1_53[[#This Row],[配件1]]&lt;&gt;"",_xlfn.XLOOKUP(表1_53[[#This Row],[配件1]],显卡利益点对照表[型号],显卡利益点对照表[标题1],"ERROR"),"")</f>
        <v>RTX4060</v>
      </c>
      <c r="G83" s="42" t="str">
        <f>IF(表1_53[[#This Row],[配件1]]&lt;&gt;"",_xlfn.XLOOKUP(表1_53[[#This Row],[配件1]],显卡利益点对照表[型号],显卡利益点对照表[标题2],"ERROR"),"")</f>
        <v>8G 风魔</v>
      </c>
      <c r="H83" s="42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WF2OC</v>
      </c>
      <c r="I83" s="42" t="str">
        <f>IF(表1_53[[#This Row],[配件1]]&lt;&gt;"",_xlfn.XLOOKUP(表1_53[[#This Row],[配件1]],显卡利益点对照表[型号],显卡利益点对照表[利益点1],"ERROR"),"")</f>
        <v>三年质保/个人送保</v>
      </c>
      <c r="J83" s="42" t="str">
        <f>IF(表1_53[[#This Row],[配件1]]&lt;&gt;"",_xlfn.XLOOKUP(表1_53[[#This Row],[配件1]],显卡利益点对照表[型号],显卡利益点对照表[利益点2],"ERROR"),"")</f>
        <v>正逆转风扇</v>
      </c>
      <c r="K83" s="42">
        <f>IF(表1_53[[#This Row],[配件1]]&lt;&gt;"",_xlfn.XLOOKUP(表1_53[[#This Row],[配件1]],显卡利益点对照表[型号],显卡利益点对照表[利益点3],"ERROR"),"")</f>
        <v>0</v>
      </c>
      <c r="L83" s="42">
        <f>IF(表1_53[[#This Row],[配件1]]&lt;&gt;"",_xlfn.XLOOKUP(表1_53[[#This Row],[配件1]],显卡利益点对照表[型号],显卡利益点对照表[算力],"ERROR"),"")</f>
        <v>0</v>
      </c>
      <c r="M83" s="42" t="str">
        <f>IF(表1_53[[#This Row],[配件1]]&lt;&gt;"",_xlfn.XLOOKUP(表1_53[[#This Row],[配件1]],显卡利益点对照表[型号],显卡利益点对照表[可显性],"ERROR"),"")</f>
        <v>4060 WF2OC-8GD 风魔</v>
      </c>
      <c r="N83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83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/>
      </c>
      <c r="Q83" t="str" cm="1">
        <f t="array" ref="Q83">_xlfn.IFS(表1_53[[#This Row],[配件1]]="","",表1_53[[#This Row],[文本丨算力丨算力值]]=0,"",表1_53[[#This Row],[文本丨算力丨算力值]]&lt;&gt;"","算力")</f>
        <v/>
      </c>
    </row>
    <row r="84" spans="2:17" x14ac:dyDescent="0.2">
      <c r="B84" s="41"/>
      <c r="C84" s="42" t="s">
        <v>534</v>
      </c>
      <c r="D84" s="42"/>
      <c r="E84" s="42"/>
      <c r="F84" s="42" t="str">
        <f>IF(表1_53[[#This Row],[配件1]]&lt;&gt;"",_xlfn.XLOOKUP(表1_53[[#This Row],[配件1]],显卡利益点对照表[型号],显卡利益点对照表[标题1],"ERROR"),"")</f>
        <v>RTX4060</v>
      </c>
      <c r="G84" s="42" t="str">
        <f>IF(表1_53[[#This Row],[配件1]]&lt;&gt;"",_xlfn.XLOOKUP(表1_53[[#This Row],[配件1]],显卡利益点对照表[型号],显卡利益点对照表[标题2],"ERROR"),"")</f>
        <v>8G 猎鹰</v>
      </c>
      <c r="H84" s="42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EAGLE OC</v>
      </c>
      <c r="I84" s="42" t="str">
        <f>IF(表1_53[[#This Row],[配件1]]&lt;&gt;"",_xlfn.XLOOKUP(表1_53[[#This Row],[配件1]],显卡利益点对照表[型号],显卡利益点对照表[利益点1],"ERROR"),"")</f>
        <v>三年质保/个人送保</v>
      </c>
      <c r="J84" s="42" t="str">
        <f>IF(表1_53[[#This Row],[配件1]]&lt;&gt;"",_xlfn.XLOOKUP(表1_53[[#This Row],[配件1]],显卡利益点对照表[型号],显卡利益点对照表[利益点2],"ERROR"),"")</f>
        <v>正逆转风扇</v>
      </c>
      <c r="K84" s="42">
        <f>IF(表1_53[[#This Row],[配件1]]&lt;&gt;"",_xlfn.XLOOKUP(表1_53[[#This Row],[配件1]],显卡利益点对照表[型号],显卡利益点对照表[利益点3],"ERROR"),"")</f>
        <v>0</v>
      </c>
      <c r="L84" s="42">
        <f>IF(表1_53[[#This Row],[配件1]]&lt;&gt;"",_xlfn.XLOOKUP(表1_53[[#This Row],[配件1]],显卡利益点对照表[型号],显卡利益点对照表[算力],"ERROR"),"")</f>
        <v>0</v>
      </c>
      <c r="M84" s="42" t="str">
        <f>IF(表1_53[[#This Row],[配件1]]&lt;&gt;"",_xlfn.XLOOKUP(表1_53[[#This Row],[配件1]],显卡利益点对照表[型号],显卡利益点对照表[可显性],"ERROR"),"")</f>
        <v>4060 EAGLE OC-8GD 猎鹰</v>
      </c>
      <c r="N84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84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/>
      </c>
      <c r="Q84" t="str" cm="1">
        <f t="array" ref="Q84">_xlfn.IFS(表1_53[[#This Row],[配件1]]="","",表1_53[[#This Row],[文本丨算力丨算力值]]=0,"",表1_53[[#This Row],[文本丨算力丨算力值]]&lt;&gt;"","算力")</f>
        <v/>
      </c>
    </row>
    <row r="85" spans="2:17" x14ac:dyDescent="0.2">
      <c r="B85" s="41" t="s">
        <v>535</v>
      </c>
      <c r="C85" s="42" t="s">
        <v>535</v>
      </c>
      <c r="D85" s="42"/>
      <c r="E85" s="42"/>
      <c r="F85" s="42" t="str">
        <f>IF(表1_53[[#This Row],[配件1]]&lt;&gt;"",_xlfn.XLOOKUP(表1_53[[#This Row],[配件1]],显卡利益点对照表[型号],显卡利益点对照表[标题1],"ERROR"),"")</f>
        <v>RTX4060</v>
      </c>
      <c r="G85" s="42" t="str">
        <f>IF(表1_53[[#This Row],[配件1]]&lt;&gt;"",_xlfn.XLOOKUP(表1_53[[#This Row],[配件1]],显卡利益点对照表[型号],显卡利益点对照表[标题2],"ERROR"),"")</f>
        <v>8G 冰猎鹰</v>
      </c>
      <c r="H85" s="42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EAGLE ICE OC</v>
      </c>
      <c r="I85" s="42" t="str">
        <f>IF(表1_53[[#This Row],[配件1]]&lt;&gt;"",_xlfn.XLOOKUP(表1_53[[#This Row],[配件1]],显卡利益点对照表[型号],显卡利益点对照表[利益点1],"ERROR"),"")</f>
        <v>三年质保/个人送保</v>
      </c>
      <c r="J85" s="42" t="str">
        <f>IF(表1_53[[#This Row],[配件1]]&lt;&gt;"",_xlfn.XLOOKUP(表1_53[[#This Row],[配件1]],显卡利益点对照表[型号],显卡利益点对照表[利益点2],"ERROR"),"")</f>
        <v>银白雪装外观</v>
      </c>
      <c r="K85" s="42">
        <f>IF(表1_53[[#This Row],[配件1]]&lt;&gt;"",_xlfn.XLOOKUP(表1_53[[#This Row],[配件1]],显卡利益点对照表[型号],显卡利益点对照表[利益点3],"ERROR"),"")</f>
        <v>0</v>
      </c>
      <c r="L85" s="42">
        <f>IF(表1_53[[#This Row],[配件1]]&lt;&gt;"",_xlfn.XLOOKUP(表1_53[[#This Row],[配件1]],显卡利益点对照表[型号],显卡利益点对照表[算力],"ERROR"),"")</f>
        <v>0</v>
      </c>
      <c r="M85" s="42" t="str">
        <f>IF(表1_53[[#This Row],[配件1]]&lt;&gt;"",_xlfn.XLOOKUP(表1_53[[#This Row],[配件1]],显卡利益点对照表[型号],显卡利益点对照表[可显性],"ERROR"),"")</f>
        <v>4060 EAGLE OC ICE-8GD 冰猎鹰</v>
      </c>
      <c r="N85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85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/>
      </c>
      <c r="Q85" t="str" cm="1">
        <f t="array" ref="Q85">_xlfn.IFS(表1_53[[#This Row],[配件1]]="","",表1_53[[#This Row],[文本丨算力丨算力值]]=0,"",表1_53[[#This Row],[文本丨算力丨算力值]]&lt;&gt;"","算力")</f>
        <v/>
      </c>
    </row>
    <row r="86" spans="2:17" x14ac:dyDescent="0.2">
      <c r="B86" s="41" t="s">
        <v>536</v>
      </c>
      <c r="C86" s="42" t="s">
        <v>536</v>
      </c>
      <c r="D86" s="42"/>
      <c r="E86" s="42"/>
      <c r="F86" s="42" t="str">
        <f>IF(表1_53[[#This Row],[配件1]]&lt;&gt;"",_xlfn.XLOOKUP(表1_53[[#This Row],[配件1]],显卡利益点对照表[型号],显卡利益点对照表[标题1],"ERROR"),"")</f>
        <v>RTX4060</v>
      </c>
      <c r="G86" s="42" t="str">
        <f>IF(表1_53[[#This Row],[配件1]]&lt;&gt;"",_xlfn.XLOOKUP(表1_53[[#This Row],[配件1]],显卡利益点对照表[型号],显卡利益点对照表[标题2],"ERROR"),"")</f>
        <v>8G 魔鹰</v>
      </c>
      <c r="H86" s="42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GAMING OC</v>
      </c>
      <c r="I86" s="42" t="str">
        <f>IF(表1_53[[#This Row],[配件1]]&lt;&gt;"",_xlfn.XLOOKUP(表1_53[[#This Row],[配件1]],显卡利益点对照表[型号],显卡利益点对照表[利益点1],"ERROR"),"")</f>
        <v>三年质保/个人送保</v>
      </c>
      <c r="J86" s="42" t="str">
        <f>IF(表1_53[[#This Row],[配件1]]&lt;&gt;"",_xlfn.XLOOKUP(表1_53[[#This Row],[配件1]],显卡利益点对照表[型号],显卡利益点对照表[利益点2],"ERROR"),"")</f>
        <v>正逆转风扇</v>
      </c>
      <c r="K86" s="42">
        <f>IF(表1_53[[#This Row],[配件1]]&lt;&gt;"",_xlfn.XLOOKUP(表1_53[[#This Row],[配件1]],显卡利益点对照表[型号],显卡利益点对照表[利益点3],"ERROR"),"")</f>
        <v>0</v>
      </c>
      <c r="L86" s="42">
        <f>IF(表1_53[[#This Row],[配件1]]&lt;&gt;"",_xlfn.XLOOKUP(表1_53[[#This Row],[配件1]],显卡利益点对照表[型号],显卡利益点对照表[算力],"ERROR"),"")</f>
        <v>0</v>
      </c>
      <c r="M86" s="42" t="str">
        <f>IF(表1_53[[#This Row],[配件1]]&lt;&gt;"",_xlfn.XLOOKUP(表1_53[[#This Row],[配件1]],显卡利益点对照表[型号],显卡利益点对照表[可显性],"ERROR"),"")</f>
        <v>4060 GAMING OC-8GD 魔鹰</v>
      </c>
      <c r="N86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86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/>
      </c>
      <c r="Q86" t="str" cm="1">
        <f t="array" ref="Q86">_xlfn.IFS(表1_53[[#This Row],[配件1]]="","",表1_53[[#This Row],[文本丨算力丨算力值]]=0,"",表1_53[[#This Row],[文本丨算力丨算力值]]&lt;&gt;"","算力")</f>
        <v/>
      </c>
    </row>
    <row r="87" spans="2:17" x14ac:dyDescent="0.2">
      <c r="B87" s="41" t="s">
        <v>537</v>
      </c>
      <c r="C87" s="42" t="s">
        <v>537</v>
      </c>
      <c r="D87" s="42"/>
      <c r="E87" s="42"/>
      <c r="F87" s="42" t="str">
        <f>IF(表1_53[[#This Row],[配件1]]&lt;&gt;"",_xlfn.XLOOKUP(表1_53[[#This Row],[配件1]],显卡利益点对照表[型号],显卡利益点对照表[标题1],"ERROR"),"")</f>
        <v>RTX4060</v>
      </c>
      <c r="G87" s="42" t="str">
        <f>IF(表1_53[[#This Row],[配件1]]&lt;&gt;"",_xlfn.XLOOKUP(表1_53[[#This Row],[配件1]],显卡利益点对照表[型号],显卡利益点对照表[标题2],"ERROR"),"")</f>
        <v>8G 雪鹰</v>
      </c>
      <c r="H87" s="42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AERO OC</v>
      </c>
      <c r="I87" s="42" t="str">
        <f>IF(表1_53[[#This Row],[配件1]]&lt;&gt;"",_xlfn.XLOOKUP(表1_53[[#This Row],[配件1]],显卡利益点对照表[型号],显卡利益点对照表[利益点1],"ERROR"),"")</f>
        <v>三年质保/个人送保</v>
      </c>
      <c r="J87" s="42" t="str">
        <f>IF(表1_53[[#This Row],[配件1]]&lt;&gt;"",_xlfn.XLOOKUP(表1_53[[#This Row],[配件1]],显卡利益点对照表[型号],显卡利益点对照表[利益点2],"ERROR"),"")</f>
        <v>银白雪装外观</v>
      </c>
      <c r="K87" s="42">
        <f>IF(表1_53[[#This Row],[配件1]]&lt;&gt;"",_xlfn.XLOOKUP(表1_53[[#This Row],[配件1]],显卡利益点对照表[型号],显卡利益点对照表[利益点3],"ERROR"),"")</f>
        <v>0</v>
      </c>
      <c r="L87" s="42">
        <f>IF(表1_53[[#This Row],[配件1]]&lt;&gt;"",_xlfn.XLOOKUP(表1_53[[#This Row],[配件1]],显卡利益点对照表[型号],显卡利益点对照表[算力],"ERROR"),"")</f>
        <v>0</v>
      </c>
      <c r="M87" s="42" t="str">
        <f>IF(表1_53[[#This Row],[配件1]]&lt;&gt;"",_xlfn.XLOOKUP(表1_53[[#This Row],[配件1]],显卡利益点对照表[型号],显卡利益点对照表[可显性],"ERROR"),"")</f>
        <v>4060 AERO OC-8GD 雪鹰</v>
      </c>
      <c r="N87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87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/>
      </c>
      <c r="Q87" t="str" cm="1">
        <f t="array" ref="Q87">_xlfn.IFS(表1_53[[#This Row],[配件1]]="","",表1_53[[#This Row],[文本丨算力丨算力值]]=0,"",表1_53[[#This Row],[文本丨算力丨算力值]]&lt;&gt;"","算力")</f>
        <v/>
      </c>
    </row>
    <row r="88" spans="2:17" x14ac:dyDescent="0.2">
      <c r="B88" s="41"/>
      <c r="C88" s="42"/>
      <c r="D88" s="42"/>
      <c r="E88" s="42"/>
      <c r="F88" s="42" t="str">
        <f>IF(表1_53[[#This Row],[配件1]]&lt;&gt;"",_xlfn.XLOOKUP(表1_53[[#This Row],[配件1]],显卡利益点对照表[型号],显卡利益点对照表[标题1],"ERROR"),"")</f>
        <v/>
      </c>
      <c r="G88" s="42" t="str">
        <f>IF(表1_53[[#This Row],[配件1]]&lt;&gt;"",_xlfn.XLOOKUP(表1_53[[#This Row],[配件1]],显卡利益点对照表[型号],显卡利益点对照表[标题2],"ERROR"),"")</f>
        <v/>
      </c>
      <c r="H88" s="42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88" s="42" t="str">
        <f>IF(表1_53[[#This Row],[配件1]]&lt;&gt;"",_xlfn.XLOOKUP(表1_53[[#This Row],[配件1]],显卡利益点对照表[型号],显卡利益点对照表[利益点1],"ERROR"),"")</f>
        <v/>
      </c>
      <c r="J88" s="42" t="str">
        <f>IF(表1_53[[#This Row],[配件1]]&lt;&gt;"",_xlfn.XLOOKUP(表1_53[[#This Row],[配件1]],显卡利益点对照表[型号],显卡利益点对照表[利益点2],"ERROR"),"")</f>
        <v/>
      </c>
      <c r="K88" s="42" t="str">
        <f>IF(表1_53[[#This Row],[配件1]]&lt;&gt;"",_xlfn.XLOOKUP(表1_53[[#This Row],[配件1]],显卡利益点对照表[型号],显卡利益点对照表[利益点3],"ERROR"),"")</f>
        <v/>
      </c>
      <c r="L88" s="42" t="str">
        <f>IF(表1_53[[#This Row],[配件1]]&lt;&gt;"",_xlfn.XLOOKUP(表1_53[[#This Row],[配件1]],显卡利益点对照表[型号],显卡利益点对照表[算力],"ERROR"),"")</f>
        <v/>
      </c>
      <c r="M88" s="42" t="str">
        <f>IF(表1_53[[#This Row],[配件1]]&lt;&gt;"",_xlfn.XLOOKUP(表1_53[[#This Row],[配件1]],显卡利益点对照表[型号],显卡利益点对照表[可显性],"ERROR"),"")</f>
        <v/>
      </c>
      <c r="N88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88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/>
      </c>
      <c r="Q88" t="str" cm="1">
        <f t="array" ref="Q88">_xlfn.IFS(表1_53[[#This Row],[配件1]]="","",表1_53[[#This Row],[文本丨算力丨算力值]]=0,"",表1_53[[#This Row],[文本丨算力丨算力值]]&lt;&gt;"","算力")</f>
        <v/>
      </c>
    </row>
    <row r="89" spans="2:17" x14ac:dyDescent="0.2">
      <c r="B89" s="41" t="s">
        <v>538</v>
      </c>
      <c r="C89" s="42" t="s">
        <v>538</v>
      </c>
      <c r="D89" s="42"/>
      <c r="E89" s="42"/>
      <c r="F89" s="42" t="str">
        <f>IF(表1_53[[#This Row],[配件1]]&lt;&gt;"",_xlfn.XLOOKUP(表1_53[[#This Row],[配件1]],显卡利益点对照表[型号],显卡利益点对照表[标题1],"ERROR"),"")</f>
        <v>RTX4060Ti</v>
      </c>
      <c r="G89" s="42" t="str">
        <f>IF(表1_53[[#This Row],[配件1]]&lt;&gt;"",_xlfn.XLOOKUP(表1_53[[#This Row],[配件1]],显卡利益点对照表[型号],显卡利益点对照表[标题2],"ERROR"),"")</f>
        <v>8G 猎鹰</v>
      </c>
      <c r="H89" s="42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EAGLE</v>
      </c>
      <c r="I89" s="42" t="str">
        <f>IF(表1_53[[#This Row],[配件1]]&lt;&gt;"",_xlfn.XLOOKUP(表1_53[[#This Row],[配件1]],显卡利益点对照表[型号],显卡利益点对照表[利益点1],"ERROR"),"")</f>
        <v>三年质保/个人送保</v>
      </c>
      <c r="J89" s="42" t="str">
        <f>IF(表1_53[[#This Row],[配件1]]&lt;&gt;"",_xlfn.XLOOKUP(表1_53[[#This Row],[配件1]],显卡利益点对照表[型号],显卡利益点对照表[利益点2],"ERROR"),"")</f>
        <v>正逆转风扇</v>
      </c>
      <c r="K89" s="42">
        <f>IF(表1_53[[#This Row],[配件1]]&lt;&gt;"",_xlfn.XLOOKUP(表1_53[[#This Row],[配件1]],显卡利益点对照表[型号],显卡利益点对照表[利益点3],"ERROR"),"")</f>
        <v>0</v>
      </c>
      <c r="L89" s="42">
        <f>IF(表1_53[[#This Row],[配件1]]&lt;&gt;"",_xlfn.XLOOKUP(表1_53[[#This Row],[配件1]],显卡利益点对照表[型号],显卡利益点对照表[算力],"ERROR"),"")</f>
        <v>0</v>
      </c>
      <c r="M89" s="42" t="str">
        <f>IF(表1_53[[#This Row],[配件1]]&lt;&gt;"",_xlfn.XLOOKUP(表1_53[[#This Row],[配件1]],显卡利益点对照表[型号],显卡利益点对照表[可显性],"ERROR"),"")</f>
        <v>4060Ti EAGLE OC-8GD 猎鹰OC</v>
      </c>
      <c r="N89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89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/>
      </c>
      <c r="Q89" t="str" cm="1">
        <f t="array" ref="Q89">_xlfn.IFS(表1_53[[#This Row],[配件1]]="","",表1_53[[#This Row],[文本丨算力丨算力值]]=0,"",表1_53[[#This Row],[文本丨算力丨算力值]]&lt;&gt;"","算力")</f>
        <v/>
      </c>
    </row>
    <row r="90" spans="2:17" x14ac:dyDescent="0.2">
      <c r="B90" s="41"/>
      <c r="C90" s="42"/>
      <c r="D90" s="42"/>
      <c r="E90" s="42"/>
      <c r="F90" s="42" t="str">
        <f>IF(表1_53[[#This Row],[配件1]]&lt;&gt;"",_xlfn.XLOOKUP(表1_53[[#This Row],[配件1]],显卡利益点对照表[型号],显卡利益点对照表[标题1],"ERROR"),"")</f>
        <v/>
      </c>
      <c r="G90" s="42" t="str">
        <f>IF(表1_53[[#This Row],[配件1]]&lt;&gt;"",_xlfn.XLOOKUP(表1_53[[#This Row],[配件1]],显卡利益点对照表[型号],显卡利益点对照表[标题2],"ERROR"),"")</f>
        <v/>
      </c>
      <c r="H90" s="42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90" s="42" t="str">
        <f>IF(表1_53[[#This Row],[配件1]]&lt;&gt;"",_xlfn.XLOOKUP(表1_53[[#This Row],[配件1]],显卡利益点对照表[型号],显卡利益点对照表[利益点1],"ERROR"),"")</f>
        <v/>
      </c>
      <c r="J90" s="42" t="str">
        <f>IF(表1_53[[#This Row],[配件1]]&lt;&gt;"",_xlfn.XLOOKUP(表1_53[[#This Row],[配件1]],显卡利益点对照表[型号],显卡利益点对照表[利益点2],"ERROR"),"")</f>
        <v/>
      </c>
      <c r="K90" s="42" t="str">
        <f>IF(表1_53[[#This Row],[配件1]]&lt;&gt;"",_xlfn.XLOOKUP(表1_53[[#This Row],[配件1]],显卡利益点对照表[型号],显卡利益点对照表[利益点3],"ERROR"),"")</f>
        <v/>
      </c>
      <c r="L90" s="42" t="str">
        <f>IF(表1_53[[#This Row],[配件1]]&lt;&gt;"",_xlfn.XLOOKUP(表1_53[[#This Row],[配件1]],显卡利益点对照表[型号],显卡利益点对照表[算力],"ERROR"),"")</f>
        <v/>
      </c>
      <c r="M90" s="42" t="str">
        <f>IF(表1_53[[#This Row],[配件1]]&lt;&gt;"",_xlfn.XLOOKUP(表1_53[[#This Row],[配件1]],显卡利益点对照表[型号],显卡利益点对照表[可显性],"ERROR"),"")</f>
        <v/>
      </c>
      <c r="N90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90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/>
      </c>
      <c r="Q90" t="str" cm="1">
        <f t="array" ref="Q90">_xlfn.IFS(表1_53[[#This Row],[配件1]]="","",表1_53[[#This Row],[文本丨算力丨算力值]]=0,"",表1_53[[#This Row],[文本丨算力丨算力值]]&lt;&gt;"","算力")</f>
        <v/>
      </c>
    </row>
    <row r="91" spans="2:17" x14ac:dyDescent="0.2">
      <c r="B91" s="41" t="s">
        <v>539</v>
      </c>
      <c r="C91" s="42" t="s">
        <v>539</v>
      </c>
      <c r="D91" s="42"/>
      <c r="E91" s="42"/>
      <c r="F91" s="42" t="str">
        <f>IF(表1_53[[#This Row],[配件1]]&lt;&gt;"",_xlfn.XLOOKUP(表1_53[[#This Row],[配件1]],显卡利益点对照表[型号],显卡利益点对照表[标题1],"ERROR"),"")</f>
        <v>RTX4070 S</v>
      </c>
      <c r="G91" s="42" t="str">
        <f>IF(表1_53[[#This Row],[配件1]]&lt;&gt;"",_xlfn.XLOOKUP(表1_53[[#This Row],[配件1]],显卡利益点对照表[型号],显卡利益点对照表[标题2],"ERROR"),"")</f>
        <v>12G魔鹰</v>
      </c>
      <c r="H91" s="42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GAMING OC</v>
      </c>
      <c r="I91" s="42" t="str">
        <f>IF(表1_53[[#This Row],[配件1]]&lt;&gt;"",_xlfn.XLOOKUP(表1_53[[#This Row],[配件1]],显卡利益点对照表[型号],显卡利益点对照表[利益点1],"ERROR"),"")</f>
        <v>注册4年保/个人送保丨25</v>
      </c>
      <c r="J91" s="42" t="str">
        <f>IF(表1_53[[#This Row],[配件1]]&lt;&gt;"",_xlfn.XLOOKUP(表1_53[[#This Row],[配件1]],显卡利益点对照表[型号],显卡利益点对照表[利益点2],"ERROR"),"")</f>
        <v>正逆转风扇</v>
      </c>
      <c r="K91" s="42">
        <f>IF(表1_53[[#This Row],[配件1]]&lt;&gt;"",_xlfn.XLOOKUP(表1_53[[#This Row],[配件1]],显卡利益点对照表[型号],显卡利益点对照表[利益点3],"ERROR"),"")</f>
        <v>0</v>
      </c>
      <c r="L91" s="42">
        <f>IF(表1_53[[#This Row],[配件1]]&lt;&gt;"",_xlfn.XLOOKUP(表1_53[[#This Row],[配件1]],显卡利益点对照表[型号],显卡利益点对照表[算力],"ERROR"),"")</f>
        <v>0</v>
      </c>
      <c r="M91" s="42" t="str">
        <f>IF(表1_53[[#This Row],[配件1]]&lt;&gt;"",_xlfn.XLOOKUP(表1_53[[#This Row],[配件1]],显卡利益点对照表[型号],显卡利益点对照表[可显性],"ERROR"),"")</f>
        <v>4070S GAMING OC-12GD 魔鹰</v>
      </c>
      <c r="N91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91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/>
      </c>
      <c r="Q91" t="str" cm="1">
        <f t="array" ref="Q91">_xlfn.IFS(表1_53[[#This Row],[配件1]]="","",表1_53[[#This Row],[文本丨算力丨算力值]]=0,"",表1_53[[#This Row],[文本丨算力丨算力值]]&lt;&gt;"","算力")</f>
        <v/>
      </c>
    </row>
    <row r="92" spans="2:17" x14ac:dyDescent="0.2">
      <c r="F92" t="str">
        <f>IF(表1_53[[#This Row],[配件1]]&lt;&gt;"",_xlfn.XLOOKUP(表1_53[[#This Row],[配件1]],显卡利益点对照表[型号],显卡利益点对照表[标题1],"ERROR"),"")</f>
        <v/>
      </c>
      <c r="G92" t="str">
        <f>IF(表1_53[[#This Row],[配件1]]&lt;&gt;"",_xlfn.XLOOKUP(表1_53[[#This Row],[配件1]],显卡利益点对照表[型号],显卡利益点对照表[标题2],"ERROR"),"")</f>
        <v/>
      </c>
      <c r="H92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92" t="str">
        <f>IF(表1_53[[#This Row],[配件1]]&lt;&gt;"",_xlfn.XLOOKUP(表1_53[[#This Row],[配件1]],显卡利益点对照表[型号],显卡利益点对照表[利益点1],"ERROR"),"")</f>
        <v/>
      </c>
      <c r="J92" t="str">
        <f>IF(表1_53[[#This Row],[配件1]]&lt;&gt;"",_xlfn.XLOOKUP(表1_53[[#This Row],[配件1]],显卡利益点对照表[型号],显卡利益点对照表[利益点2],"ERROR"),"")</f>
        <v/>
      </c>
      <c r="K92" t="str">
        <f>IF(表1_53[[#This Row],[配件1]]&lt;&gt;"",_xlfn.XLOOKUP(表1_53[[#This Row],[配件1]],显卡利益点对照表[型号],显卡利益点对照表[利益点3],"ERROR"),"")</f>
        <v/>
      </c>
      <c r="L92" t="str">
        <f>IF(表1_53[[#This Row],[配件1]]&lt;&gt;"",_xlfn.XLOOKUP(表1_53[[#This Row],[配件1]],显卡利益点对照表[型号],显卡利益点对照表[算力],"ERROR"),"")</f>
        <v/>
      </c>
      <c r="M92" t="str">
        <f>IF(表1_53[[#This Row],[配件1]]&lt;&gt;"",_xlfn.XLOOKUP(表1_53[[#This Row],[配件1]],显卡利益点对照表[型号],显卡利益点对照表[可显性],"ERROR"),"")</f>
        <v/>
      </c>
      <c r="N92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92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/>
      </c>
      <c r="Q92" t="str" cm="1">
        <f t="array" ref="Q92">_xlfn.IFS(表1_53[[#This Row],[配件1]]="","",表1_53[[#This Row],[文本丨算力丨算力值]]=0,"",表1_53[[#This Row],[文本丨算力丨算力值]]&lt;&gt;"","算力")</f>
        <v/>
      </c>
    </row>
    <row r="93" spans="2:17" x14ac:dyDescent="0.2">
      <c r="F93" t="str">
        <f>IF(表1_53[[#This Row],[配件1]]&lt;&gt;"",_xlfn.XLOOKUP(表1_53[[#This Row],[配件1]],显卡利益点对照表[型号],显卡利益点对照表[标题1],"ERROR"),"")</f>
        <v/>
      </c>
      <c r="G93" t="str">
        <f>IF(表1_53[[#This Row],[配件1]]&lt;&gt;"",_xlfn.XLOOKUP(表1_53[[#This Row],[配件1]],显卡利益点对照表[型号],显卡利益点对照表[标题2],"ERROR"),"")</f>
        <v/>
      </c>
      <c r="H93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93" t="str">
        <f>IF(表1_53[[#This Row],[配件1]]&lt;&gt;"",_xlfn.XLOOKUP(表1_53[[#This Row],[配件1]],显卡利益点对照表[型号],显卡利益点对照表[利益点1],"ERROR"),"")</f>
        <v/>
      </c>
      <c r="J93" t="str">
        <f>IF(表1_53[[#This Row],[配件1]]&lt;&gt;"",_xlfn.XLOOKUP(表1_53[[#This Row],[配件1]],显卡利益点对照表[型号],显卡利益点对照表[利益点2],"ERROR"),"")</f>
        <v/>
      </c>
      <c r="K93" t="str">
        <f>IF(表1_53[[#This Row],[配件1]]&lt;&gt;"",_xlfn.XLOOKUP(表1_53[[#This Row],[配件1]],显卡利益点对照表[型号],显卡利益点对照表[利益点3],"ERROR"),"")</f>
        <v/>
      </c>
      <c r="L93" t="str">
        <f>IF(表1_53[[#This Row],[配件1]]&lt;&gt;"",_xlfn.XLOOKUP(表1_53[[#This Row],[配件1]],显卡利益点对照表[型号],显卡利益点对照表[算力],"ERROR"),"")</f>
        <v/>
      </c>
      <c r="M93" t="str">
        <f>IF(表1_53[[#This Row],[配件1]]&lt;&gt;"",_xlfn.XLOOKUP(表1_53[[#This Row],[配件1]],显卡利益点对照表[型号],显卡利益点对照表[可显性],"ERROR"),"")</f>
        <v/>
      </c>
      <c r="N93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93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/>
      </c>
      <c r="Q93" t="str" cm="1">
        <f t="array" ref="Q93">_xlfn.IFS(表1_53[[#This Row],[配件1]]="","",表1_53[[#This Row],[文本丨算力丨算力值]]=0,"",表1_53[[#This Row],[文本丨算力丨算力值]]&lt;&gt;"","算力")</f>
        <v/>
      </c>
    </row>
    <row r="94" spans="2:17" x14ac:dyDescent="0.2">
      <c r="B94" s="22">
        <v>10096459454584</v>
      </c>
      <c r="C94" t="s">
        <v>127</v>
      </c>
      <c r="D94" t="s">
        <v>558</v>
      </c>
      <c r="F94" t="str">
        <f>IF(表1_53[[#This Row],[配件1]]&lt;&gt;"",_xlfn.XLOOKUP(表1_53[[#This Row],[配件1]],显卡利益点对照表[型号],显卡利益点对照表[标题1],"ERROR"),"")</f>
        <v>RTX5090D</v>
      </c>
      <c r="G94" t="str">
        <f>IF(表1_53[[#This Row],[配件1]]&lt;&gt;"",_xlfn.XLOOKUP(表1_53[[#This Row],[配件1]],显卡利益点对照表[型号],显卡利益点对照表[标题2],"ERROR"),"")</f>
        <v>32G 超级雕</v>
      </c>
      <c r="H94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+1000W铂金雕电源 丨32</v>
      </c>
      <c r="I94" t="str">
        <f>IF(表1_53[[#This Row],[配件1]]&lt;&gt;"",_xlfn.XLOOKUP(表1_53[[#This Row],[配件1]],显卡利益点对照表[型号],显卡利益点对照表[利益点1],"ERROR"),"")</f>
        <v>注册4年保/个人送保丨25</v>
      </c>
      <c r="J94" t="str">
        <f>IF(表1_53[[#This Row],[配件1]]&lt;&gt;"",_xlfn.XLOOKUP(表1_53[[#This Row],[配件1]],显卡利益点对照表[型号],显卡利益点对照表[利益点2],"ERROR"),"")</f>
        <v>LCD自定义屏幕丨30</v>
      </c>
      <c r="K94" t="str">
        <f>IF(表1_53[[#This Row],[配件1]]&lt;&gt;"",_xlfn.XLOOKUP(表1_53[[#This Row],[配件1]],显卡利益点对照表[型号],显卡利益点对照表[利益点3],"ERROR"),"")</f>
        <v>五重高效散热</v>
      </c>
      <c r="L94" t="str">
        <f>IF(表1_53[[#This Row],[配件1]]&lt;&gt;"",_xlfn.XLOOKUP(表1_53[[#This Row],[配件1]],显卡利益点对照表[型号],显卡利益点对照表[算力],"ERROR"),"")</f>
        <v>AI算力2375 TOPS</v>
      </c>
      <c r="M94" t="str">
        <f>IF(表1_53[[#This Row],[配件1]]&lt;&gt;"",_xlfn.XLOOKUP(表1_53[[#This Row],[配件1]],显卡利益点对照表[型号],显卡利益点对照表[可显性],"ERROR"),"")</f>
        <v>GV-N509DAORUS M-32GD</v>
      </c>
      <c r="N94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白金雕1000PG5</v>
      </c>
      <c r="O94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94" t="str" cm="1">
        <f t="array" ref="Q94">_xlfn.IFS(表1_53[[#This Row],[配件1]]="","",表1_53[[#This Row],[文本丨算力丨算力值]]=0,"",表1_53[[#This Row],[文本丨算力丨算力值]]&lt;&gt;"","算力")</f>
        <v>算力</v>
      </c>
    </row>
    <row r="95" spans="2:17" x14ac:dyDescent="0.2">
      <c r="F95" t="str">
        <f>IF(表1_53[[#This Row],[配件1]]&lt;&gt;"",_xlfn.XLOOKUP(表1_53[[#This Row],[配件1]],显卡利益点对照表[型号],显卡利益点对照表[标题1],"ERROR"),"")</f>
        <v/>
      </c>
      <c r="G95" t="str">
        <f>IF(表1_53[[#This Row],[配件1]]&lt;&gt;"",_xlfn.XLOOKUP(表1_53[[#This Row],[配件1]],显卡利益点对照表[型号],显卡利益点对照表[标题2],"ERROR"),"")</f>
        <v/>
      </c>
      <c r="H95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95" t="str">
        <f>IF(表1_53[[#This Row],[配件1]]&lt;&gt;"",_xlfn.XLOOKUP(表1_53[[#This Row],[配件1]],显卡利益点对照表[型号],显卡利益点对照表[利益点1],"ERROR"),"")</f>
        <v/>
      </c>
      <c r="J95" t="str">
        <f>IF(表1_53[[#This Row],[配件1]]&lt;&gt;"",_xlfn.XLOOKUP(表1_53[[#This Row],[配件1]],显卡利益点对照表[型号],显卡利益点对照表[利益点2],"ERROR"),"")</f>
        <v/>
      </c>
      <c r="K95" t="str">
        <f>IF(表1_53[[#This Row],[配件1]]&lt;&gt;"",_xlfn.XLOOKUP(表1_53[[#This Row],[配件1]],显卡利益点对照表[型号],显卡利益点对照表[利益点3],"ERROR"),"")</f>
        <v/>
      </c>
      <c r="L95" t="str">
        <f>IF(表1_53[[#This Row],[配件1]]&lt;&gt;"",_xlfn.XLOOKUP(表1_53[[#This Row],[配件1]],显卡利益点对照表[型号],显卡利益点对照表[算力],"ERROR"),"")</f>
        <v/>
      </c>
      <c r="M95" t="str">
        <f>IF(表1_53[[#This Row],[配件1]]&lt;&gt;"",_xlfn.XLOOKUP(表1_53[[#This Row],[配件1]],显卡利益点对照表[型号],显卡利益点对照表[可显性],"ERROR"),"")</f>
        <v/>
      </c>
      <c r="N95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95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/>
      </c>
      <c r="Q95" t="str" cm="1">
        <f t="array" ref="Q95">_xlfn.IFS(表1_53[[#This Row],[配件1]]="","",表1_53[[#This Row],[文本丨算力丨算力值]]=0,"",表1_53[[#This Row],[文本丨算力丨算力值]]&lt;&gt;"","算力")</f>
        <v/>
      </c>
    </row>
    <row r="96" spans="2:17" x14ac:dyDescent="0.2">
      <c r="F96" t="str">
        <f>IF(表1_53[[#This Row],[配件1]]&lt;&gt;"",_xlfn.XLOOKUP(表1_53[[#This Row],[配件1]],显卡利益点对照表[型号],显卡利益点对照表[标题1],"ERROR"),"")</f>
        <v/>
      </c>
      <c r="G96" t="str">
        <f>IF(表1_53[[#This Row],[配件1]]&lt;&gt;"",_xlfn.XLOOKUP(表1_53[[#This Row],[配件1]],显卡利益点对照表[型号],显卡利益点对照表[标题2],"ERROR"),"")</f>
        <v/>
      </c>
      <c r="H96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96" t="str">
        <f>IF(表1_53[[#This Row],[配件1]]&lt;&gt;"",_xlfn.XLOOKUP(表1_53[[#This Row],[配件1]],显卡利益点对照表[型号],显卡利益点对照表[利益点1],"ERROR"),"")</f>
        <v/>
      </c>
      <c r="J96" t="str">
        <f>IF(表1_53[[#This Row],[配件1]]&lt;&gt;"",_xlfn.XLOOKUP(表1_53[[#This Row],[配件1]],显卡利益点对照表[型号],显卡利益点对照表[利益点2],"ERROR"),"")</f>
        <v/>
      </c>
      <c r="K96" t="str">
        <f>IF(表1_53[[#This Row],[配件1]]&lt;&gt;"",_xlfn.XLOOKUP(表1_53[[#This Row],[配件1]],显卡利益点对照表[型号],显卡利益点对照表[利益点3],"ERROR"),"")</f>
        <v/>
      </c>
      <c r="L96" t="str">
        <f>IF(表1_53[[#This Row],[配件1]]&lt;&gt;"",_xlfn.XLOOKUP(表1_53[[#This Row],[配件1]],显卡利益点对照表[型号],显卡利益点对照表[算力],"ERROR"),"")</f>
        <v/>
      </c>
      <c r="M96" t="str">
        <f>IF(表1_53[[#This Row],[配件1]]&lt;&gt;"",_xlfn.XLOOKUP(表1_53[[#This Row],[配件1]],显卡利益点对照表[型号],显卡利益点对照表[可显性],"ERROR"),"")</f>
        <v/>
      </c>
      <c r="N96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96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/>
      </c>
      <c r="Q96" t="str" cm="1">
        <f t="array" ref="Q96">_xlfn.IFS(表1_53[[#This Row],[配件1]]="","",表1_53[[#This Row],[文本丨算力丨算力值]]=0,"",表1_53[[#This Row],[文本丨算力丨算力值]]&lt;&gt;"","算力")</f>
        <v/>
      </c>
    </row>
    <row r="97" spans="6:17" x14ac:dyDescent="0.2">
      <c r="F97" t="str">
        <f>IF(表1_53[[#This Row],[配件1]]&lt;&gt;"",_xlfn.XLOOKUP(表1_53[[#This Row],[配件1]],显卡利益点对照表[型号],显卡利益点对照表[标题1],"ERROR"),"")</f>
        <v/>
      </c>
      <c r="G97" t="str">
        <f>IF(表1_53[[#This Row],[配件1]]&lt;&gt;"",_xlfn.XLOOKUP(表1_53[[#This Row],[配件1]],显卡利益点对照表[型号],显卡利益点对照表[标题2],"ERROR"),"")</f>
        <v/>
      </c>
      <c r="H97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97" t="str">
        <f>IF(表1_53[[#This Row],[配件1]]&lt;&gt;"",_xlfn.XLOOKUP(表1_53[[#This Row],[配件1]],显卡利益点对照表[型号],显卡利益点对照表[利益点1],"ERROR"),"")</f>
        <v/>
      </c>
      <c r="J97" t="str">
        <f>IF(表1_53[[#This Row],[配件1]]&lt;&gt;"",_xlfn.XLOOKUP(表1_53[[#This Row],[配件1]],显卡利益点对照表[型号],显卡利益点对照表[利益点2],"ERROR"),"")</f>
        <v/>
      </c>
      <c r="K97" t="str">
        <f>IF(表1_53[[#This Row],[配件1]]&lt;&gt;"",_xlfn.XLOOKUP(表1_53[[#This Row],[配件1]],显卡利益点对照表[型号],显卡利益点对照表[利益点3],"ERROR"),"")</f>
        <v/>
      </c>
      <c r="L97" t="str">
        <f>IF(表1_53[[#This Row],[配件1]]&lt;&gt;"",_xlfn.XLOOKUP(表1_53[[#This Row],[配件1]],显卡利益点对照表[型号],显卡利益点对照表[算力],"ERROR"),"")</f>
        <v/>
      </c>
      <c r="M97" t="str">
        <f>IF(表1_53[[#This Row],[配件1]]&lt;&gt;"",_xlfn.XLOOKUP(表1_53[[#This Row],[配件1]],显卡利益点对照表[型号],显卡利益点对照表[可显性],"ERROR"),"")</f>
        <v/>
      </c>
      <c r="N97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97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/>
      </c>
      <c r="Q97" t="str" cm="1">
        <f t="array" ref="Q97">_xlfn.IFS(表1_53[[#This Row],[配件1]]="","",表1_53[[#This Row],[文本丨算力丨算力值]]=0,"",表1_53[[#This Row],[文本丨算力丨算力值]]&lt;&gt;"","算力")</f>
        <v/>
      </c>
    </row>
    <row r="98" spans="6:17" x14ac:dyDescent="0.2">
      <c r="F98" t="str">
        <f>IF(表1_53[[#This Row],[配件1]]&lt;&gt;"",_xlfn.XLOOKUP(表1_53[[#This Row],[配件1]],显卡利益点对照表[型号],显卡利益点对照表[标题1],"ERROR"),"")</f>
        <v/>
      </c>
      <c r="G98" t="str">
        <f>IF(表1_53[[#This Row],[配件1]]&lt;&gt;"",_xlfn.XLOOKUP(表1_53[[#This Row],[配件1]],显卡利益点对照表[型号],显卡利益点对照表[标题2],"ERROR"),"")</f>
        <v/>
      </c>
      <c r="H98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98" t="str">
        <f>IF(表1_53[[#This Row],[配件1]]&lt;&gt;"",_xlfn.XLOOKUP(表1_53[[#This Row],[配件1]],显卡利益点对照表[型号],显卡利益点对照表[利益点1],"ERROR"),"")</f>
        <v/>
      </c>
      <c r="J98" t="str">
        <f>IF(表1_53[[#This Row],[配件1]]&lt;&gt;"",_xlfn.XLOOKUP(表1_53[[#This Row],[配件1]],显卡利益点对照表[型号],显卡利益点对照表[利益点2],"ERROR"),"")</f>
        <v/>
      </c>
      <c r="K98" t="str">
        <f>IF(表1_53[[#This Row],[配件1]]&lt;&gt;"",_xlfn.XLOOKUP(表1_53[[#This Row],[配件1]],显卡利益点对照表[型号],显卡利益点对照表[利益点3],"ERROR"),"")</f>
        <v/>
      </c>
      <c r="L98" t="str">
        <f>IF(表1_53[[#This Row],[配件1]]&lt;&gt;"",_xlfn.XLOOKUP(表1_53[[#This Row],[配件1]],显卡利益点对照表[型号],显卡利益点对照表[算力],"ERROR"),"")</f>
        <v/>
      </c>
      <c r="M98" t="str">
        <f>IF(表1_53[[#This Row],[配件1]]&lt;&gt;"",_xlfn.XLOOKUP(表1_53[[#This Row],[配件1]],显卡利益点对照表[型号],显卡利益点对照表[可显性],"ERROR"),"")</f>
        <v/>
      </c>
      <c r="N98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98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/>
      </c>
      <c r="Q98" t="str" cm="1">
        <f t="array" ref="Q98">_xlfn.IFS(表1_53[[#This Row],[配件1]]="","",表1_53[[#This Row],[文本丨算力丨算力值]]=0,"",表1_53[[#This Row],[文本丨算力丨算力值]]&lt;&gt;"","算力")</f>
        <v/>
      </c>
    </row>
    <row r="99" spans="6:17" x14ac:dyDescent="0.2">
      <c r="F99" t="str">
        <f>IF(表1_53[[#This Row],[配件1]]&lt;&gt;"",_xlfn.XLOOKUP(表1_53[[#This Row],[配件1]],显卡利益点对照表[型号],显卡利益点对照表[标题1],"ERROR"),"")</f>
        <v/>
      </c>
      <c r="G99" t="str">
        <f>IF(表1_53[[#This Row],[配件1]]&lt;&gt;"",_xlfn.XLOOKUP(表1_53[[#This Row],[配件1]],显卡利益点对照表[型号],显卡利益点对照表[标题2],"ERROR"),"")</f>
        <v/>
      </c>
      <c r="H99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99" t="str">
        <f>IF(表1_53[[#This Row],[配件1]]&lt;&gt;"",_xlfn.XLOOKUP(表1_53[[#This Row],[配件1]],显卡利益点对照表[型号],显卡利益点对照表[利益点1],"ERROR"),"")</f>
        <v/>
      </c>
      <c r="J99" t="str">
        <f>IF(表1_53[[#This Row],[配件1]]&lt;&gt;"",_xlfn.XLOOKUP(表1_53[[#This Row],[配件1]],显卡利益点对照表[型号],显卡利益点对照表[利益点2],"ERROR"),"")</f>
        <v/>
      </c>
      <c r="K99" t="str">
        <f>IF(表1_53[[#This Row],[配件1]]&lt;&gt;"",_xlfn.XLOOKUP(表1_53[[#This Row],[配件1]],显卡利益点对照表[型号],显卡利益点对照表[利益点3],"ERROR"),"")</f>
        <v/>
      </c>
      <c r="L99" t="str">
        <f>IF(表1_53[[#This Row],[配件1]]&lt;&gt;"",_xlfn.XLOOKUP(表1_53[[#This Row],[配件1]],显卡利益点对照表[型号],显卡利益点对照表[算力],"ERROR"),"")</f>
        <v/>
      </c>
      <c r="M99" t="str">
        <f>IF(表1_53[[#This Row],[配件1]]&lt;&gt;"",_xlfn.XLOOKUP(表1_53[[#This Row],[配件1]],显卡利益点对照表[型号],显卡利益点对照表[可显性],"ERROR"),"")</f>
        <v/>
      </c>
      <c r="N99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99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/>
      </c>
      <c r="Q99" t="str" cm="1">
        <f t="array" ref="Q99">_xlfn.IFS(表1_53[[#This Row],[配件1]]="","",表1_53[[#This Row],[文本丨算力丨算力值]]=0,"",表1_53[[#This Row],[文本丨算力丨算力值]]&lt;&gt;"","算力")</f>
        <v/>
      </c>
    </row>
    <row r="100" spans="6:17" x14ac:dyDescent="0.2">
      <c r="F100" t="str">
        <f>IF(表1_53[[#This Row],[配件1]]&lt;&gt;"",_xlfn.XLOOKUP(表1_53[[#This Row],[配件1]],显卡利益点对照表[型号],显卡利益点对照表[标题1],"ERROR"),"")</f>
        <v/>
      </c>
      <c r="G100" t="str">
        <f>IF(表1_53[[#This Row],[配件1]]&lt;&gt;"",_xlfn.XLOOKUP(表1_53[[#This Row],[配件1]],显卡利益点对照表[型号],显卡利益点对照表[标题2],"ERROR"),"")</f>
        <v/>
      </c>
      <c r="H100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100" t="str">
        <f>IF(表1_53[[#This Row],[配件1]]&lt;&gt;"",_xlfn.XLOOKUP(表1_53[[#This Row],[配件1]],显卡利益点对照表[型号],显卡利益点对照表[利益点1],"ERROR"),"")</f>
        <v/>
      </c>
      <c r="J100" t="str">
        <f>IF(表1_53[[#This Row],[配件1]]&lt;&gt;"",_xlfn.XLOOKUP(表1_53[[#This Row],[配件1]],显卡利益点对照表[型号],显卡利益点对照表[利益点2],"ERROR"),"")</f>
        <v/>
      </c>
      <c r="K100" t="str">
        <f>IF(表1_53[[#This Row],[配件1]]&lt;&gt;"",_xlfn.XLOOKUP(表1_53[[#This Row],[配件1]],显卡利益点对照表[型号],显卡利益点对照表[利益点3],"ERROR"),"")</f>
        <v/>
      </c>
      <c r="L100" t="str">
        <f>IF(表1_53[[#This Row],[配件1]]&lt;&gt;"",_xlfn.XLOOKUP(表1_53[[#This Row],[配件1]],显卡利益点对照表[型号],显卡利益点对照表[算力],"ERROR"),"")</f>
        <v/>
      </c>
      <c r="M100" t="str">
        <f>IF(表1_53[[#This Row],[配件1]]&lt;&gt;"",_xlfn.XLOOKUP(表1_53[[#This Row],[配件1]],显卡利益点对照表[型号],显卡利益点对照表[可显性],"ERROR"),"")</f>
        <v/>
      </c>
      <c r="N100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100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/>
      </c>
      <c r="Q100" t="str" cm="1">
        <f t="array" ref="Q100">_xlfn.IFS(表1_53[[#This Row],[配件1]]="","",表1_53[[#This Row],[文本丨算力丨算力值]]=0,"",表1_53[[#This Row],[文本丨算力丨算力值]]&lt;&gt;"","算力")</f>
        <v/>
      </c>
    </row>
    <row r="101" spans="6:17" x14ac:dyDescent="0.2">
      <c r="F101" t="str">
        <f>IF(表1_53[[#This Row],[配件1]]&lt;&gt;"",_xlfn.XLOOKUP(表1_53[[#This Row],[配件1]],显卡利益点对照表[型号],显卡利益点对照表[标题1],"ERROR"),"")</f>
        <v/>
      </c>
      <c r="G101" t="str">
        <f>IF(表1_53[[#This Row],[配件1]]&lt;&gt;"",_xlfn.XLOOKUP(表1_53[[#This Row],[配件1]],显卡利益点对照表[型号],显卡利益点对照表[标题2],"ERROR"),"")</f>
        <v/>
      </c>
      <c r="H101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101" t="str">
        <f>IF(表1_53[[#This Row],[配件1]]&lt;&gt;"",_xlfn.XLOOKUP(表1_53[[#This Row],[配件1]],显卡利益点对照表[型号],显卡利益点对照表[利益点1],"ERROR"),"")</f>
        <v/>
      </c>
      <c r="J101" t="str">
        <f>IF(表1_53[[#This Row],[配件1]]&lt;&gt;"",_xlfn.XLOOKUP(表1_53[[#This Row],[配件1]],显卡利益点对照表[型号],显卡利益点对照表[利益点2],"ERROR"),"")</f>
        <v/>
      </c>
      <c r="K101" t="str">
        <f>IF(表1_53[[#This Row],[配件1]]&lt;&gt;"",_xlfn.XLOOKUP(表1_53[[#This Row],[配件1]],显卡利益点对照表[型号],显卡利益点对照表[利益点3],"ERROR"),"")</f>
        <v/>
      </c>
      <c r="L101" t="str">
        <f>IF(表1_53[[#This Row],[配件1]]&lt;&gt;"",_xlfn.XLOOKUP(表1_53[[#This Row],[配件1]],显卡利益点对照表[型号],显卡利益点对照表[算力],"ERROR"),"")</f>
        <v/>
      </c>
      <c r="M101" t="str">
        <f>IF(表1_53[[#This Row],[配件1]]&lt;&gt;"",_xlfn.XLOOKUP(表1_53[[#This Row],[配件1]],显卡利益点对照表[型号],显卡利益点对照表[可显性],"ERROR"),"")</f>
        <v/>
      </c>
      <c r="N101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101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/>
      </c>
      <c r="Q101" t="str" cm="1">
        <f t="array" ref="Q101">_xlfn.IFS(表1_53[[#This Row],[配件1]]="","",表1_53[[#This Row],[文本丨算力丨算力值]]=0,"",表1_53[[#This Row],[文本丨算力丨算力值]]&lt;&gt;"","算力")</f>
        <v/>
      </c>
    </row>
    <row r="102" spans="6:17" x14ac:dyDescent="0.2">
      <c r="F102" t="str">
        <f>IF(表1_53[[#This Row],[配件1]]&lt;&gt;"",_xlfn.XLOOKUP(表1_53[[#This Row],[配件1]],显卡利益点对照表[型号],显卡利益点对照表[标题1],"ERROR"),"")</f>
        <v/>
      </c>
      <c r="G102" t="str">
        <f>IF(表1_53[[#This Row],[配件1]]&lt;&gt;"",_xlfn.XLOOKUP(表1_53[[#This Row],[配件1]],显卡利益点对照表[型号],显卡利益点对照表[标题2],"ERROR"),"")</f>
        <v/>
      </c>
      <c r="H102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102" t="str">
        <f>IF(表1_53[[#This Row],[配件1]]&lt;&gt;"",_xlfn.XLOOKUP(表1_53[[#This Row],[配件1]],显卡利益点对照表[型号],显卡利益点对照表[利益点1],"ERROR"),"")</f>
        <v/>
      </c>
      <c r="J102" t="str">
        <f>IF(表1_53[[#This Row],[配件1]]&lt;&gt;"",_xlfn.XLOOKUP(表1_53[[#This Row],[配件1]],显卡利益点对照表[型号],显卡利益点对照表[利益点2],"ERROR"),"")</f>
        <v/>
      </c>
      <c r="K102" t="str">
        <f>IF(表1_53[[#This Row],[配件1]]&lt;&gt;"",_xlfn.XLOOKUP(表1_53[[#This Row],[配件1]],显卡利益点对照表[型号],显卡利益点对照表[利益点3],"ERROR"),"")</f>
        <v/>
      </c>
      <c r="L102" t="str">
        <f>IF(表1_53[[#This Row],[配件1]]&lt;&gt;"",_xlfn.XLOOKUP(表1_53[[#This Row],[配件1]],显卡利益点对照表[型号],显卡利益点对照表[算力],"ERROR"),"")</f>
        <v/>
      </c>
      <c r="M102" t="str">
        <f>IF(表1_53[[#This Row],[配件1]]&lt;&gt;"",_xlfn.XLOOKUP(表1_53[[#This Row],[配件1]],显卡利益点对照表[型号],显卡利益点对照表[可显性],"ERROR"),"")</f>
        <v/>
      </c>
      <c r="N102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102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/>
      </c>
      <c r="Q102" t="str" cm="1">
        <f t="array" ref="Q102">_xlfn.IFS(表1_53[[#This Row],[配件1]]="","",表1_53[[#This Row],[文本丨算力丨算力值]]=0,"",表1_53[[#This Row],[文本丨算力丨算力值]]&lt;&gt;"","算力")</f>
        <v/>
      </c>
    </row>
    <row r="103" spans="6:17" x14ac:dyDescent="0.2">
      <c r="F103" t="str">
        <f>IF(表1_53[[#This Row],[配件1]]&lt;&gt;"",_xlfn.XLOOKUP(表1_53[[#This Row],[配件1]],显卡利益点对照表[型号],显卡利益点对照表[标题1],"ERROR"),"")</f>
        <v/>
      </c>
      <c r="G103" t="str">
        <f>IF(表1_53[[#This Row],[配件1]]&lt;&gt;"",_xlfn.XLOOKUP(表1_53[[#This Row],[配件1]],显卡利益点对照表[型号],显卡利益点对照表[标题2],"ERROR"),"")</f>
        <v/>
      </c>
      <c r="H103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103" t="str">
        <f>IF(表1_53[[#This Row],[配件1]]&lt;&gt;"",_xlfn.XLOOKUP(表1_53[[#This Row],[配件1]],显卡利益点对照表[型号],显卡利益点对照表[利益点1],"ERROR"),"")</f>
        <v/>
      </c>
      <c r="J103" t="str">
        <f>IF(表1_53[[#This Row],[配件1]]&lt;&gt;"",_xlfn.XLOOKUP(表1_53[[#This Row],[配件1]],显卡利益点对照表[型号],显卡利益点对照表[利益点2],"ERROR"),"")</f>
        <v/>
      </c>
      <c r="K103" t="str">
        <f>IF(表1_53[[#This Row],[配件1]]&lt;&gt;"",_xlfn.XLOOKUP(表1_53[[#This Row],[配件1]],显卡利益点对照表[型号],显卡利益点对照表[利益点3],"ERROR"),"")</f>
        <v/>
      </c>
      <c r="L103" t="str">
        <f>IF(表1_53[[#This Row],[配件1]]&lt;&gt;"",_xlfn.XLOOKUP(表1_53[[#This Row],[配件1]],显卡利益点对照表[型号],显卡利益点对照表[算力],"ERROR"),"")</f>
        <v/>
      </c>
      <c r="M103" t="str">
        <f>IF(表1_53[[#This Row],[配件1]]&lt;&gt;"",_xlfn.XLOOKUP(表1_53[[#This Row],[配件1]],显卡利益点对照表[型号],显卡利益点对照表[可显性],"ERROR"),"")</f>
        <v/>
      </c>
      <c r="N103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103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/>
      </c>
      <c r="Q103" t="str" cm="1">
        <f t="array" ref="Q103">_xlfn.IFS(表1_53[[#This Row],[配件1]]="","",表1_53[[#This Row],[文本丨算力丨算力值]]=0,"",表1_53[[#This Row],[文本丨算力丨算力值]]&lt;&gt;"","算力")</f>
        <v/>
      </c>
    </row>
    <row r="104" spans="6:17" x14ac:dyDescent="0.2">
      <c r="F104" t="str">
        <f>IF(表1_53[[#This Row],[配件1]]&lt;&gt;"",_xlfn.XLOOKUP(表1_53[[#This Row],[配件1]],显卡利益点对照表[型号],显卡利益点对照表[标题1],"ERROR"),"")</f>
        <v/>
      </c>
      <c r="G104" t="str">
        <f>IF(表1_53[[#This Row],[配件1]]&lt;&gt;"",_xlfn.XLOOKUP(表1_53[[#This Row],[配件1]],显卡利益点对照表[型号],显卡利益点对照表[标题2],"ERROR"),"")</f>
        <v/>
      </c>
      <c r="H104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104" t="str">
        <f>IF(表1_53[[#This Row],[配件1]]&lt;&gt;"",_xlfn.XLOOKUP(表1_53[[#This Row],[配件1]],显卡利益点对照表[型号],显卡利益点对照表[利益点1],"ERROR"),"")</f>
        <v/>
      </c>
      <c r="J104" t="str">
        <f>IF(表1_53[[#This Row],[配件1]]&lt;&gt;"",_xlfn.XLOOKUP(表1_53[[#This Row],[配件1]],显卡利益点对照表[型号],显卡利益点对照表[利益点2],"ERROR"),"")</f>
        <v/>
      </c>
      <c r="K104" t="str">
        <f>IF(表1_53[[#This Row],[配件1]]&lt;&gt;"",_xlfn.XLOOKUP(表1_53[[#This Row],[配件1]],显卡利益点对照表[型号],显卡利益点对照表[利益点3],"ERROR"),"")</f>
        <v/>
      </c>
      <c r="L104" t="str">
        <f>IF(表1_53[[#This Row],[配件1]]&lt;&gt;"",_xlfn.XLOOKUP(表1_53[[#This Row],[配件1]],显卡利益点对照表[型号],显卡利益点对照表[算力],"ERROR"),"")</f>
        <v/>
      </c>
      <c r="M104" t="str">
        <f>IF(表1_53[[#This Row],[配件1]]&lt;&gt;"",_xlfn.XLOOKUP(表1_53[[#This Row],[配件1]],显卡利益点对照表[型号],显卡利益点对照表[可显性],"ERROR"),"")</f>
        <v/>
      </c>
      <c r="N104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104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/>
      </c>
      <c r="Q104" t="str" cm="1">
        <f t="array" ref="Q104">_xlfn.IFS(表1_53[[#This Row],[配件1]]="","",表1_53[[#This Row],[文本丨算力丨算力值]]=0,"",表1_53[[#This Row],[文本丨算力丨算力值]]&lt;&gt;"","算力")</f>
        <v/>
      </c>
    </row>
    <row r="105" spans="6:17" x14ac:dyDescent="0.2">
      <c r="F105" t="str">
        <f>IF(表1_53[[#This Row],[配件1]]&lt;&gt;"",_xlfn.XLOOKUP(表1_53[[#This Row],[配件1]],显卡利益点对照表[型号],显卡利益点对照表[标题1],"ERROR"),"")</f>
        <v/>
      </c>
      <c r="G105" t="str">
        <f>IF(表1_53[[#This Row],[配件1]]&lt;&gt;"",_xlfn.XLOOKUP(表1_53[[#This Row],[配件1]],显卡利益点对照表[型号],显卡利益点对照表[标题2],"ERROR"),"")</f>
        <v/>
      </c>
      <c r="H105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105" t="str">
        <f>IF(表1_53[[#This Row],[配件1]]&lt;&gt;"",_xlfn.XLOOKUP(表1_53[[#This Row],[配件1]],显卡利益点对照表[型号],显卡利益点对照表[利益点1],"ERROR"),"")</f>
        <v/>
      </c>
      <c r="J105" t="str">
        <f>IF(表1_53[[#This Row],[配件1]]&lt;&gt;"",_xlfn.XLOOKUP(表1_53[[#This Row],[配件1]],显卡利益点对照表[型号],显卡利益点对照表[利益点2],"ERROR"),"")</f>
        <v/>
      </c>
      <c r="K105" t="str">
        <f>IF(表1_53[[#This Row],[配件1]]&lt;&gt;"",_xlfn.XLOOKUP(表1_53[[#This Row],[配件1]],显卡利益点对照表[型号],显卡利益点对照表[利益点3],"ERROR"),"")</f>
        <v/>
      </c>
      <c r="L105" t="str">
        <f>IF(表1_53[[#This Row],[配件1]]&lt;&gt;"",_xlfn.XLOOKUP(表1_53[[#This Row],[配件1]],显卡利益点对照表[型号],显卡利益点对照表[算力],"ERROR"),"")</f>
        <v/>
      </c>
      <c r="M105" t="str">
        <f>IF(表1_53[[#This Row],[配件1]]&lt;&gt;"",_xlfn.XLOOKUP(表1_53[[#This Row],[配件1]],显卡利益点对照表[型号],显卡利益点对照表[可显性],"ERROR"),"")</f>
        <v/>
      </c>
      <c r="N105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105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/>
      </c>
      <c r="Q105" t="str" cm="1">
        <f t="array" ref="Q105">_xlfn.IFS(表1_53[[#This Row],[配件1]]="","",表1_53[[#This Row],[文本丨算力丨算力值]]=0,"",表1_53[[#This Row],[文本丨算力丨算力值]]&lt;&gt;"","算力")</f>
        <v/>
      </c>
    </row>
    <row r="106" spans="6:17" x14ac:dyDescent="0.2">
      <c r="F106" t="str">
        <f>IF(表1_53[[#This Row],[配件1]]&lt;&gt;"",_xlfn.XLOOKUP(表1_53[[#This Row],[配件1]],显卡利益点对照表[型号],显卡利益点对照表[标题1],"ERROR"),"")</f>
        <v/>
      </c>
      <c r="G106" t="str">
        <f>IF(表1_53[[#This Row],[配件1]]&lt;&gt;"",_xlfn.XLOOKUP(表1_53[[#This Row],[配件1]],显卡利益点对照表[型号],显卡利益点对照表[标题2],"ERROR"),"")</f>
        <v/>
      </c>
      <c r="H106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106" t="str">
        <f>IF(表1_53[[#This Row],[配件1]]&lt;&gt;"",_xlfn.XLOOKUP(表1_53[[#This Row],[配件1]],显卡利益点对照表[型号],显卡利益点对照表[利益点1],"ERROR"),"")</f>
        <v/>
      </c>
      <c r="J106" t="str">
        <f>IF(表1_53[[#This Row],[配件1]]&lt;&gt;"",_xlfn.XLOOKUP(表1_53[[#This Row],[配件1]],显卡利益点对照表[型号],显卡利益点对照表[利益点2],"ERROR"),"")</f>
        <v/>
      </c>
      <c r="K106" t="str">
        <f>IF(表1_53[[#This Row],[配件1]]&lt;&gt;"",_xlfn.XLOOKUP(表1_53[[#This Row],[配件1]],显卡利益点对照表[型号],显卡利益点对照表[利益点3],"ERROR"),"")</f>
        <v/>
      </c>
      <c r="L106" t="str">
        <f>IF(表1_53[[#This Row],[配件1]]&lt;&gt;"",_xlfn.XLOOKUP(表1_53[[#This Row],[配件1]],显卡利益点对照表[型号],显卡利益点对照表[算力],"ERROR"),"")</f>
        <v/>
      </c>
      <c r="M106" t="str">
        <f>IF(表1_53[[#This Row],[配件1]]&lt;&gt;"",_xlfn.XLOOKUP(表1_53[[#This Row],[配件1]],显卡利益点对照表[型号],显卡利益点对照表[可显性],"ERROR"),"")</f>
        <v/>
      </c>
      <c r="N106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106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/>
      </c>
      <c r="Q106" t="str" cm="1">
        <f t="array" ref="Q106">_xlfn.IFS(表1_53[[#This Row],[配件1]]="","",表1_53[[#This Row],[文本丨算力丨算力值]]=0,"",表1_53[[#This Row],[文本丨算力丨算力值]]&lt;&gt;"","算力")</f>
        <v/>
      </c>
    </row>
    <row r="107" spans="6:17" x14ac:dyDescent="0.2">
      <c r="F107" t="str">
        <f>IF(表1_53[[#This Row],[配件1]]&lt;&gt;"",_xlfn.XLOOKUP(表1_53[[#This Row],[配件1]],显卡利益点对照表[型号],显卡利益点对照表[标题1],"ERROR"),"")</f>
        <v/>
      </c>
      <c r="G107" t="str">
        <f>IF(表1_53[[#This Row],[配件1]]&lt;&gt;"",_xlfn.XLOOKUP(表1_53[[#This Row],[配件1]],显卡利益点对照表[型号],显卡利益点对照表[标题2],"ERROR"),"")</f>
        <v/>
      </c>
      <c r="H107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107" t="str">
        <f>IF(表1_53[[#This Row],[配件1]]&lt;&gt;"",_xlfn.XLOOKUP(表1_53[[#This Row],[配件1]],显卡利益点对照表[型号],显卡利益点对照表[利益点1],"ERROR"),"")</f>
        <v/>
      </c>
      <c r="J107" t="str">
        <f>IF(表1_53[[#This Row],[配件1]]&lt;&gt;"",_xlfn.XLOOKUP(表1_53[[#This Row],[配件1]],显卡利益点对照表[型号],显卡利益点对照表[利益点2],"ERROR"),"")</f>
        <v/>
      </c>
      <c r="K107" t="str">
        <f>IF(表1_53[[#This Row],[配件1]]&lt;&gt;"",_xlfn.XLOOKUP(表1_53[[#This Row],[配件1]],显卡利益点对照表[型号],显卡利益点对照表[利益点3],"ERROR"),"")</f>
        <v/>
      </c>
      <c r="L107" t="str">
        <f>IF(表1_53[[#This Row],[配件1]]&lt;&gt;"",_xlfn.XLOOKUP(表1_53[[#This Row],[配件1]],显卡利益点对照表[型号],显卡利益点对照表[算力],"ERROR"),"")</f>
        <v/>
      </c>
      <c r="M107" t="str">
        <f>IF(表1_53[[#This Row],[配件1]]&lt;&gt;"",_xlfn.XLOOKUP(表1_53[[#This Row],[配件1]],显卡利益点对照表[型号],显卡利益点对照表[可显性],"ERROR"),"")</f>
        <v/>
      </c>
      <c r="N107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107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/>
      </c>
      <c r="Q107" t="str" cm="1">
        <f t="array" ref="Q107">_xlfn.IFS(表1_53[[#This Row],[配件1]]="","",表1_53[[#This Row],[文本丨算力丨算力值]]=0,"",表1_53[[#This Row],[文本丨算力丨算力值]]&lt;&gt;"","算力")</f>
        <v/>
      </c>
    </row>
  </sheetData>
  <mergeCells count="6">
    <mergeCell ref="F7:H8"/>
    <mergeCell ref="M7:N8"/>
    <mergeCell ref="O7:O8"/>
    <mergeCell ref="P7:P8"/>
    <mergeCell ref="Q7:Q8"/>
    <mergeCell ref="I7:L8"/>
  </mergeCells>
  <phoneticPr fontId="6" type="noConversion"/>
  <pageMargins left="0.7" right="0.7" top="0.75" bottom="0.75" header="0.3" footer="0.3"/>
  <pageSetup paperSize="9" orientation="portrait" horizontalDpi="203" verticalDpi="203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8:L174"/>
  <sheetViews>
    <sheetView workbookViewId="0">
      <selection activeCell="C24" sqref="C24"/>
    </sheetView>
  </sheetViews>
  <sheetFormatPr defaultRowHeight="14.25" x14ac:dyDescent="0.2"/>
  <cols>
    <col min="2" max="2" width="37.5" bestFit="1" customWidth="1"/>
    <col min="3" max="3" width="36.75" customWidth="1"/>
    <col min="4" max="4" width="18.375" bestFit="1" customWidth="1"/>
    <col min="5" max="5" width="13" bestFit="1" customWidth="1"/>
    <col min="6" max="6" width="13.375" bestFit="1" customWidth="1"/>
    <col min="7" max="7" width="23.5" bestFit="1" customWidth="1"/>
    <col min="8" max="8" width="22.25" bestFit="1" customWidth="1"/>
    <col min="9" max="9" width="19.375" bestFit="1" customWidth="1"/>
    <col min="10" max="10" width="32.5" bestFit="1" customWidth="1"/>
    <col min="11" max="11" width="17" customWidth="1"/>
    <col min="12" max="12" width="20.875" customWidth="1"/>
    <col min="14" max="14" width="37.5" bestFit="1" customWidth="1"/>
    <col min="15" max="15" width="23.625" bestFit="1" customWidth="1"/>
    <col min="16" max="16" width="18.375" bestFit="1" customWidth="1"/>
  </cols>
  <sheetData>
    <row r="8" spans="2:12" x14ac:dyDescent="0.2">
      <c r="B8" t="s">
        <v>263</v>
      </c>
      <c r="C8" t="s">
        <v>266</v>
      </c>
      <c r="D8" t="s">
        <v>235</v>
      </c>
      <c r="E8" t="s">
        <v>236</v>
      </c>
      <c r="F8" t="s">
        <v>237</v>
      </c>
      <c r="G8" t="s">
        <v>238</v>
      </c>
      <c r="H8" t="s">
        <v>239</v>
      </c>
      <c r="I8" t="s">
        <v>240</v>
      </c>
      <c r="J8" t="s">
        <v>241</v>
      </c>
      <c r="K8" t="s">
        <v>262</v>
      </c>
      <c r="L8" t="s">
        <v>206</v>
      </c>
    </row>
    <row r="10" spans="2:12" x14ac:dyDescent="0.2">
      <c r="B10" t="s">
        <v>525</v>
      </c>
      <c r="C10" t="s">
        <v>510</v>
      </c>
      <c r="D10" t="s">
        <v>519</v>
      </c>
      <c r="E10" t="s">
        <v>328</v>
      </c>
      <c r="F10" t="s">
        <v>329</v>
      </c>
      <c r="G10" t="s">
        <v>522</v>
      </c>
      <c r="H10" t="s">
        <v>523</v>
      </c>
      <c r="I10" t="s">
        <v>247</v>
      </c>
      <c r="J10" t="s">
        <v>510</v>
      </c>
      <c r="K10" t="s">
        <v>223</v>
      </c>
      <c r="L10" t="s">
        <v>521</v>
      </c>
    </row>
    <row r="11" spans="2:12" x14ac:dyDescent="0.2">
      <c r="B11" t="s">
        <v>526</v>
      </c>
      <c r="C11" t="s">
        <v>511</v>
      </c>
      <c r="D11" t="s">
        <v>519</v>
      </c>
      <c r="E11" t="s">
        <v>243</v>
      </c>
      <c r="F11" t="s">
        <v>520</v>
      </c>
      <c r="G11" t="s">
        <v>522</v>
      </c>
      <c r="H11" t="s">
        <v>246</v>
      </c>
      <c r="I11" t="s">
        <v>247</v>
      </c>
      <c r="J11" t="s">
        <v>511</v>
      </c>
      <c r="K11" t="s">
        <v>223</v>
      </c>
      <c r="L11" t="s">
        <v>521</v>
      </c>
    </row>
    <row r="12" spans="2:12" x14ac:dyDescent="0.2">
      <c r="B12" t="s">
        <v>527</v>
      </c>
      <c r="C12" t="s">
        <v>509</v>
      </c>
      <c r="D12" t="s">
        <v>519</v>
      </c>
      <c r="E12" t="s">
        <v>255</v>
      </c>
      <c r="F12" t="s">
        <v>256</v>
      </c>
      <c r="G12" t="s">
        <v>522</v>
      </c>
      <c r="H12" t="s">
        <v>524</v>
      </c>
      <c r="I12" t="s">
        <v>247</v>
      </c>
      <c r="J12" t="s">
        <v>509</v>
      </c>
      <c r="K12" t="s">
        <v>223</v>
      </c>
      <c r="L12" t="s">
        <v>521</v>
      </c>
    </row>
    <row r="19" spans="2:12" x14ac:dyDescent="0.2">
      <c r="B19" t="s">
        <v>481</v>
      </c>
      <c r="C19" t="s">
        <v>298</v>
      </c>
      <c r="D19" t="s">
        <v>332</v>
      </c>
      <c r="E19" t="s">
        <v>328</v>
      </c>
      <c r="F19" t="s">
        <v>329</v>
      </c>
      <c r="G19" t="s">
        <v>245</v>
      </c>
      <c r="H19" t="s">
        <v>333</v>
      </c>
      <c r="I19" t="s">
        <v>247</v>
      </c>
      <c r="J19" t="s">
        <v>298</v>
      </c>
      <c r="K19" t="s">
        <v>223</v>
      </c>
      <c r="L19" t="s">
        <v>467</v>
      </c>
    </row>
    <row r="20" spans="2:12" x14ac:dyDescent="0.2">
      <c r="B20" t="s">
        <v>482</v>
      </c>
      <c r="C20" t="s">
        <v>296</v>
      </c>
      <c r="D20" t="s">
        <v>332</v>
      </c>
      <c r="E20" t="s">
        <v>243</v>
      </c>
      <c r="F20" t="s">
        <v>244</v>
      </c>
      <c r="G20" t="s">
        <v>245</v>
      </c>
      <c r="H20" t="s">
        <v>246</v>
      </c>
      <c r="I20" t="s">
        <v>247</v>
      </c>
      <c r="J20" t="s">
        <v>296</v>
      </c>
      <c r="K20" t="s">
        <v>223</v>
      </c>
      <c r="L20" t="s">
        <v>467</v>
      </c>
    </row>
    <row r="21" spans="2:12" x14ac:dyDescent="0.2">
      <c r="B21" t="s">
        <v>488</v>
      </c>
      <c r="C21" t="s">
        <v>297</v>
      </c>
      <c r="D21" t="s">
        <v>332</v>
      </c>
      <c r="E21" t="s">
        <v>243</v>
      </c>
      <c r="F21" t="s">
        <v>249</v>
      </c>
      <c r="G21" t="s">
        <v>245</v>
      </c>
      <c r="H21" t="s">
        <v>246</v>
      </c>
      <c r="I21" t="s">
        <v>247</v>
      </c>
      <c r="J21" t="s">
        <v>297</v>
      </c>
      <c r="K21" t="s">
        <v>223</v>
      </c>
      <c r="L21" t="s">
        <v>467</v>
      </c>
    </row>
    <row r="22" spans="2:12" x14ac:dyDescent="0.2">
      <c r="B22" t="s">
        <v>568</v>
      </c>
      <c r="C22" t="s">
        <v>559</v>
      </c>
      <c r="D22" t="s">
        <v>332</v>
      </c>
      <c r="E22" t="s">
        <v>243</v>
      </c>
      <c r="F22" t="s">
        <v>577</v>
      </c>
      <c r="G22" t="s">
        <v>245</v>
      </c>
      <c r="H22" t="s">
        <v>246</v>
      </c>
      <c r="I22" t="s">
        <v>247</v>
      </c>
      <c r="J22" t="s">
        <v>559</v>
      </c>
      <c r="K22" t="s">
        <v>223</v>
      </c>
      <c r="L22" t="s">
        <v>467</v>
      </c>
    </row>
    <row r="23" spans="2:12" x14ac:dyDescent="0.2">
      <c r="B23" t="s">
        <v>483</v>
      </c>
      <c r="C23" t="s">
        <v>295</v>
      </c>
      <c r="D23" t="s">
        <v>332</v>
      </c>
      <c r="E23" t="s">
        <v>250</v>
      </c>
      <c r="F23" t="s">
        <v>251</v>
      </c>
      <c r="G23" t="s">
        <v>245</v>
      </c>
      <c r="H23" t="s">
        <v>246</v>
      </c>
      <c r="I23" t="s">
        <v>247</v>
      </c>
      <c r="J23" t="s">
        <v>295</v>
      </c>
      <c r="K23" t="s">
        <v>223</v>
      </c>
      <c r="L23" t="s">
        <v>467</v>
      </c>
    </row>
    <row r="24" spans="2:12" x14ac:dyDescent="0.2">
      <c r="B24" t="s">
        <v>569</v>
      </c>
      <c r="C24" t="s">
        <v>561</v>
      </c>
      <c r="D24" t="s">
        <v>332</v>
      </c>
      <c r="E24" t="s">
        <v>250</v>
      </c>
      <c r="F24" t="s">
        <v>578</v>
      </c>
      <c r="G24" t="s">
        <v>245</v>
      </c>
      <c r="H24" t="s">
        <v>574</v>
      </c>
      <c r="I24" t="s">
        <v>247</v>
      </c>
      <c r="J24" t="s">
        <v>561</v>
      </c>
      <c r="K24" t="s">
        <v>223</v>
      </c>
      <c r="L24" t="s">
        <v>467</v>
      </c>
    </row>
    <row r="25" spans="2:12" x14ac:dyDescent="0.2">
      <c r="B25" t="s">
        <v>484</v>
      </c>
      <c r="C25" t="s">
        <v>293</v>
      </c>
      <c r="D25" t="s">
        <v>332</v>
      </c>
      <c r="E25" t="s">
        <v>252</v>
      </c>
      <c r="F25" t="s">
        <v>253</v>
      </c>
      <c r="G25" t="s">
        <v>245</v>
      </c>
      <c r="H25" t="s">
        <v>246</v>
      </c>
      <c r="I25" t="s">
        <v>247</v>
      </c>
      <c r="J25" t="s">
        <v>293</v>
      </c>
      <c r="K25" t="s">
        <v>223</v>
      </c>
      <c r="L25" t="s">
        <v>467</v>
      </c>
    </row>
    <row r="26" spans="2:12" x14ac:dyDescent="0.2">
      <c r="B26" t="s">
        <v>485</v>
      </c>
      <c r="C26" t="s">
        <v>294</v>
      </c>
      <c r="D26" t="s">
        <v>332</v>
      </c>
      <c r="E26" t="s">
        <v>255</v>
      </c>
      <c r="F26" t="s">
        <v>256</v>
      </c>
      <c r="G26" t="s">
        <v>245</v>
      </c>
      <c r="H26" t="s">
        <v>257</v>
      </c>
      <c r="I26" t="s">
        <v>217</v>
      </c>
      <c r="J26" t="s">
        <v>292</v>
      </c>
      <c r="K26" t="s">
        <v>223</v>
      </c>
      <c r="L26" t="s">
        <v>467</v>
      </c>
    </row>
    <row r="27" spans="2:12" x14ac:dyDescent="0.2">
      <c r="B27" t="s">
        <v>486</v>
      </c>
      <c r="C27" t="s">
        <v>292</v>
      </c>
      <c r="D27" t="s">
        <v>332</v>
      </c>
      <c r="E27" t="s">
        <v>330</v>
      </c>
      <c r="F27" t="s">
        <v>225</v>
      </c>
      <c r="G27" t="s">
        <v>245</v>
      </c>
      <c r="H27" t="s">
        <v>258</v>
      </c>
      <c r="I27" t="s">
        <v>217</v>
      </c>
      <c r="J27" t="s">
        <v>294</v>
      </c>
      <c r="K27" t="s">
        <v>223</v>
      </c>
      <c r="L27" t="s">
        <v>467</v>
      </c>
    </row>
    <row r="28" spans="2:12" x14ac:dyDescent="0.2">
      <c r="B28" t="s">
        <v>487</v>
      </c>
      <c r="C28" t="s">
        <v>291</v>
      </c>
      <c r="D28" t="s">
        <v>332</v>
      </c>
      <c r="E28" t="s">
        <v>491</v>
      </c>
      <c r="F28" t="s">
        <v>260</v>
      </c>
      <c r="G28" t="s">
        <v>261</v>
      </c>
      <c r="H28" t="s">
        <v>216</v>
      </c>
      <c r="I28" t="s">
        <v>226</v>
      </c>
      <c r="J28" t="s">
        <v>291</v>
      </c>
      <c r="K28" t="s">
        <v>223</v>
      </c>
      <c r="L28" t="s">
        <v>467</v>
      </c>
    </row>
    <row r="30" spans="2:12" x14ac:dyDescent="0.2">
      <c r="B30" t="s">
        <v>267</v>
      </c>
      <c r="C30" t="s">
        <v>576</v>
      </c>
      <c r="D30" t="s">
        <v>242</v>
      </c>
      <c r="E30" t="s">
        <v>243</v>
      </c>
      <c r="F30" t="s">
        <v>244</v>
      </c>
      <c r="G30" t="s">
        <v>245</v>
      </c>
      <c r="H30" t="s">
        <v>246</v>
      </c>
      <c r="I30" t="s">
        <v>247</v>
      </c>
      <c r="J30" t="s">
        <v>576</v>
      </c>
      <c r="K30" t="s">
        <v>223</v>
      </c>
      <c r="L30" t="s">
        <v>468</v>
      </c>
    </row>
    <row r="31" spans="2:12" x14ac:dyDescent="0.2">
      <c r="B31" t="s">
        <v>271</v>
      </c>
      <c r="C31" t="s">
        <v>316</v>
      </c>
      <c r="D31" t="s">
        <v>242</v>
      </c>
      <c r="E31" t="s">
        <v>248</v>
      </c>
      <c r="F31" t="s">
        <v>244</v>
      </c>
      <c r="G31" t="s">
        <v>245</v>
      </c>
      <c r="H31" t="s">
        <v>246</v>
      </c>
      <c r="I31" t="s">
        <v>579</v>
      </c>
      <c r="J31" t="s">
        <v>316</v>
      </c>
      <c r="K31" t="s">
        <v>223</v>
      </c>
      <c r="L31" t="s">
        <v>468</v>
      </c>
    </row>
    <row r="32" spans="2:12" x14ac:dyDescent="0.2">
      <c r="B32" t="s">
        <v>464</v>
      </c>
      <c r="C32" t="s">
        <v>318</v>
      </c>
      <c r="D32" t="s">
        <v>242</v>
      </c>
      <c r="E32" t="s">
        <v>243</v>
      </c>
      <c r="F32" t="s">
        <v>249</v>
      </c>
      <c r="G32" t="s">
        <v>245</v>
      </c>
      <c r="H32" t="s">
        <v>246</v>
      </c>
      <c r="I32" t="s">
        <v>247</v>
      </c>
      <c r="J32" t="s">
        <v>176</v>
      </c>
      <c r="K32" t="s">
        <v>223</v>
      </c>
      <c r="L32" t="s">
        <v>468</v>
      </c>
    </row>
    <row r="33" spans="2:12" x14ac:dyDescent="0.2">
      <c r="C33" t="s">
        <v>563</v>
      </c>
      <c r="D33" t="s">
        <v>242</v>
      </c>
      <c r="E33" t="s">
        <v>243</v>
      </c>
      <c r="F33" t="s">
        <v>249</v>
      </c>
      <c r="G33" t="s">
        <v>245</v>
      </c>
      <c r="H33" t="s">
        <v>246</v>
      </c>
      <c r="I33" t="s">
        <v>247</v>
      </c>
      <c r="J33" t="s">
        <v>563</v>
      </c>
      <c r="K33" t="s">
        <v>223</v>
      </c>
      <c r="L33" t="s">
        <v>468</v>
      </c>
    </row>
    <row r="34" spans="2:12" x14ac:dyDescent="0.2">
      <c r="B34" t="s">
        <v>465</v>
      </c>
      <c r="C34" t="s">
        <v>176</v>
      </c>
      <c r="D34" t="s">
        <v>242</v>
      </c>
      <c r="E34" t="s">
        <v>212</v>
      </c>
      <c r="F34" t="s">
        <v>249</v>
      </c>
      <c r="G34" t="s">
        <v>245</v>
      </c>
      <c r="H34" t="s">
        <v>246</v>
      </c>
      <c r="I34" t="s">
        <v>579</v>
      </c>
      <c r="J34" t="s">
        <v>176</v>
      </c>
      <c r="K34" t="s">
        <v>223</v>
      </c>
      <c r="L34" t="s">
        <v>468</v>
      </c>
    </row>
    <row r="35" spans="2:12" x14ac:dyDescent="0.2">
      <c r="C35" t="s">
        <v>567</v>
      </c>
      <c r="D35" t="s">
        <v>242</v>
      </c>
      <c r="E35" t="s">
        <v>212</v>
      </c>
      <c r="F35" t="s">
        <v>249</v>
      </c>
      <c r="G35" t="s">
        <v>245</v>
      </c>
      <c r="H35" t="s">
        <v>246</v>
      </c>
      <c r="I35" t="s">
        <v>579</v>
      </c>
      <c r="J35" t="s">
        <v>567</v>
      </c>
      <c r="K35" t="s">
        <v>223</v>
      </c>
      <c r="L35" t="s">
        <v>468</v>
      </c>
    </row>
    <row r="36" spans="2:12" x14ac:dyDescent="0.2">
      <c r="B36" t="s">
        <v>276</v>
      </c>
      <c r="C36" t="s">
        <v>319</v>
      </c>
      <c r="D36" t="s">
        <v>242</v>
      </c>
      <c r="E36" t="s">
        <v>250</v>
      </c>
      <c r="F36" t="s">
        <v>251</v>
      </c>
      <c r="G36" t="s">
        <v>245</v>
      </c>
      <c r="H36" t="s">
        <v>246</v>
      </c>
      <c r="I36" t="s">
        <v>247</v>
      </c>
      <c r="J36" t="s">
        <v>178</v>
      </c>
      <c r="K36" t="s">
        <v>223</v>
      </c>
      <c r="L36" t="s">
        <v>468</v>
      </c>
    </row>
    <row r="37" spans="2:12" x14ac:dyDescent="0.2">
      <c r="B37" t="s">
        <v>570</v>
      </c>
      <c r="C37" t="s">
        <v>565</v>
      </c>
      <c r="D37" t="s">
        <v>242</v>
      </c>
      <c r="E37" t="s">
        <v>250</v>
      </c>
      <c r="F37" t="s">
        <v>578</v>
      </c>
      <c r="G37" t="s">
        <v>245</v>
      </c>
      <c r="H37" t="s">
        <v>574</v>
      </c>
      <c r="I37" t="s">
        <v>247</v>
      </c>
      <c r="J37" t="s">
        <v>565</v>
      </c>
      <c r="K37" t="s">
        <v>223</v>
      </c>
      <c r="L37" t="s">
        <v>468</v>
      </c>
    </row>
    <row r="38" spans="2:12" x14ac:dyDescent="0.2">
      <c r="B38" t="s">
        <v>278</v>
      </c>
      <c r="C38" t="s">
        <v>178</v>
      </c>
      <c r="D38" t="s">
        <v>242</v>
      </c>
      <c r="E38" t="s">
        <v>277</v>
      </c>
      <c r="F38" t="s">
        <v>251</v>
      </c>
      <c r="G38" t="s">
        <v>245</v>
      </c>
      <c r="H38" t="s">
        <v>246</v>
      </c>
      <c r="I38" t="s">
        <v>579</v>
      </c>
      <c r="J38" t="s">
        <v>178</v>
      </c>
      <c r="K38" t="s">
        <v>223</v>
      </c>
      <c r="L38" t="s">
        <v>468</v>
      </c>
    </row>
    <row r="39" spans="2:12" x14ac:dyDescent="0.2">
      <c r="B39" t="s">
        <v>571</v>
      </c>
      <c r="C39" t="s">
        <v>575</v>
      </c>
      <c r="D39" t="s">
        <v>242</v>
      </c>
      <c r="E39" t="s">
        <v>277</v>
      </c>
      <c r="F39" t="s">
        <v>578</v>
      </c>
      <c r="G39" t="s">
        <v>245</v>
      </c>
      <c r="H39" t="s">
        <v>574</v>
      </c>
      <c r="I39" t="s">
        <v>579</v>
      </c>
      <c r="J39" t="s">
        <v>575</v>
      </c>
      <c r="K39" t="s">
        <v>223</v>
      </c>
      <c r="L39" t="s">
        <v>468</v>
      </c>
    </row>
    <row r="40" spans="2:12" x14ac:dyDescent="0.2">
      <c r="B40" t="s">
        <v>275</v>
      </c>
      <c r="C40" t="s">
        <v>320</v>
      </c>
      <c r="D40" t="s">
        <v>242</v>
      </c>
      <c r="E40" t="s">
        <v>252</v>
      </c>
      <c r="F40" t="s">
        <v>253</v>
      </c>
      <c r="G40" t="s">
        <v>245</v>
      </c>
      <c r="H40" t="s">
        <v>246</v>
      </c>
      <c r="I40" t="s">
        <v>247</v>
      </c>
      <c r="J40" t="s">
        <v>180</v>
      </c>
      <c r="K40" t="s">
        <v>223</v>
      </c>
      <c r="L40" t="s">
        <v>468</v>
      </c>
    </row>
    <row r="41" spans="2:12" x14ac:dyDescent="0.2">
      <c r="B41" t="s">
        <v>274</v>
      </c>
      <c r="C41" t="s">
        <v>180</v>
      </c>
      <c r="D41" t="s">
        <v>242</v>
      </c>
      <c r="E41" t="s">
        <v>254</v>
      </c>
      <c r="F41" t="s">
        <v>253</v>
      </c>
      <c r="G41" t="s">
        <v>245</v>
      </c>
      <c r="H41" t="s">
        <v>246</v>
      </c>
      <c r="I41" t="s">
        <v>579</v>
      </c>
      <c r="J41" t="s">
        <v>180</v>
      </c>
      <c r="K41" t="s">
        <v>223</v>
      </c>
      <c r="L41" t="s">
        <v>468</v>
      </c>
    </row>
    <row r="42" spans="2:12" x14ac:dyDescent="0.2">
      <c r="B42" t="s">
        <v>272</v>
      </c>
      <c r="C42" t="s">
        <v>321</v>
      </c>
      <c r="D42" t="s">
        <v>242</v>
      </c>
      <c r="E42" t="s">
        <v>255</v>
      </c>
      <c r="F42" t="s">
        <v>256</v>
      </c>
      <c r="G42" t="s">
        <v>245</v>
      </c>
      <c r="H42" t="s">
        <v>257</v>
      </c>
      <c r="I42" t="s">
        <v>574</v>
      </c>
      <c r="J42" t="s">
        <v>182</v>
      </c>
      <c r="K42" t="s">
        <v>223</v>
      </c>
      <c r="L42" t="s">
        <v>468</v>
      </c>
    </row>
    <row r="43" spans="2:12" x14ac:dyDescent="0.2">
      <c r="B43" t="s">
        <v>273</v>
      </c>
      <c r="C43" t="s">
        <v>182</v>
      </c>
      <c r="D43" t="s">
        <v>242</v>
      </c>
      <c r="E43" t="s">
        <v>213</v>
      </c>
      <c r="F43" t="s">
        <v>256</v>
      </c>
      <c r="G43" t="s">
        <v>245</v>
      </c>
      <c r="H43" t="s">
        <v>257</v>
      </c>
      <c r="I43" t="s">
        <v>574</v>
      </c>
      <c r="J43" t="s">
        <v>182</v>
      </c>
      <c r="K43" t="s">
        <v>223</v>
      </c>
      <c r="L43" t="s">
        <v>468</v>
      </c>
    </row>
    <row r="44" spans="2:12" x14ac:dyDescent="0.2">
      <c r="B44" t="s">
        <v>270</v>
      </c>
      <c r="C44" t="s">
        <v>322</v>
      </c>
      <c r="D44" t="s">
        <v>242</v>
      </c>
      <c r="E44" t="s">
        <v>330</v>
      </c>
      <c r="F44" t="s">
        <v>225</v>
      </c>
      <c r="G44" t="s">
        <v>245</v>
      </c>
      <c r="H44" t="s">
        <v>258</v>
      </c>
      <c r="I44" t="s">
        <v>574</v>
      </c>
      <c r="J44" t="s">
        <v>184</v>
      </c>
      <c r="K44" t="s">
        <v>223</v>
      </c>
      <c r="L44" t="s">
        <v>468</v>
      </c>
    </row>
    <row r="45" spans="2:12" x14ac:dyDescent="0.2">
      <c r="B45" t="s">
        <v>269</v>
      </c>
      <c r="C45" t="s">
        <v>184</v>
      </c>
      <c r="D45" t="s">
        <v>242</v>
      </c>
      <c r="E45" t="s">
        <v>331</v>
      </c>
      <c r="F45" t="s">
        <v>225</v>
      </c>
      <c r="G45" t="s">
        <v>245</v>
      </c>
      <c r="H45" t="s">
        <v>258</v>
      </c>
      <c r="I45" t="s">
        <v>574</v>
      </c>
      <c r="J45" t="s">
        <v>184</v>
      </c>
      <c r="K45" t="s">
        <v>223</v>
      </c>
      <c r="L45" t="s">
        <v>468</v>
      </c>
    </row>
    <row r="46" spans="2:12" x14ac:dyDescent="0.2">
      <c r="B46" t="s">
        <v>268</v>
      </c>
      <c r="C46" t="s">
        <v>185</v>
      </c>
      <c r="D46" t="s">
        <v>242</v>
      </c>
      <c r="E46" t="s">
        <v>259</v>
      </c>
      <c r="F46" t="s">
        <v>260</v>
      </c>
      <c r="G46" t="s">
        <v>261</v>
      </c>
      <c r="H46" t="s">
        <v>216</v>
      </c>
      <c r="I46" t="s">
        <v>226</v>
      </c>
      <c r="J46" t="s">
        <v>185</v>
      </c>
      <c r="K46" t="s">
        <v>223</v>
      </c>
      <c r="L46" t="s">
        <v>468</v>
      </c>
    </row>
    <row r="50" spans="2:12" x14ac:dyDescent="0.2">
      <c r="B50" t="s">
        <v>376</v>
      </c>
      <c r="C50" t="s">
        <v>383</v>
      </c>
      <c r="D50" t="s">
        <v>375</v>
      </c>
      <c r="E50" t="s">
        <v>377</v>
      </c>
      <c r="F50" t="s">
        <v>345</v>
      </c>
      <c r="G50" t="s">
        <v>341</v>
      </c>
      <c r="H50" t="s">
        <v>342</v>
      </c>
      <c r="I50" t="s">
        <v>343</v>
      </c>
      <c r="J50" t="s">
        <v>384</v>
      </c>
      <c r="K50" t="s">
        <v>223</v>
      </c>
      <c r="L50" t="s">
        <v>472</v>
      </c>
    </row>
    <row r="51" spans="2:12" x14ac:dyDescent="0.2">
      <c r="B51" t="s">
        <v>59</v>
      </c>
      <c r="C51" t="s">
        <v>384</v>
      </c>
      <c r="D51" t="s">
        <v>375</v>
      </c>
      <c r="E51" t="s">
        <v>377</v>
      </c>
      <c r="F51" t="s">
        <v>345</v>
      </c>
      <c r="G51" t="s">
        <v>341</v>
      </c>
      <c r="H51" t="s">
        <v>342</v>
      </c>
      <c r="I51" t="s">
        <v>343</v>
      </c>
      <c r="J51" t="s">
        <v>384</v>
      </c>
      <c r="K51" t="s">
        <v>223</v>
      </c>
      <c r="L51" t="s">
        <v>472</v>
      </c>
    </row>
    <row r="52" spans="2:12" x14ac:dyDescent="0.2">
      <c r="B52" t="s">
        <v>68</v>
      </c>
      <c r="C52" t="s">
        <v>385</v>
      </c>
      <c r="D52" t="s">
        <v>375</v>
      </c>
      <c r="E52" t="s">
        <v>378</v>
      </c>
      <c r="F52" t="s">
        <v>346</v>
      </c>
      <c r="G52" t="s">
        <v>341</v>
      </c>
      <c r="H52" t="s">
        <v>342</v>
      </c>
      <c r="I52" t="s">
        <v>343</v>
      </c>
      <c r="J52" t="s">
        <v>385</v>
      </c>
      <c r="K52" t="s">
        <v>223</v>
      </c>
      <c r="L52" t="s">
        <v>472</v>
      </c>
    </row>
    <row r="53" spans="2:12" x14ac:dyDescent="0.2">
      <c r="B53" t="s">
        <v>71</v>
      </c>
      <c r="C53" t="s">
        <v>386</v>
      </c>
      <c r="D53" t="s">
        <v>375</v>
      </c>
      <c r="E53" t="s">
        <v>379</v>
      </c>
      <c r="F53" t="s">
        <v>347</v>
      </c>
      <c r="G53" t="s">
        <v>341</v>
      </c>
      <c r="H53" t="s">
        <v>342</v>
      </c>
      <c r="I53" t="s">
        <v>343</v>
      </c>
      <c r="J53" t="s">
        <v>386</v>
      </c>
      <c r="K53" t="s">
        <v>223</v>
      </c>
      <c r="L53" t="s">
        <v>472</v>
      </c>
    </row>
    <row r="54" spans="2:12" x14ac:dyDescent="0.2">
      <c r="B54" t="s">
        <v>72</v>
      </c>
      <c r="C54" t="s">
        <v>387</v>
      </c>
      <c r="D54" t="s">
        <v>375</v>
      </c>
      <c r="E54" t="s">
        <v>380</v>
      </c>
      <c r="F54" t="s">
        <v>348</v>
      </c>
      <c r="G54" t="s">
        <v>261</v>
      </c>
      <c r="H54" t="s">
        <v>216</v>
      </c>
      <c r="I54" t="s">
        <v>343</v>
      </c>
      <c r="J54" t="s">
        <v>387</v>
      </c>
      <c r="K54" t="s">
        <v>223</v>
      </c>
      <c r="L54" t="s">
        <v>472</v>
      </c>
    </row>
    <row r="55" spans="2:12" x14ac:dyDescent="0.2">
      <c r="B55" t="s">
        <v>77</v>
      </c>
      <c r="C55" t="s">
        <v>388</v>
      </c>
      <c r="D55" t="s">
        <v>375</v>
      </c>
      <c r="E55" t="s">
        <v>381</v>
      </c>
      <c r="F55" t="s">
        <v>225</v>
      </c>
      <c r="G55" t="s">
        <v>261</v>
      </c>
      <c r="H55" t="s">
        <v>344</v>
      </c>
      <c r="I55" t="s">
        <v>343</v>
      </c>
      <c r="J55" t="s">
        <v>388</v>
      </c>
      <c r="K55" t="s">
        <v>223</v>
      </c>
      <c r="L55" t="s">
        <v>472</v>
      </c>
    </row>
    <row r="56" spans="2:12" x14ac:dyDescent="0.2">
      <c r="B56" t="s">
        <v>80</v>
      </c>
      <c r="C56" t="s">
        <v>389</v>
      </c>
      <c r="D56" t="s">
        <v>375</v>
      </c>
      <c r="E56" t="s">
        <v>382</v>
      </c>
      <c r="F56" t="s">
        <v>349</v>
      </c>
      <c r="G56" t="s">
        <v>261</v>
      </c>
      <c r="H56" t="s">
        <v>463</v>
      </c>
      <c r="I56" t="s">
        <v>226</v>
      </c>
      <c r="J56" t="s">
        <v>389</v>
      </c>
      <c r="K56" t="s">
        <v>223</v>
      </c>
      <c r="L56" t="s">
        <v>472</v>
      </c>
    </row>
    <row r="59" spans="2:12" x14ac:dyDescent="0.2">
      <c r="B59" t="s">
        <v>390</v>
      </c>
      <c r="C59" t="s">
        <v>393</v>
      </c>
      <c r="D59" t="s">
        <v>334</v>
      </c>
      <c r="E59" t="s">
        <v>335</v>
      </c>
      <c r="F59" t="s">
        <v>391</v>
      </c>
      <c r="G59" t="s">
        <v>341</v>
      </c>
      <c r="H59" t="s">
        <v>342</v>
      </c>
      <c r="I59" t="s">
        <v>343</v>
      </c>
      <c r="J59" t="s">
        <v>392</v>
      </c>
      <c r="K59" t="s">
        <v>223</v>
      </c>
      <c r="L59" t="s">
        <v>469</v>
      </c>
    </row>
    <row r="60" spans="2:12" x14ac:dyDescent="0.2">
      <c r="B60" t="s">
        <v>83</v>
      </c>
      <c r="C60" t="s">
        <v>395</v>
      </c>
      <c r="D60" t="s">
        <v>334</v>
      </c>
      <c r="E60" t="s">
        <v>335</v>
      </c>
      <c r="F60" t="s">
        <v>345</v>
      </c>
      <c r="G60" t="s">
        <v>341</v>
      </c>
      <c r="H60" t="s">
        <v>342</v>
      </c>
      <c r="I60" t="s">
        <v>343</v>
      </c>
      <c r="J60" t="s">
        <v>394</v>
      </c>
      <c r="K60" t="s">
        <v>223</v>
      </c>
      <c r="L60" t="s">
        <v>469</v>
      </c>
    </row>
    <row r="61" spans="2:12" x14ac:dyDescent="0.2">
      <c r="B61" t="s">
        <v>90</v>
      </c>
      <c r="C61" t="s">
        <v>397</v>
      </c>
      <c r="D61" t="s">
        <v>334</v>
      </c>
      <c r="E61" t="s">
        <v>336</v>
      </c>
      <c r="F61" t="s">
        <v>346</v>
      </c>
      <c r="G61" t="s">
        <v>341</v>
      </c>
      <c r="H61" t="s">
        <v>342</v>
      </c>
      <c r="I61" t="s">
        <v>343</v>
      </c>
      <c r="J61" t="s">
        <v>396</v>
      </c>
      <c r="K61" t="s">
        <v>223</v>
      </c>
      <c r="L61" t="s">
        <v>469</v>
      </c>
    </row>
    <row r="62" spans="2:12" x14ac:dyDescent="0.2">
      <c r="B62" t="s">
        <v>91</v>
      </c>
      <c r="C62" t="s">
        <v>399</v>
      </c>
      <c r="D62" t="s">
        <v>334</v>
      </c>
      <c r="E62" t="s">
        <v>337</v>
      </c>
      <c r="F62" t="s">
        <v>347</v>
      </c>
      <c r="G62" t="s">
        <v>341</v>
      </c>
      <c r="H62" t="s">
        <v>342</v>
      </c>
      <c r="I62" t="s">
        <v>343</v>
      </c>
      <c r="J62" t="s">
        <v>398</v>
      </c>
      <c r="K62" t="s">
        <v>223</v>
      </c>
      <c r="L62" t="s">
        <v>469</v>
      </c>
    </row>
    <row r="63" spans="2:12" x14ac:dyDescent="0.2">
      <c r="B63" t="s">
        <v>93</v>
      </c>
      <c r="C63" t="s">
        <v>401</v>
      </c>
      <c r="D63" t="s">
        <v>334</v>
      </c>
      <c r="E63" t="s">
        <v>338</v>
      </c>
      <c r="F63" t="s">
        <v>348</v>
      </c>
      <c r="G63" t="s">
        <v>261</v>
      </c>
      <c r="H63" t="s">
        <v>216</v>
      </c>
      <c r="I63" t="s">
        <v>343</v>
      </c>
      <c r="J63" t="s">
        <v>400</v>
      </c>
      <c r="K63" t="s">
        <v>223</v>
      </c>
      <c r="L63" t="s">
        <v>469</v>
      </c>
    </row>
    <row r="64" spans="2:12" x14ac:dyDescent="0.2">
      <c r="B64" t="s">
        <v>96</v>
      </c>
      <c r="C64" t="s">
        <v>403</v>
      </c>
      <c r="D64" t="s">
        <v>334</v>
      </c>
      <c r="E64" t="s">
        <v>339</v>
      </c>
      <c r="F64" t="s">
        <v>225</v>
      </c>
      <c r="G64" t="s">
        <v>261</v>
      </c>
      <c r="H64" t="s">
        <v>344</v>
      </c>
      <c r="I64" t="s">
        <v>343</v>
      </c>
      <c r="J64" t="s">
        <v>402</v>
      </c>
      <c r="K64" t="s">
        <v>223</v>
      </c>
      <c r="L64" t="s">
        <v>469</v>
      </c>
    </row>
    <row r="65" spans="2:12" x14ac:dyDescent="0.2">
      <c r="B65" t="s">
        <v>97</v>
      </c>
      <c r="C65" t="s">
        <v>405</v>
      </c>
      <c r="D65" t="s">
        <v>334</v>
      </c>
      <c r="E65" t="s">
        <v>340</v>
      </c>
      <c r="F65" t="s">
        <v>349</v>
      </c>
      <c r="G65" t="s">
        <v>261</v>
      </c>
      <c r="H65" t="s">
        <v>463</v>
      </c>
      <c r="I65" t="s">
        <v>226</v>
      </c>
      <c r="J65" t="s">
        <v>404</v>
      </c>
      <c r="K65" t="s">
        <v>223</v>
      </c>
      <c r="L65" t="s">
        <v>469</v>
      </c>
    </row>
    <row r="67" spans="2:12" x14ac:dyDescent="0.2">
      <c r="B67" t="s">
        <v>100</v>
      </c>
      <c r="C67" t="s">
        <v>407</v>
      </c>
      <c r="D67" t="s">
        <v>360</v>
      </c>
      <c r="E67" t="s">
        <v>335</v>
      </c>
      <c r="F67" t="s">
        <v>361</v>
      </c>
      <c r="G67" t="s">
        <v>354</v>
      </c>
      <c r="H67" t="s">
        <v>362</v>
      </c>
      <c r="I67" t="s">
        <v>363</v>
      </c>
      <c r="J67" t="s">
        <v>406</v>
      </c>
      <c r="K67" t="s">
        <v>223</v>
      </c>
      <c r="L67" t="s">
        <v>470</v>
      </c>
    </row>
    <row r="68" spans="2:12" x14ac:dyDescent="0.2">
      <c r="B68" t="s">
        <v>107</v>
      </c>
      <c r="C68" t="s">
        <v>409</v>
      </c>
      <c r="D68" t="s">
        <v>364</v>
      </c>
      <c r="E68" t="s">
        <v>338</v>
      </c>
      <c r="F68" t="s">
        <v>365</v>
      </c>
      <c r="G68" t="s">
        <v>261</v>
      </c>
      <c r="H68" t="s">
        <v>366</v>
      </c>
      <c r="I68" t="s">
        <v>363</v>
      </c>
      <c r="J68" t="s">
        <v>408</v>
      </c>
      <c r="K68" t="s">
        <v>223</v>
      </c>
      <c r="L68" t="s">
        <v>470</v>
      </c>
    </row>
    <row r="69" spans="2:12" x14ac:dyDescent="0.2">
      <c r="B69" t="s">
        <v>109</v>
      </c>
      <c r="C69" t="s">
        <v>411</v>
      </c>
      <c r="D69" t="s">
        <v>364</v>
      </c>
      <c r="E69" t="s">
        <v>339</v>
      </c>
      <c r="F69" t="s">
        <v>367</v>
      </c>
      <c r="G69" t="s">
        <v>261</v>
      </c>
      <c r="H69" t="s">
        <v>344</v>
      </c>
      <c r="I69" t="s">
        <v>363</v>
      </c>
      <c r="J69" t="s">
        <v>410</v>
      </c>
      <c r="K69" t="s">
        <v>223</v>
      </c>
      <c r="L69" t="s">
        <v>470</v>
      </c>
    </row>
    <row r="70" spans="2:12" x14ac:dyDescent="0.2">
      <c r="B70" t="s">
        <v>110</v>
      </c>
      <c r="C70" t="s">
        <v>413</v>
      </c>
      <c r="D70" t="s">
        <v>364</v>
      </c>
      <c r="E70" t="s">
        <v>340</v>
      </c>
      <c r="F70" t="s">
        <v>368</v>
      </c>
      <c r="G70" t="s">
        <v>261</v>
      </c>
      <c r="H70" t="s">
        <v>463</v>
      </c>
      <c r="I70" t="s">
        <v>369</v>
      </c>
      <c r="J70" t="s">
        <v>412</v>
      </c>
      <c r="K70" t="s">
        <v>223</v>
      </c>
      <c r="L70" t="s">
        <v>470</v>
      </c>
    </row>
    <row r="71" spans="2:12" x14ac:dyDescent="0.2">
      <c r="B71" t="s">
        <v>112</v>
      </c>
      <c r="C71" t="s">
        <v>415</v>
      </c>
      <c r="D71" t="s">
        <v>364</v>
      </c>
      <c r="E71" t="s">
        <v>370</v>
      </c>
      <c r="F71" t="s">
        <v>371</v>
      </c>
      <c r="G71" t="s">
        <v>261</v>
      </c>
      <c r="H71" t="s">
        <v>463</v>
      </c>
      <c r="I71" t="s">
        <v>369</v>
      </c>
      <c r="J71" t="s">
        <v>414</v>
      </c>
      <c r="K71" t="s">
        <v>223</v>
      </c>
      <c r="L71" t="s">
        <v>470</v>
      </c>
    </row>
    <row r="72" spans="2:12" x14ac:dyDescent="0.2">
      <c r="B72" t="s">
        <v>114</v>
      </c>
      <c r="C72" t="s">
        <v>417</v>
      </c>
      <c r="D72" t="s">
        <v>364</v>
      </c>
      <c r="E72" t="s">
        <v>372</v>
      </c>
      <c r="F72" t="s">
        <v>373</v>
      </c>
      <c r="G72" t="s">
        <v>261</v>
      </c>
      <c r="H72" t="s">
        <v>366</v>
      </c>
      <c r="I72" t="s">
        <v>374</v>
      </c>
      <c r="J72" t="s">
        <v>416</v>
      </c>
      <c r="K72" t="s">
        <v>223</v>
      </c>
      <c r="L72" t="s">
        <v>470</v>
      </c>
    </row>
    <row r="74" spans="2:12" x14ac:dyDescent="0.2">
      <c r="B74" t="s">
        <v>350</v>
      </c>
      <c r="C74" t="s">
        <v>419</v>
      </c>
      <c r="D74" t="s">
        <v>352</v>
      </c>
      <c r="E74" t="s">
        <v>353</v>
      </c>
      <c r="F74" t="s">
        <v>462</v>
      </c>
      <c r="G74" t="s">
        <v>354</v>
      </c>
      <c r="H74" t="s">
        <v>355</v>
      </c>
      <c r="I74" t="s">
        <v>343</v>
      </c>
      <c r="J74" t="s">
        <v>419</v>
      </c>
      <c r="K74" t="s">
        <v>223</v>
      </c>
      <c r="L74" t="s">
        <v>471</v>
      </c>
    </row>
    <row r="75" spans="2:12" x14ac:dyDescent="0.2">
      <c r="B75" t="s">
        <v>351</v>
      </c>
      <c r="C75" t="s">
        <v>421</v>
      </c>
      <c r="D75" t="s">
        <v>352</v>
      </c>
      <c r="E75" t="s">
        <v>356</v>
      </c>
      <c r="F75" t="s">
        <v>348</v>
      </c>
      <c r="G75" t="s">
        <v>261</v>
      </c>
      <c r="H75" t="s">
        <v>216</v>
      </c>
      <c r="I75" t="s">
        <v>343</v>
      </c>
      <c r="J75" t="s">
        <v>421</v>
      </c>
      <c r="K75" t="s">
        <v>223</v>
      </c>
      <c r="L75" t="s">
        <v>471</v>
      </c>
    </row>
    <row r="76" spans="2:12" x14ac:dyDescent="0.2">
      <c r="B76" t="s">
        <v>127</v>
      </c>
      <c r="C76" t="s">
        <v>423</v>
      </c>
      <c r="D76" t="s">
        <v>352</v>
      </c>
      <c r="E76" t="s">
        <v>357</v>
      </c>
      <c r="F76" t="s">
        <v>349</v>
      </c>
      <c r="G76" t="s">
        <v>261</v>
      </c>
      <c r="H76" t="s">
        <v>358</v>
      </c>
      <c r="I76" t="s">
        <v>226</v>
      </c>
      <c r="J76" t="s">
        <v>423</v>
      </c>
      <c r="K76" t="s">
        <v>223</v>
      </c>
      <c r="L76" t="s">
        <v>471</v>
      </c>
    </row>
    <row r="77" spans="2:12" x14ac:dyDescent="0.2">
      <c r="B77" t="s">
        <v>129</v>
      </c>
      <c r="C77" t="s">
        <v>425</v>
      </c>
      <c r="D77" t="s">
        <v>352</v>
      </c>
      <c r="E77" t="s">
        <v>359</v>
      </c>
      <c r="F77" t="s">
        <v>371</v>
      </c>
      <c r="G77" t="s">
        <v>261</v>
      </c>
      <c r="H77" t="s">
        <v>358</v>
      </c>
      <c r="I77" t="s">
        <v>226</v>
      </c>
      <c r="J77" t="s">
        <v>425</v>
      </c>
      <c r="K77" t="s">
        <v>223</v>
      </c>
      <c r="L77" t="s">
        <v>471</v>
      </c>
    </row>
    <row r="81" spans="2:10" x14ac:dyDescent="0.2">
      <c r="B81" t="s">
        <v>450</v>
      </c>
      <c r="C81" t="s">
        <v>444</v>
      </c>
      <c r="D81" t="s">
        <v>451</v>
      </c>
      <c r="E81" t="s">
        <v>455</v>
      </c>
      <c r="F81" t="s">
        <v>348</v>
      </c>
      <c r="G81" t="s">
        <v>354</v>
      </c>
      <c r="H81" t="s">
        <v>287</v>
      </c>
      <c r="I81" t="s">
        <v>461</v>
      </c>
      <c r="J81" t="s">
        <v>444</v>
      </c>
    </row>
    <row r="82" spans="2:10" x14ac:dyDescent="0.2">
      <c r="B82" t="s">
        <v>505</v>
      </c>
      <c r="C82" t="s">
        <v>494</v>
      </c>
      <c r="D82" t="s">
        <v>497</v>
      </c>
      <c r="E82" t="s">
        <v>455</v>
      </c>
      <c r="F82" t="s">
        <v>348</v>
      </c>
      <c r="G82" t="s">
        <v>507</v>
      </c>
      <c r="H82" t="s">
        <v>458</v>
      </c>
      <c r="I82" t="s">
        <v>459</v>
      </c>
      <c r="J82" t="s">
        <v>494</v>
      </c>
    </row>
    <row r="83" spans="2:10" x14ac:dyDescent="0.2">
      <c r="B83" t="s">
        <v>506</v>
      </c>
      <c r="C83" t="s">
        <v>496</v>
      </c>
      <c r="D83" t="s">
        <v>497</v>
      </c>
      <c r="E83" t="s">
        <v>456</v>
      </c>
      <c r="F83" t="s">
        <v>348</v>
      </c>
      <c r="G83" t="s">
        <v>507</v>
      </c>
      <c r="H83" t="s">
        <v>458</v>
      </c>
      <c r="I83" t="s">
        <v>459</v>
      </c>
      <c r="J83" t="s">
        <v>496</v>
      </c>
    </row>
    <row r="84" spans="2:10" x14ac:dyDescent="0.2">
      <c r="B84" t="s">
        <v>446</v>
      </c>
      <c r="C84" t="s">
        <v>442</v>
      </c>
      <c r="D84" t="s">
        <v>452</v>
      </c>
      <c r="E84" t="s">
        <v>380</v>
      </c>
      <c r="F84" t="s">
        <v>348</v>
      </c>
      <c r="G84" t="s">
        <v>355</v>
      </c>
      <c r="H84" t="s">
        <v>458</v>
      </c>
      <c r="I84" t="s">
        <v>459</v>
      </c>
      <c r="J84" t="s">
        <v>442</v>
      </c>
    </row>
    <row r="85" spans="2:10" x14ac:dyDescent="0.2">
      <c r="B85" t="s">
        <v>447</v>
      </c>
      <c r="C85" t="s">
        <v>440</v>
      </c>
      <c r="D85" t="s">
        <v>453</v>
      </c>
      <c r="E85" t="s">
        <v>456</v>
      </c>
      <c r="F85" t="s">
        <v>348</v>
      </c>
      <c r="G85" t="s">
        <v>355</v>
      </c>
      <c r="H85" t="s">
        <v>458</v>
      </c>
      <c r="I85" t="s">
        <v>459</v>
      </c>
      <c r="J85" t="s">
        <v>440</v>
      </c>
    </row>
    <row r="86" spans="2:10" x14ac:dyDescent="0.2">
      <c r="B86" t="s">
        <v>448</v>
      </c>
      <c r="C86" t="s">
        <v>438</v>
      </c>
      <c r="D86" t="s">
        <v>454</v>
      </c>
      <c r="E86" t="s">
        <v>456</v>
      </c>
      <c r="F86" t="s">
        <v>348</v>
      </c>
      <c r="G86" t="s">
        <v>355</v>
      </c>
      <c r="H86" t="s">
        <v>458</v>
      </c>
      <c r="I86" t="s">
        <v>459</v>
      </c>
      <c r="J86" t="s">
        <v>438</v>
      </c>
    </row>
    <row r="87" spans="2:10" x14ac:dyDescent="0.2">
      <c r="B87" t="s">
        <v>449</v>
      </c>
      <c r="C87" t="s">
        <v>436</v>
      </c>
      <c r="D87" t="s">
        <v>454</v>
      </c>
      <c r="E87" t="s">
        <v>457</v>
      </c>
      <c r="F87" t="s">
        <v>260</v>
      </c>
      <c r="G87" t="s">
        <v>460</v>
      </c>
      <c r="H87" t="s">
        <v>458</v>
      </c>
      <c r="I87" t="s">
        <v>216</v>
      </c>
      <c r="J87" t="s">
        <v>436</v>
      </c>
    </row>
    <row r="90" spans="2:10" x14ac:dyDescent="0.2">
      <c r="B90" s="24" t="s">
        <v>540</v>
      </c>
      <c r="C90" t="s">
        <v>540</v>
      </c>
      <c r="D90" t="s">
        <v>545</v>
      </c>
      <c r="E90" t="s">
        <v>541</v>
      </c>
      <c r="F90" t="s">
        <v>542</v>
      </c>
      <c r="G90" t="s">
        <v>354</v>
      </c>
      <c r="H90" t="s">
        <v>542</v>
      </c>
      <c r="J90" t="s">
        <v>540</v>
      </c>
    </row>
    <row r="91" spans="2:10" x14ac:dyDescent="0.2">
      <c r="B91" s="25" t="s">
        <v>532</v>
      </c>
      <c r="C91" t="s">
        <v>532</v>
      </c>
      <c r="D91" t="s">
        <v>544</v>
      </c>
      <c r="E91" t="s">
        <v>546</v>
      </c>
      <c r="F91" t="s">
        <v>543</v>
      </c>
      <c r="G91" t="s">
        <v>354</v>
      </c>
      <c r="H91" t="s">
        <v>523</v>
      </c>
      <c r="J91" t="s">
        <v>532</v>
      </c>
    </row>
    <row r="92" spans="2:10" x14ac:dyDescent="0.2">
      <c r="B92" s="25" t="s">
        <v>533</v>
      </c>
      <c r="C92" t="s">
        <v>533</v>
      </c>
      <c r="D92" t="s">
        <v>544</v>
      </c>
      <c r="E92" t="s">
        <v>547</v>
      </c>
      <c r="F92" t="s">
        <v>551</v>
      </c>
      <c r="G92" t="s">
        <v>354</v>
      </c>
      <c r="H92" t="s">
        <v>557</v>
      </c>
      <c r="J92" t="s">
        <v>533</v>
      </c>
    </row>
    <row r="93" spans="2:10" x14ac:dyDescent="0.2">
      <c r="B93" s="25" t="s">
        <v>534</v>
      </c>
      <c r="C93" t="s">
        <v>534</v>
      </c>
      <c r="D93" t="s">
        <v>544</v>
      </c>
      <c r="E93" t="s">
        <v>550</v>
      </c>
      <c r="F93" t="s">
        <v>552</v>
      </c>
      <c r="G93" t="s">
        <v>354</v>
      </c>
      <c r="H93" t="s">
        <v>557</v>
      </c>
      <c r="J93" t="s">
        <v>534</v>
      </c>
    </row>
    <row r="94" spans="2:10" x14ac:dyDescent="0.2">
      <c r="B94" s="25" t="s">
        <v>535</v>
      </c>
      <c r="C94" t="s">
        <v>535</v>
      </c>
      <c r="D94" t="s">
        <v>544</v>
      </c>
      <c r="E94" t="s">
        <v>549</v>
      </c>
      <c r="F94" t="s">
        <v>553</v>
      </c>
      <c r="G94" t="s">
        <v>354</v>
      </c>
      <c r="H94" t="s">
        <v>258</v>
      </c>
      <c r="J94" t="s">
        <v>535</v>
      </c>
    </row>
    <row r="95" spans="2:10" x14ac:dyDescent="0.2">
      <c r="B95" s="25" t="s">
        <v>536</v>
      </c>
      <c r="C95" t="s">
        <v>536</v>
      </c>
      <c r="D95" t="s">
        <v>544</v>
      </c>
      <c r="E95" t="s">
        <v>455</v>
      </c>
      <c r="F95" t="s">
        <v>365</v>
      </c>
      <c r="G95" t="s">
        <v>354</v>
      </c>
      <c r="H95" t="s">
        <v>557</v>
      </c>
      <c r="J95" t="s">
        <v>536</v>
      </c>
    </row>
    <row r="96" spans="2:10" x14ac:dyDescent="0.2">
      <c r="B96" s="25" t="s">
        <v>537</v>
      </c>
      <c r="C96" t="s">
        <v>537</v>
      </c>
      <c r="D96" t="s">
        <v>544</v>
      </c>
      <c r="E96" t="s">
        <v>548</v>
      </c>
      <c r="F96" t="s">
        <v>367</v>
      </c>
      <c r="G96" t="s">
        <v>354</v>
      </c>
      <c r="H96" t="s">
        <v>258</v>
      </c>
      <c r="J96" t="s">
        <v>537</v>
      </c>
    </row>
    <row r="97" spans="2:10" x14ac:dyDescent="0.2">
      <c r="B97" s="25"/>
    </row>
    <row r="98" spans="2:10" x14ac:dyDescent="0.2">
      <c r="B98" s="25" t="s">
        <v>538</v>
      </c>
      <c r="C98" t="s">
        <v>538</v>
      </c>
      <c r="D98" t="s">
        <v>554</v>
      </c>
      <c r="E98" t="s">
        <v>550</v>
      </c>
      <c r="F98" t="s">
        <v>346</v>
      </c>
      <c r="G98" t="s">
        <v>354</v>
      </c>
      <c r="H98" t="s">
        <v>557</v>
      </c>
      <c r="J98" t="s">
        <v>538</v>
      </c>
    </row>
    <row r="99" spans="2:10" x14ac:dyDescent="0.2">
      <c r="B99" s="25"/>
    </row>
    <row r="100" spans="2:10" x14ac:dyDescent="0.2">
      <c r="B100" s="25" t="s">
        <v>539</v>
      </c>
      <c r="C100" t="s">
        <v>539</v>
      </c>
      <c r="D100" t="s">
        <v>555</v>
      </c>
      <c r="E100" t="s">
        <v>556</v>
      </c>
      <c r="F100" t="s">
        <v>348</v>
      </c>
      <c r="G100" t="s">
        <v>261</v>
      </c>
      <c r="H100" t="s">
        <v>557</v>
      </c>
      <c r="J100" t="s">
        <v>539</v>
      </c>
    </row>
    <row r="101" spans="2:10" x14ac:dyDescent="0.2">
      <c r="B101" s="25"/>
    </row>
    <row r="102" spans="2:10" x14ac:dyDescent="0.2">
      <c r="B102" s="25"/>
    </row>
    <row r="161" spans="2:4" x14ac:dyDescent="0.2">
      <c r="B161" t="s">
        <v>263</v>
      </c>
      <c r="C161" t="s">
        <v>235</v>
      </c>
      <c r="D161" t="s">
        <v>241</v>
      </c>
    </row>
    <row r="162" spans="2:4" x14ac:dyDescent="0.2">
      <c r="B162" t="s">
        <v>286</v>
      </c>
      <c r="C162" t="s">
        <v>204</v>
      </c>
      <c r="D162" t="s">
        <v>205</v>
      </c>
    </row>
    <row r="163" spans="2:4" x14ac:dyDescent="0.2">
      <c r="B163" t="s">
        <v>207</v>
      </c>
      <c r="C163" t="s">
        <v>204</v>
      </c>
      <c r="D163" t="s">
        <v>208</v>
      </c>
    </row>
    <row r="164" spans="2:4" x14ac:dyDescent="0.2">
      <c r="B164" t="s">
        <v>279</v>
      </c>
      <c r="C164" t="s">
        <v>209</v>
      </c>
      <c r="D164" t="s">
        <v>282</v>
      </c>
    </row>
    <row r="165" spans="2:4" x14ac:dyDescent="0.2">
      <c r="B165" t="s">
        <v>210</v>
      </c>
      <c r="C165" t="s">
        <v>209</v>
      </c>
      <c r="D165" t="s">
        <v>211</v>
      </c>
    </row>
    <row r="166" spans="2:4" x14ac:dyDescent="0.2">
      <c r="B166" t="s">
        <v>215</v>
      </c>
      <c r="C166" t="s">
        <v>214</v>
      </c>
      <c r="D166" t="s">
        <v>215</v>
      </c>
    </row>
    <row r="167" spans="2:4" x14ac:dyDescent="0.2">
      <c r="B167" t="s">
        <v>218</v>
      </c>
      <c r="C167" t="s">
        <v>219</v>
      </c>
      <c r="D167" t="s">
        <v>220</v>
      </c>
    </row>
    <row r="168" spans="2:4" x14ac:dyDescent="0.2">
      <c r="B168" t="s">
        <v>221</v>
      </c>
      <c r="C168" t="s">
        <v>219</v>
      </c>
      <c r="D168" t="s">
        <v>222</v>
      </c>
    </row>
    <row r="169" spans="2:4" x14ac:dyDescent="0.2">
      <c r="B169" t="s">
        <v>224</v>
      </c>
      <c r="C169" t="s">
        <v>214</v>
      </c>
      <c r="D169" t="s">
        <v>283</v>
      </c>
    </row>
    <row r="170" spans="2:4" x14ac:dyDescent="0.2">
      <c r="B170" t="s">
        <v>227</v>
      </c>
      <c r="C170" t="s">
        <v>228</v>
      </c>
      <c r="D170" t="s">
        <v>229</v>
      </c>
    </row>
    <row r="171" spans="2:4" x14ac:dyDescent="0.2">
      <c r="B171" t="s">
        <v>558</v>
      </c>
      <c r="C171" s="11" t="s">
        <v>288</v>
      </c>
      <c r="D171" t="s">
        <v>284</v>
      </c>
    </row>
    <row r="172" spans="2:4" x14ac:dyDescent="0.2">
      <c r="B172" t="s">
        <v>230</v>
      </c>
      <c r="C172" s="11" t="s">
        <v>288</v>
      </c>
      <c r="D172" t="s">
        <v>231</v>
      </c>
    </row>
    <row r="173" spans="2:4" x14ac:dyDescent="0.2">
      <c r="B173" t="s">
        <v>232</v>
      </c>
      <c r="C173" t="s">
        <v>209</v>
      </c>
      <c r="D173" t="s">
        <v>233</v>
      </c>
    </row>
    <row r="174" spans="2:4" x14ac:dyDescent="0.2">
      <c r="B174" t="s">
        <v>234</v>
      </c>
      <c r="C174" t="s">
        <v>219</v>
      </c>
      <c r="D174" t="s">
        <v>285</v>
      </c>
    </row>
  </sheetData>
  <phoneticPr fontId="6" type="noConversion"/>
  <conditionalFormatting sqref="C9:C108">
    <cfRule type="duplicateValues" dxfId="0" priority="1"/>
  </conditionalFormatting>
  <pageMargins left="0.7" right="0.7" top="0.75" bottom="0.75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命名范围</vt:lpstr>
      </vt:variant>
      <vt:variant>
        <vt:i4>10</vt:i4>
      </vt:variant>
    </vt:vector>
  </HeadingPairs>
  <TitlesOfParts>
    <vt:vector size="13" baseType="lpstr">
      <vt:lpstr>显卡参数新</vt:lpstr>
      <vt:lpstr>显卡</vt:lpstr>
      <vt:lpstr>利益点对照表</vt:lpstr>
      <vt:lpstr>显卡!export_folder</vt:lpstr>
      <vt:lpstr>显卡参数新!export_folder</vt:lpstr>
      <vt:lpstr>显卡!file_format</vt:lpstr>
      <vt:lpstr>显卡参数新!file_format</vt:lpstr>
      <vt:lpstr>显卡!psd_file_path</vt:lpstr>
      <vt:lpstr>显卡参数新!psd_file_path</vt:lpstr>
      <vt:lpstr>显卡!psd_name</vt:lpstr>
      <vt:lpstr>显卡参数新!psd_name</vt:lpstr>
      <vt:lpstr>显卡!suffix</vt:lpstr>
      <vt:lpstr>显卡参数新!suffix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irx999</dc:creator>
  <cp:lastModifiedBy>777SY Cold</cp:lastModifiedBy>
  <dcterms:created xsi:type="dcterms:W3CDTF">2015-06-05T18:17:20Z</dcterms:created>
  <dcterms:modified xsi:type="dcterms:W3CDTF">2025-07-04T08:25:17Z</dcterms:modified>
</cp:coreProperties>
</file>