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B2098BBE-733B-430A-98C1-7164600D5CCD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" l="1"/>
  <c r="F12" i="3"/>
  <c r="G12" i="3"/>
  <c r="H12" i="3"/>
  <c r="I12" i="3"/>
  <c r="J12" i="3"/>
  <c r="K12" i="3"/>
  <c r="L12" i="3"/>
  <c r="Q12" i="3" s="1" a="1"/>
  <c r="Q12" i="3" s="1"/>
  <c r="M12" i="3"/>
  <c r="N12" i="3"/>
  <c r="O12" i="3"/>
  <c r="G13" i="3"/>
  <c r="H13" i="3"/>
  <c r="I13" i="3"/>
  <c r="J13" i="3"/>
  <c r="K13" i="3"/>
  <c r="L13" i="3"/>
  <c r="Q13" i="3" s="1" a="1"/>
  <c r="Q13" i="3" s="1"/>
  <c r="M13" i="3"/>
  <c r="N13" i="3"/>
  <c r="O13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F19" i="3"/>
  <c r="G19" i="3"/>
  <c r="H19" i="3"/>
  <c r="I19" i="3"/>
  <c r="J19" i="3"/>
  <c r="K19" i="3"/>
  <c r="L19" i="3"/>
  <c r="Q19" i="3" s="1" a="1"/>
  <c r="Q19" i="3" s="1"/>
  <c r="M19" i="3"/>
  <c r="N19" i="3"/>
  <c r="O19" i="3"/>
  <c r="F42" i="3"/>
  <c r="F43" i="3"/>
  <c r="F44" i="3"/>
  <c r="F45" i="3"/>
  <c r="F46" i="3"/>
  <c r="F47" i="3"/>
  <c r="F48" i="3"/>
  <c r="G42" i="3"/>
  <c r="G43" i="3"/>
  <c r="G44" i="3"/>
  <c r="G45" i="3"/>
  <c r="G46" i="3"/>
  <c r="G47" i="3"/>
  <c r="G48" i="3"/>
  <c r="H42" i="3"/>
  <c r="H43" i="3"/>
  <c r="H44" i="3"/>
  <c r="H45" i="3"/>
  <c r="H46" i="3"/>
  <c r="H47" i="3"/>
  <c r="H48" i="3"/>
  <c r="I42" i="3"/>
  <c r="I43" i="3"/>
  <c r="I44" i="3"/>
  <c r="I45" i="3"/>
  <c r="I46" i="3"/>
  <c r="I47" i="3"/>
  <c r="I48" i="3"/>
  <c r="J42" i="3"/>
  <c r="J43" i="3"/>
  <c r="J44" i="3"/>
  <c r="J45" i="3"/>
  <c r="J46" i="3"/>
  <c r="J47" i="3"/>
  <c r="J48" i="3"/>
  <c r="K42" i="3"/>
  <c r="K43" i="3"/>
  <c r="K44" i="3"/>
  <c r="K45" i="3"/>
  <c r="K46" i="3"/>
  <c r="K47" i="3"/>
  <c r="K48" i="3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M42" i="3"/>
  <c r="M43" i="3"/>
  <c r="M44" i="3"/>
  <c r="M45" i="3"/>
  <c r="M46" i="3"/>
  <c r="M47" i="3"/>
  <c r="M48" i="3"/>
  <c r="N42" i="3"/>
  <c r="N43" i="3"/>
  <c r="N44" i="3"/>
  <c r="N45" i="3"/>
  <c r="N46" i="3"/>
  <c r="N47" i="3"/>
  <c r="N48" i="3"/>
  <c r="O42" i="3"/>
  <c r="O43" i="3"/>
  <c r="O44" i="3"/>
  <c r="O45" i="3"/>
  <c r="O46" i="3"/>
  <c r="O47" i="3"/>
  <c r="O48" i="3"/>
  <c r="H11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O11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N11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M11" i="3" l="1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L11" i="3"/>
  <c r="Q11" i="3" s="1" a="1"/>
  <c r="Q11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5" i="3"/>
  <c r="Q25" i="3" s="1" a="1"/>
  <c r="Q25" i="3" s="1"/>
  <c r="L26" i="3"/>
  <c r="Q26" i="3" s="1" a="1"/>
  <c r="Q26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K11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J11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I11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G11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F11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<sst xmlns="http://schemas.openxmlformats.org/spreadsheetml/2006/main" count="1377" uniqueCount="486">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</sst>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2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0" fontId="0" fillId="0" borderId="0" xfId="0" applyNumberFormat="1"/>
    <xf numFmtId="0" fontId="0" fillId="0" borderId="0" xfId="0" quotePrefix="1" applyNumberFormat="1"/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48" totalsRowShown="0">
  <autoFilter ref="B10:Q48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2" totalsRowShown="0">
  <autoFilter ref="B8:L72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3:D156" totalsRowShown="0">
  <autoFilter ref="B143:D156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tabSelected="1" zoomScale="98" zoomScaleNormal="98" workbookViewId="0">
      <pane xSplit="1" ySplit="10" topLeftCell="I55" activePane="bottomRight" state="frozen"/>
      <selection pane="topRight" activeCell="B1" sqref="B1"/>
      <selection pane="bottomLeft" activeCell="A10" sqref="A10"/>
      <selection pane="bottomRight" activeCell="N77" sqref="N77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328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0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0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0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0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0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0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0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0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1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DP2.1a*2+HDMI2.1b*2</v>
      </c>
    </row>
    <row r="51" spans="2:20" x14ac:dyDescent="0.2">
      <c r="T51" t="str">
        <v>DP1.4a * 3+HDM2.1ax1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89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s="40" t="s">
        <v>478</v>
      </c>
      <c r="H65" s="40" t="s">
        <v>479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5" t="s">
        <v>446</v>
      </c>
      <c r="C66" s="13"/>
      <c r="E66" t="s">
        <v>138</v>
      </c>
      <c r="F66" t="s">
        <v>131</v>
      </c>
      <c r="G66" s="40" t="s">
        <v>480</v>
      </c>
      <c r="H66" s="41" t="s">
        <v>481</v>
      </c>
      <c r="I66" t="s">
        <v>139</v>
      </c>
      <c r="J66" t="s">
        <v>140</v>
      </c>
      <c r="K66" t="s">
        <v>141</v>
      </c>
      <c r="L66" t="s">
        <v>142</v>
      </c>
      <c r="M66" t="s">
        <v>143</v>
      </c>
      <c r="N66" t="s">
        <v>144</v>
      </c>
      <c r="O66" s="2" t="s">
        <v>447</v>
      </c>
      <c r="P66" t="s">
        <v>137</v>
      </c>
    </row>
    <row r="67" spans="2:16" x14ac:dyDescent="0.2">
      <c r="B67" s="2" t="s">
        <v>444</v>
      </c>
      <c r="E67" t="s">
        <v>145</v>
      </c>
      <c r="F67" t="s">
        <v>131</v>
      </c>
      <c r="G67" s="41" t="s">
        <v>484</v>
      </c>
      <c r="H67" s="41" t="s">
        <v>482</v>
      </c>
      <c r="I67" t="s">
        <v>146</v>
      </c>
      <c r="J67" t="s">
        <v>140</v>
      </c>
      <c r="K67" t="s">
        <v>147</v>
      </c>
      <c r="L67" t="s">
        <v>142</v>
      </c>
      <c r="M67" t="s">
        <v>143</v>
      </c>
      <c r="N67" t="s">
        <v>144</v>
      </c>
      <c r="O67" s="2" t="s">
        <v>445</v>
      </c>
      <c r="P67" t="s">
        <v>137</v>
      </c>
    </row>
    <row r="68" spans="2:16" x14ac:dyDescent="0.2">
      <c r="B68" s="2" t="s">
        <v>442</v>
      </c>
      <c r="E68" t="s">
        <v>148</v>
      </c>
      <c r="F68" t="s">
        <v>131</v>
      </c>
      <c r="G68" s="41" t="s">
        <v>485</v>
      </c>
      <c r="H68" s="41" t="s">
        <v>483</v>
      </c>
      <c r="I68" t="s">
        <v>149</v>
      </c>
      <c r="J68" s="11" t="s">
        <v>140</v>
      </c>
      <c r="K68" t="s">
        <v>147</v>
      </c>
      <c r="L68" t="s">
        <v>150</v>
      </c>
      <c r="M68" t="s">
        <v>151</v>
      </c>
      <c r="N68" t="s">
        <v>144</v>
      </c>
      <c r="O68" s="2" t="s">
        <v>443</v>
      </c>
      <c r="P68" t="s">
        <v>137</v>
      </c>
    </row>
    <row r="69" spans="2:16" x14ac:dyDescent="0.2">
      <c r="B69" s="2" t="s">
        <v>440</v>
      </c>
      <c r="E69" t="s">
        <v>148</v>
      </c>
      <c r="F69" t="s">
        <v>152</v>
      </c>
      <c r="G69" s="41" t="s">
        <v>485</v>
      </c>
      <c r="H69" s="41" t="s">
        <v>483</v>
      </c>
      <c r="I69" t="s">
        <v>153</v>
      </c>
      <c r="J69" s="11" t="s">
        <v>140</v>
      </c>
      <c r="K69" t="s">
        <v>147</v>
      </c>
      <c r="L69" t="s">
        <v>150</v>
      </c>
      <c r="M69" t="s">
        <v>154</v>
      </c>
      <c r="N69" t="s">
        <v>144</v>
      </c>
      <c r="O69" s="2" t="s">
        <v>441</v>
      </c>
      <c r="P69" t="s">
        <v>155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156</v>
      </c>
      <c r="E73" t="s">
        <v>157</v>
      </c>
      <c r="F73" t="s">
        <v>61</v>
      </c>
      <c r="G73" t="s">
        <v>158</v>
      </c>
      <c r="H73" s="16" t="s">
        <v>159</v>
      </c>
      <c r="I73" t="s">
        <v>160</v>
      </c>
      <c r="J73" s="11" t="s">
        <v>161</v>
      </c>
      <c r="K73" t="s">
        <v>162</v>
      </c>
      <c r="L73" t="s">
        <v>163</v>
      </c>
      <c r="M73" t="s">
        <v>164</v>
      </c>
      <c r="N73" t="s">
        <v>165</v>
      </c>
      <c r="O73" t="s">
        <v>156</v>
      </c>
      <c r="P73" t="s">
        <v>41</v>
      </c>
    </row>
    <row r="74" spans="2:16" x14ac:dyDescent="0.2">
      <c r="B74" s="2" t="s">
        <v>166</v>
      </c>
      <c r="E74" t="s">
        <v>167</v>
      </c>
      <c r="F74" t="s">
        <v>61</v>
      </c>
      <c r="G74" t="s">
        <v>168</v>
      </c>
      <c r="H74" s="16" t="s">
        <v>169</v>
      </c>
      <c r="I74" t="s">
        <v>170</v>
      </c>
      <c r="J74" s="11" t="s">
        <v>171</v>
      </c>
      <c r="K74" t="s">
        <v>162</v>
      </c>
      <c r="L74" t="s">
        <v>172</v>
      </c>
      <c r="M74" t="s">
        <v>164</v>
      </c>
      <c r="N74" t="s">
        <v>165</v>
      </c>
      <c r="O74" t="s">
        <v>166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48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J14" sqref="J14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292</v>
      </c>
    </row>
    <row r="2" spans="1:17" x14ac:dyDescent="0.2">
      <c r="A2" t="s">
        <v>1</v>
      </c>
      <c r="B2" s="22" t="s">
        <v>189</v>
      </c>
    </row>
    <row r="3" spans="1:17" x14ac:dyDescent="0.2">
      <c r="A3" t="s">
        <v>2</v>
      </c>
      <c r="B3" s="22" t="s">
        <v>190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191</v>
      </c>
    </row>
    <row r="6" spans="1:17" ht="15" thickBot="1" x14ac:dyDescent="0.25"/>
    <row r="7" spans="1:17" ht="19.5" customHeight="1" thickTop="1" x14ac:dyDescent="0.2">
      <c r="F7" s="25" t="s">
        <v>192</v>
      </c>
      <c r="G7" s="26"/>
      <c r="H7" s="27"/>
      <c r="I7" s="37" t="s">
        <v>193</v>
      </c>
      <c r="J7" s="38"/>
      <c r="K7" s="38"/>
      <c r="L7" s="39"/>
      <c r="M7" s="31" t="s">
        <v>194</v>
      </c>
      <c r="N7" s="32"/>
      <c r="O7" s="35" t="s">
        <v>195</v>
      </c>
      <c r="P7" s="35" t="s">
        <v>282</v>
      </c>
      <c r="Q7" s="35" t="s">
        <v>206</v>
      </c>
    </row>
    <row r="8" spans="1:17" ht="19.5" customHeight="1" thickBot="1" x14ac:dyDescent="0.25">
      <c r="F8" s="28"/>
      <c r="G8" s="29"/>
      <c r="H8" s="30"/>
      <c r="I8" s="37"/>
      <c r="J8" s="38"/>
      <c r="K8" s="38"/>
      <c r="L8" s="39"/>
      <c r="M8" s="33"/>
      <c r="N8" s="34"/>
      <c r="O8" s="36"/>
      <c r="P8" s="36"/>
      <c r="Q8" s="36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266</v>
      </c>
      <c r="D10" s="17" t="s">
        <v>267</v>
      </c>
      <c r="E10" s="17" t="s">
        <v>195</v>
      </c>
      <c r="F10" s="18" t="s">
        <v>18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200</v>
      </c>
      <c r="L10" s="19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/>
      </c>
      <c r="Q12" t="str" cm="1">
        <f t="array" ref="Q12">_xlfn.IFS(表1_53[[#This Row],[配件1]]="","",表1_53[[#This Row],[文本丨算力丨算力值]]&lt;&gt;"","算力")</f>
        <v/>
      </c>
    </row>
    <row r="13" spans="1:17" x14ac:dyDescent="0.2">
      <c r="B13" s="24" t="s">
        <v>299</v>
      </c>
      <c r="C13" s="24" t="s">
        <v>299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GV-N5060WF2-8GD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F14" t="str">
        <f>IF(表1_53[[#This Row],[配件1]]&lt;&gt;"",_xlfn.XLOOKUP(表1_53[[#This Row],[配件1]],显卡利益点对照表[型号],显卡利益点对照表[标题1],"ERROR"),"")</f>
        <v/>
      </c>
      <c r="G14" t="str">
        <f>IF(表1_53[[#This Row],[配件1]]&lt;&gt;"",_xlfn.XLOOKUP(表1_53[[#This Row],[配件1]],显卡利益点对照表[型号],显卡利益点对照表[标题2],"ERROR"),"")</f>
        <v/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4" t="str">
        <f>IF(表1_53[[#This Row],[配件1]]&lt;&gt;"",_xlfn.XLOOKUP(表1_53[[#This Row],[配件1]],显卡利益点对照表[型号],显卡利益点对照表[利益点1],"ERROR"),"")</f>
        <v/>
      </c>
      <c r="J14" t="str">
        <f>IF(表1_53[[#This Row],[配件1]]&lt;&gt;"",_xlfn.XLOOKUP(表1_53[[#This Row],[配件1]],显卡利益点对照表[型号],显卡利益点对照表[利益点2],"ERROR"),"")</f>
        <v/>
      </c>
      <c r="K14" t="str">
        <f>IF(表1_53[[#This Row],[配件1]]&lt;&gt;"",_xlfn.XLOOKUP(表1_53[[#This Row],[配件1]],显卡利益点对照表[型号],显卡利益点对照表[利益点3],"ERROR"),"")</f>
        <v/>
      </c>
      <c r="L14" t="str">
        <f>IF(表1_53[[#This Row],[配件1]]&lt;&gt;"",_xlfn.XLOOKUP(表1_53[[#This Row],[配件1]],显卡利益点对照表[型号],显卡利益点对照表[算力],"ERROR"),"")</f>
        <v/>
      </c>
      <c r="M14" t="str">
        <f>IF(表1_53[[#This Row],[配件1]]&lt;&gt;"",_xlfn.XLOOKUP(表1_53[[#This Row],[配件1]],显卡利益点对照表[型号],显卡利益点对照表[可显性],"ERROR"),"")</f>
        <v/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/>
      </c>
      <c r="Q14" t="str" cm="1">
        <f t="array" ref="Q14">_xlfn.IFS(表1_53[[#This Row],[配件1]]="","",表1_53[[#This Row],[文本丨算力丨算力值]]&lt;&gt;"","算力")</f>
        <v/>
      </c>
    </row>
    <row r="15" spans="1:17" x14ac:dyDescent="0.2">
      <c r="F15" t="str">
        <f>IF(表1_53[[#This Row],[配件1]]&lt;&gt;"",_xlfn.XLOOKUP(表1_53[[#This Row],[配件1]],显卡利益点对照表[型号],显卡利益点对照表[标题1],"ERROR"),"")</f>
        <v/>
      </c>
      <c r="G15" t="str">
        <f>IF(表1_53[[#This Row],[配件1]]&lt;&gt;"",_xlfn.XLOOKUP(表1_53[[#This Row],[配件1]],显卡利益点对照表[型号],显卡利益点对照表[标题2],"ERROR"),"")</f>
        <v/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5" t="str">
        <f>IF(表1_53[[#This Row],[配件1]]&lt;&gt;"",_xlfn.XLOOKUP(表1_53[[#This Row],[配件1]],显卡利益点对照表[型号],显卡利益点对照表[利益点1],"ERROR"),"")</f>
        <v/>
      </c>
      <c r="J15" t="str">
        <f>IF(表1_53[[#This Row],[配件1]]&lt;&gt;"",_xlfn.XLOOKUP(表1_53[[#This Row],[配件1]],显卡利益点对照表[型号],显卡利益点对照表[利益点2],"ERROR"),"")</f>
        <v/>
      </c>
      <c r="K15" t="str">
        <f>IF(表1_53[[#This Row],[配件1]]&lt;&gt;"",_xlfn.XLOOKUP(表1_53[[#This Row],[配件1]],显卡利益点对照表[型号],显卡利益点对照表[利益点3],"ERROR"),"")</f>
        <v/>
      </c>
      <c r="L15" t="str">
        <f>IF(表1_53[[#This Row],[配件1]]&lt;&gt;"",_xlfn.XLOOKUP(表1_53[[#This Row],[配件1]],显卡利益点对照表[型号],显卡利益点对照表[算力],"ERROR"),"")</f>
        <v/>
      </c>
      <c r="M15" t="str">
        <f>IF(表1_53[[#This Row],[配件1]]&lt;&gt;"",_xlfn.XLOOKUP(表1_53[[#This Row],[配件1]],显卡利益点对照表[型号],显卡利益点对照表[可显性],"ERROR"),"")</f>
        <v/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Row],[配件1]]&lt;&gt;"",_xlfn.XLOOKUP(表1_53[[#This Row],[配件1]],显卡利益点对照表[型号],显卡利益点对照表[LOGO],"ERROR"),"")</f>
        <v/>
      </c>
      <c r="Q15" t="str" cm="1">
        <f t="array" ref="Q15">_xlfn.IFS(表1_53[[#This Row],[配件1]]="","",表1_53[[#This Row],[文本丨算力丨算力值]]&lt;&gt;"","算力")</f>
        <v/>
      </c>
    </row>
    <row r="16" spans="1:17" x14ac:dyDescent="0.2">
      <c r="F16" t="str">
        <f>IF(表1_53[[#This Row],[配件1]]&lt;&gt;"",_xlfn.XLOOKUP(表1_53[[#This Row],[配件1]],显卡利益点对照表[型号],显卡利益点对照表[标题1],"ERROR"),"")</f>
        <v/>
      </c>
      <c r="G16" t="str">
        <f>IF(表1_53[[#This Row],[配件1]]&lt;&gt;"",_xlfn.XLOOKUP(表1_53[[#This Row],[配件1]],显卡利益点对照表[型号],显卡利益点对照表[标题2],"ERROR"),"")</f>
        <v/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6" t="str">
        <f>IF(表1_53[[#This Row],[配件1]]&lt;&gt;"",_xlfn.XLOOKUP(表1_53[[#This Row],[配件1]],显卡利益点对照表[型号],显卡利益点对照表[利益点1],"ERROR"),"")</f>
        <v/>
      </c>
      <c r="J16" t="str">
        <f>IF(表1_53[[#This Row],[配件1]]&lt;&gt;"",_xlfn.XLOOKUP(表1_53[[#This Row],[配件1]],显卡利益点对照表[型号],显卡利益点对照表[利益点2],"ERROR"),"")</f>
        <v/>
      </c>
      <c r="K16" t="str">
        <f>IF(表1_53[[#This Row],[配件1]]&lt;&gt;"",_xlfn.XLOOKUP(表1_53[[#This Row],[配件1]],显卡利益点对照表[型号],显卡利益点对照表[利益点3],"ERROR"),"")</f>
        <v/>
      </c>
      <c r="L16" t="str">
        <f>IF(表1_53[[#This Row],[配件1]]&lt;&gt;"",_xlfn.XLOOKUP(表1_53[[#This Row],[配件1]],显卡利益点对照表[型号],显卡利益点对照表[算力],"ERROR"),"")</f>
        <v/>
      </c>
      <c r="M16" t="str">
        <f>IF(表1_53[[#This Row],[配件1]]&lt;&gt;"",_xlfn.XLOOKUP(表1_53[[#This Row],[配件1]],显卡利益点对照表[型号],显卡利益点对照表[可显性],"ERROR"),"")</f>
        <v/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/>
      </c>
      <c r="Q16" t="str" cm="1">
        <f t="array" ref="Q16">_xlfn.IFS(表1_53[[#This Row],[配件1]]="","",表1_53[[#This Row],[文本丨算力丨算力值]]&lt;&gt;"","算力")</f>
        <v/>
      </c>
    </row>
    <row r="17" spans="2:17" x14ac:dyDescent="0.2">
      <c r="F17" t="str">
        <f>IF(表1_53[[#This Row],[配件1]]&lt;&gt;"",_xlfn.XLOOKUP(表1_53[[#This Row],[配件1]],显卡利益点对照表[型号],显卡利益点对照表[标题1],"ERROR"),"")</f>
        <v/>
      </c>
      <c r="G17" t="str">
        <f>IF(表1_53[[#This Row],[配件1]]&lt;&gt;"",_xlfn.XLOOKUP(表1_53[[#This Row],[配件1]],显卡利益点对照表[型号],显卡利益点对照表[标题2],"ERROR"),"")</f>
        <v/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7" t="str">
        <f>IF(表1_53[[#This Row],[配件1]]&lt;&gt;"",_xlfn.XLOOKUP(表1_53[[#This Row],[配件1]],显卡利益点对照表[型号],显卡利益点对照表[利益点1],"ERROR"),"")</f>
        <v/>
      </c>
      <c r="J17" t="str">
        <f>IF(表1_53[[#This Row],[配件1]]&lt;&gt;"",_xlfn.XLOOKUP(表1_53[[#This Row],[配件1]],显卡利益点对照表[型号],显卡利益点对照表[利益点2],"ERROR"),"")</f>
        <v/>
      </c>
      <c r="K17" t="str">
        <f>IF(表1_53[[#This Row],[配件1]]&lt;&gt;"",_xlfn.XLOOKUP(表1_53[[#This Row],[配件1]],显卡利益点对照表[型号],显卡利益点对照表[利益点3],"ERROR"),"")</f>
        <v/>
      </c>
      <c r="L17" t="str">
        <f>IF(表1_53[[#This Row],[配件1]]&lt;&gt;"",_xlfn.XLOOKUP(表1_53[[#This Row],[配件1]],显卡利益点对照表[型号],显卡利益点对照表[算力],"ERROR"),"")</f>
        <v/>
      </c>
      <c r="M17" t="str">
        <f>IF(表1_53[[#This Row],[配件1]]&lt;&gt;"",_xlfn.XLOOKUP(表1_53[[#This Row],[配件1]],显卡利益点对照表[型号],显卡利益点对照表[可显性],"ERROR"),"")</f>
        <v/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Row],[配件1]]&lt;&gt;"",_xlfn.XLOOKUP(表1_53[[#This Row],[配件1]],显卡利益点对照表[型号],显卡利益点对照表[LOGO],"ERROR"),"")</f>
        <v/>
      </c>
      <c r="Q17" t="str" cm="1">
        <f t="array" ref="Q17">_xlfn.IFS(表1_53[[#This Row],[配件1]]="","",表1_53[[#This Row],[文本丨算力丨算力值]]&lt;&gt;"","算力")</f>
        <v/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/>
      </c>
      <c r="Q18" t="str" cm="1">
        <f t="array" ref="Q18">_xlfn.IFS(表1_53[[#This Row],[配件1]]="","",表1_53[[#This Row],[文本丨算力丨算力值]]&lt;&gt;"","算力")</f>
        <v/>
      </c>
    </row>
    <row r="19" spans="2:17" x14ac:dyDescent="0.2">
      <c r="F19" t="str">
        <f>IF(表1_53[[#This Row],[配件1]]&lt;&gt;"",_xlfn.XLOOKUP(表1_53[[#This Row],[配件1]],显卡利益点对照表[型号],显卡利益点对照表[标题1],"ERROR"),"")</f>
        <v/>
      </c>
      <c r="G19" t="str">
        <f>IF(表1_53[[#This Row],[配件1]]&lt;&gt;"",_xlfn.XLOOKUP(表1_53[[#This Row],[配件1]],显卡利益点对照表[型号],显卡利益点对照表[标题2],"ERROR"),"")</f>
        <v/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9" t="str">
        <f>IF(表1_53[[#This Row],[配件1]]&lt;&gt;"",_xlfn.XLOOKUP(表1_53[[#This Row],[配件1]],显卡利益点对照表[型号],显卡利益点对照表[利益点1],"ERROR"),"")</f>
        <v/>
      </c>
      <c r="J19" t="str">
        <f>IF(表1_53[[#This Row],[配件1]]&lt;&gt;"",_xlfn.XLOOKUP(表1_53[[#This Row],[配件1]],显卡利益点对照表[型号],显卡利益点对照表[利益点2],"ERROR"),"")</f>
        <v/>
      </c>
      <c r="K19" t="str">
        <f>IF(表1_53[[#This Row],[配件1]]&lt;&gt;"",_xlfn.XLOOKUP(表1_53[[#This Row],[配件1]],显卡利益点对照表[型号],显卡利益点对照表[利益点3],"ERROR"),"")</f>
        <v/>
      </c>
      <c r="L19" t="str">
        <f>IF(表1_53[[#This Row],[配件1]]&lt;&gt;"",_xlfn.XLOOKUP(表1_53[[#This Row],[配件1]],显卡利益点对照表[型号],显卡利益点对照表[算力],"ERROR"),"")</f>
        <v/>
      </c>
      <c r="M19" t="str">
        <f>IF(表1_53[[#This Row],[配件1]]&lt;&gt;"",_xlfn.XLOOKUP(表1_53[[#This Row],[配件1]],显卡利益点对照表[型号],显卡利益点对照表[可显性],"ERROR"),"")</f>
        <v/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Row],[配件1]]&lt;&gt;"",_xlfn.XLOOKUP(表1_53[[#This Row],[配件1]],显卡利益点对照表[型号],显卡利益点对照表[LOGO],"ERROR"),"")</f>
        <v/>
      </c>
      <c r="Q19" t="str" cm="1">
        <f t="array" ref="Q19">_xlfn.IFS(表1_53[[#This Row],[配件1]]="","",表1_53[[#This Row],[文本丨算力丨算力值]]&lt;&gt;"","算力")</f>
        <v/>
      </c>
    </row>
    <row r="20" spans="2:17" x14ac:dyDescent="0.2">
      <c r="B20" s="22">
        <v>10148980474711</v>
      </c>
      <c r="C20" t="s">
        <v>269</v>
      </c>
      <c r="D20" t="s">
        <v>289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风魔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精巧双风扇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AI算力759 TOPS</v>
      </c>
      <c r="M20" t="str">
        <f>IF(表1_53[[#This Row],[配件1]]&lt;&gt;"",_xlfn.XLOOKUP(表1_53[[#This Row],[配件1]],显卡利益点对照表[型号],显卡利益点对照表[可显性],"ERROR"),"")</f>
        <v>GV-N506TWF2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2">
        <v>10148980474712</v>
      </c>
      <c r="C21" t="s">
        <v>269</v>
      </c>
      <c r="D21" t="s">
        <v>281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AI算力759 TOPS</v>
      </c>
      <c r="M21" t="str">
        <f>IF(表1_53[[#This Row],[配件1]]&lt;&gt;"",_xlfn.XLOOKUP(表1_53[[#This Row],[配件1]],显卡利益点对照表[型号],显卡利益点对照表[可显性],"ERROR"),"")</f>
        <v>GV-N506TWF2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2">
        <v>10076155580250</v>
      </c>
      <c r="C22" t="s">
        <v>278</v>
      </c>
      <c r="D22" t="s">
        <v>289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猎鹰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强化金属背板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AI算力759 TOPS</v>
      </c>
      <c r="M22" t="str">
        <f>IF(表1_53[[#This Row],[配件1]]&lt;&gt;"",_xlfn.XLOOKUP(表1_53[[#This Row],[配件1]],显卡利益点对照表[型号],显卡利益点对照表[可显性],"ERROR"),"")</f>
        <v>GV-N506TEAGLE OC-16GD</v>
      </c>
      <c r="N22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2">
        <v>10098325451766</v>
      </c>
      <c r="C23" t="s">
        <v>278</v>
      </c>
      <c r="D23" t="s">
        <v>281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强化金属背板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AI算力759 TOPS</v>
      </c>
      <c r="M23" t="str">
        <f>IF(表1_53[[#This Row],[配件1]]&lt;&gt;"",_xlfn.XLOOKUP(表1_53[[#This Row],[配件1]],显卡利益点对照表[型号],显卡利益点对照表[可显性],"ERROR"),"")</f>
        <v>GV-N506TEAGLE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2">
        <v>10148980474713</v>
      </c>
      <c r="C24" t="s">
        <v>277</v>
      </c>
      <c r="D24" t="s">
        <v>289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冰猎鹰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AI算力759 TOPS</v>
      </c>
      <c r="M24" t="str">
        <f>IF(表1_53[[#This Row],[配件1]]&lt;&gt;"",_xlfn.XLOOKUP(表1_53[[#This Row],[配件1]],显卡利益点对照表[型号],显卡利益点对照表[可显性],"ERROR"),"")</f>
        <v>GV-N506TEAGLE OC ICE-16GD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2">
        <v>10148980474714</v>
      </c>
      <c r="C25" t="s">
        <v>277</v>
      </c>
      <c r="D25" t="s">
        <v>210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冰猎鹰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AI算力759 TOPS</v>
      </c>
      <c r="M25" t="str">
        <f>IF(表1_53[[#This Row],[配件1]]&lt;&gt;"",_xlfn.XLOOKUP(表1_53[[#This Row],[配件1]],显卡利益点对照表[型号],显卡利益点对照表[可显性],"ERROR"),"")</f>
        <v>GV-N506TEAGLE OC ICE-16GD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2">
        <v>10076155580252</v>
      </c>
      <c r="C26" t="s">
        <v>274</v>
      </c>
      <c r="D26" t="s">
        <v>289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魔鹰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RGB滑动侧板</v>
      </c>
      <c r="K26" t="str">
        <f>IF(表1_53[[#This Row],[配件1]]&lt;&gt;"",_xlfn.XLOOKUP(表1_53[[#This Row],[配件1]],显卡利益点对照表[型号],显卡利益点对照表[利益点3],"ERROR"),"")</f>
        <v>强化金属背板</v>
      </c>
      <c r="L26" t="str">
        <f>IF(表1_53[[#This Row],[配件1]]&lt;&gt;"",_xlfn.XLOOKUP(表1_53[[#This Row],[配件1]],显卡利益点对照表[型号],显卡利益点对照表[算力],"ERROR"),"")</f>
        <v>AI算力759 TOPS</v>
      </c>
      <c r="M26" t="str">
        <f>IF(表1_53[[#This Row],[配件1]]&lt;&gt;"",_xlfn.XLOOKUP(表1_53[[#This Row],[配件1]],显卡利益点对照表[型号],显卡利益点对照表[可显性],"ERROR"),"")</f>
        <v>GV-N506TGAMING OC-16GD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2">
        <v>10098325451768</v>
      </c>
      <c r="C27" t="s">
        <v>274</v>
      </c>
      <c r="D27" t="s">
        <v>281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魔鹰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RGB滑动侧板</v>
      </c>
      <c r="K27" t="str">
        <f>IF(表1_53[[#This Row],[配件1]]&lt;&gt;"",_xlfn.XLOOKUP(表1_53[[#This Row],[配件1]],显卡利益点对照表[型号],显卡利益点对照表[利益点3],"ERROR"),"")</f>
        <v>强化金属背板</v>
      </c>
      <c r="L27" t="str">
        <f>IF(表1_53[[#This Row],[配件1]]&lt;&gt;"",_xlfn.XLOOKUP(表1_53[[#This Row],[配件1]],显卡利益点对照表[型号],显卡利益点对照表[算力],"ERROR"),"")</f>
        <v>AI算力759 TOPS</v>
      </c>
      <c r="M27" t="str">
        <f>IF(表1_53[[#This Row],[配件1]]&lt;&gt;"",_xlfn.XLOOKUP(表1_53[[#This Row],[配件1]],显卡利益点对照表[型号],显卡利益点对照表[可显性],"ERROR"),"")</f>
        <v>GV-N506TGAMING OC-16GD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2">
        <v>10076155580254</v>
      </c>
      <c r="C28" t="s">
        <v>272</v>
      </c>
      <c r="D28" t="s">
        <v>289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雪鹰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银白雪装外观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 TOPS</v>
      </c>
      <c r="M28" t="str">
        <f>IF(表1_53[[#This Row],[配件1]]&lt;&gt;"",_xlfn.XLOOKUP(表1_53[[#This Row],[配件1]],显卡利益点对照表[型号],显卡利益点对照表[可显性],"ERROR"),"")</f>
        <v>GV-N506TAERO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2">
        <v>10098325451769</v>
      </c>
      <c r="C29" t="s">
        <v>272</v>
      </c>
      <c r="D29" t="s">
        <v>210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雪鹰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银白雪装外观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 TOPS</v>
      </c>
      <c r="M29" t="str">
        <f>IF(表1_53[[#This Row],[配件1]]&lt;&gt;"",_xlfn.XLOOKUP(表1_53[[#This Row],[配件1]],显卡利益点对照表[型号],显卡利益点对照表[可显性],"ERROR"),"")</f>
        <v>GV-N506TAERO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2">
        <v>10076155580248</v>
      </c>
      <c r="C30" t="s">
        <v>273</v>
      </c>
      <c r="D30" t="s">
        <v>289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风魔16G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精巧双风扇</v>
      </c>
      <c r="K30" t="str">
        <f>IF(表1_53[[#This Row],[配件1]]&lt;&gt;"",_xlfn.XLOOKUP(表1_53[[#This Row],[配件1]],显卡利益点对照表[型号],显卡利益点对照表[利益点3],"ERROR"),"")</f>
        <v>16G超大显存</v>
      </c>
      <c r="L30" t="str">
        <f>IF(表1_53[[#This Row],[配件1]]&lt;&gt;"",_xlfn.XLOOKUP(表1_53[[#This Row],[配件1]],显卡利益点对照表[型号],显卡利益点对照表[算力],"ERROR"),"")</f>
        <v>AI算力759 TOPS</v>
      </c>
      <c r="M30" t="str">
        <f>IF(表1_53[[#This Row],[配件1]]&lt;&gt;"",_xlfn.XLOOKUP(表1_53[[#This Row],[配件1]],显卡利益点对照表[型号],显卡利益点对照表[可显性],"ERROR"),"")</f>
        <v>GV-N506TWF2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2">
        <v>10098325451770</v>
      </c>
      <c r="C31" t="s">
        <v>273</v>
      </c>
      <c r="D31" t="s">
        <v>281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风魔16G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16G超大显存</v>
      </c>
      <c r="L31" t="str">
        <f>IF(表1_53[[#This Row],[配件1]]&lt;&gt;"",_xlfn.XLOOKUP(表1_53[[#This Row],[配件1]],显卡利益点对照表[型号],显卡利益点对照表[算力],"ERROR"),"")</f>
        <v>AI算力759 TOPS</v>
      </c>
      <c r="M31" t="str">
        <f>IF(表1_53[[#This Row],[配件1]]&lt;&gt;"",_xlfn.XLOOKUP(表1_53[[#This Row],[配件1]],显卡利益点对照表[型号],显卡利益点对照表[可显性],"ERROR"),"")</f>
        <v>GV-N506TWF2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2">
        <v>10148977887434</v>
      </c>
      <c r="C32" t="s">
        <v>280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猎鹰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强化金属背板</v>
      </c>
      <c r="K32" t="str">
        <f>IF(表1_53[[#This Row],[配件1]]&lt;&gt;"",_xlfn.XLOOKUP(表1_53[[#This Row],[配件1]],显卡利益点对照表[型号],显卡利益点对照表[利益点3],"ERROR"),"")</f>
        <v>16G超大显存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GV-N506TEAGLE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2">
        <v>10148977887435</v>
      </c>
      <c r="C33" t="s">
        <v>280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猎鹰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强化金属背板</v>
      </c>
      <c r="K33" t="str">
        <f>IF(表1_53[[#This Row],[配件1]]&lt;&gt;"",_xlfn.XLOOKUP(表1_53[[#This Row],[配件1]],显卡利益点对照表[型号],显卡利益点对照表[利益点3],"ERROR"),"")</f>
        <v>16G超大显存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GV-N506TEAGLE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  <row r="34" spans="2:17" x14ac:dyDescent="0.2">
      <c r="B34" s="22">
        <v>10148977887436</v>
      </c>
      <c r="C34" t="s">
        <v>276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冰猎鹰 16G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16G超大显存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 ICE-16GD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Row],[配件1]]&lt;&gt;"",_xlfn.XLOOKUP(表1_53[[#This Row],[配件1]],显卡利益点对照表[型号],显卡利益点对照表[LOGO],"ERROR"),"")</f>
        <v>DLSS 4</v>
      </c>
      <c r="Q34" t="str" cm="1">
        <f t="array" ref="Q34">_xlfn.IFS(表1_53[[#This Row],[配件1]]="","",表1_53[[#This Row],[文本丨算力丨算力值]]&lt;&gt;"","算力")</f>
        <v>算力</v>
      </c>
    </row>
    <row r="35" spans="2:17" x14ac:dyDescent="0.2">
      <c r="B35" s="22">
        <v>10148977887437</v>
      </c>
      <c r="C35" t="s">
        <v>276</v>
      </c>
      <c r="D35" t="s">
        <v>210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冰猎鹰 16G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16G超大显存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 ICE-16GD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5" t="str">
        <f>IF(表1_53[[#This Row],[配件1]]&lt;&gt;"",_xlfn.XLOOKUP(表1_53[[#This Row],[配件1]],显卡利益点对照表[型号],显卡利益点对照表[LOGO],"ERROR"),"")</f>
        <v>DLSS 4</v>
      </c>
      <c r="Q35" t="str" cm="1">
        <f t="array" ref="Q35">_xlfn.IFS(表1_53[[#This Row],[配件1]]="","",表1_53[[#This Row],[文本丨算力丨算力值]]&lt;&gt;"","算力")</f>
        <v>算力</v>
      </c>
    </row>
    <row r="36" spans="2:17" x14ac:dyDescent="0.2">
      <c r="B36" s="22">
        <v>10080978603165</v>
      </c>
      <c r="C36" t="s">
        <v>275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魔鹰 16G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RGB滑动侧板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GV-N506TGAMING OC-16GD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Row],[配件1]]&lt;&gt;"",_xlfn.XLOOKUP(表1_53[[#This Row],[配件1]],显卡利益点对照表[型号],显卡利益点对照表[LOGO],"ERROR"),"")</f>
        <v>DLSS 4</v>
      </c>
      <c r="Q36" t="str" cm="1">
        <f t="array" ref="Q36">_xlfn.IFS(表1_53[[#This Row],[配件1]]="","",表1_53[[#This Row],[文本丨算力丨算力值]]&lt;&gt;"","算力")</f>
        <v>算力</v>
      </c>
    </row>
    <row r="37" spans="2:17" x14ac:dyDescent="0.2">
      <c r="B37" s="22">
        <v>10098325451771</v>
      </c>
      <c r="C37" t="s">
        <v>275</v>
      </c>
      <c r="D37" t="s">
        <v>281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魔鹰 16G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RGB滑动侧板</v>
      </c>
      <c r="K37" t="str">
        <f>IF(表1_53[[#This Row],[配件1]]&lt;&gt;"",_xlfn.XLOOKUP(表1_53[[#This Row],[配件1]],显卡利益点对照表[型号],显卡利益点对照表[利益点3],"ERROR"),"")</f>
        <v>强化金属背板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GV-N506TGAMING OC-16GD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7" t="str">
        <f>IF(表1_53[[#This Row],[配件1]]&lt;&gt;"",_xlfn.XLOOKUP(表1_53[[#This Row],[配件1]],显卡利益点对照表[型号],显卡利益点对照表[LOGO],"ERROR"),"")</f>
        <v>DLSS 4</v>
      </c>
      <c r="Q37" t="str" cm="1">
        <f t="array" ref="Q37">_xlfn.IFS(表1_53[[#This Row],[配件1]]="","",表1_53[[#This Row],[文本丨算力丨算力值]]&lt;&gt;"","算力")</f>
        <v>算力</v>
      </c>
    </row>
    <row r="38" spans="2:17" x14ac:dyDescent="0.2">
      <c r="B38" s="22">
        <v>10080978603167</v>
      </c>
      <c r="C38" t="s">
        <v>271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雪鹰 16G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银白雪装外观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GV-N506TAERO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Row],[配件1]]&lt;&gt;"",_xlfn.XLOOKUP(表1_53[[#This Row],[配件1]],显卡利益点对照表[型号],显卡利益点对照表[LOGO],"ERROR"),"")</f>
        <v>DLSS 4</v>
      </c>
      <c r="Q38" t="str" cm="1">
        <f t="array" ref="Q38">_xlfn.IFS(表1_53[[#This Row],[配件1]]="","",表1_53[[#This Row],[文本丨算力丨算力值]]&lt;&gt;"","算力")</f>
        <v>算力</v>
      </c>
    </row>
    <row r="39" spans="2:17" x14ac:dyDescent="0.2">
      <c r="B39" s="22">
        <v>10148973357244</v>
      </c>
      <c r="C39" t="s">
        <v>271</v>
      </c>
      <c r="D39" t="s">
        <v>210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雪鹰 16G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银白雪装外观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GV-N506TAERO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9" t="str">
        <f>IF(表1_53[[#This Row],[配件1]]&lt;&gt;"",_xlfn.XLOOKUP(表1_53[[#This Row],[配件1]],显卡利益点对照表[型号],显卡利益点对照表[LOGO],"ERROR"),"")</f>
        <v>DLSS 4</v>
      </c>
      <c r="Q39" t="str" cm="1">
        <f t="array" ref="Q39">_xlfn.IFS(表1_53[[#This Row],[配件1]]="","",表1_53[[#This Row],[文本丨算力丨算力值]]&lt;&gt;"","算力")</f>
        <v>算力</v>
      </c>
    </row>
    <row r="40" spans="2:17" x14ac:dyDescent="0.2">
      <c r="B40" s="22">
        <v>10076155580256</v>
      </c>
      <c r="C40" t="s">
        <v>270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小雕 16G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40" t="str">
        <f>IF(表1_53[[#This Row],[配件1]]&lt;&gt;"",_xlfn.XLOOKUP(表1_53[[#This Row],[配件1]],显卡利益点对照表[型号],显卡利益点对照表[利益点1],"ERROR"),"")</f>
        <v>注册4年保/个人送保丨25</v>
      </c>
      <c r="J40" t="str">
        <f>IF(表1_53[[#This Row],[配件1]]&lt;&gt;"",_xlfn.XLOOKUP(表1_53[[#This Row],[配件1]],显卡利益点对照表[型号],显卡利益点对照表[利益点2],"ERROR"),"")</f>
        <v>RGB幻彩光轮</v>
      </c>
      <c r="K40" t="str">
        <f>IF(表1_53[[#This Row],[配件1]]&lt;&gt;"",_xlfn.XLOOKUP(表1_53[[#This Row],[配件1]],显卡利益点对照表[型号],显卡利益点对照表[利益点3],"ERROR"),"")</f>
        <v>五重高效散热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GV-N506TAORUS E-16GD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Row],[配件1]]&lt;&gt;"",_xlfn.XLOOKUP(表1_53[[#This Row],[配件1]],显卡利益点对照表[型号],显卡利益点对照表[LOGO],"ERROR"),"")</f>
        <v>DLSS 4</v>
      </c>
      <c r="Q40" t="str" cm="1">
        <f t="array" ref="Q40">_xlfn.IFS(表1_53[[#This Row],[配件1]]="","",表1_53[[#This Row],[文本丨算力丨算力值]]&lt;&gt;"","算力")</f>
        <v>算力</v>
      </c>
    </row>
    <row r="41" spans="2:17" x14ac:dyDescent="0.2">
      <c r="B41" s="22">
        <v>10148973357245</v>
      </c>
      <c r="C41" t="s">
        <v>270</v>
      </c>
      <c r="D41" t="s">
        <v>281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小雕 16G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注册4年保/个人送保丨25</v>
      </c>
      <c r="J41" t="str">
        <f>IF(表1_53[[#This Row],[配件1]]&lt;&gt;"",_xlfn.XLOOKUP(表1_53[[#This Row],[配件1]],显卡利益点对照表[型号],显卡利益点对照表[利益点2],"ERROR"),"")</f>
        <v>RGB幻彩光轮</v>
      </c>
      <c r="K41" t="str">
        <f>IF(表1_53[[#This Row],[配件1]]&lt;&gt;"",_xlfn.XLOOKUP(表1_53[[#This Row],[配件1]],显卡利益点对照表[型号],显卡利益点对照表[利益点3],"ERROR"),"")</f>
        <v>五重高效散热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GV-N506TAORUS E-16GD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Row],[配件1]]&lt;&gt;"",_xlfn.XLOOKUP(表1_53[[#This Row],[配件1]],显卡利益点对照表[型号],显卡利益点对照表[LOGO],"ERROR"),"")</f>
        <v>DLSS 4</v>
      </c>
      <c r="Q41" t="str" cm="1">
        <f t="array" ref="Q41">_xlfn.IFS(表1_53[[#This Row],[配件1]]="","",表1_53[[#This Row],[文本丨算力丨算力值]]&lt;&gt;"","算力")</f>
        <v>算力</v>
      </c>
    </row>
    <row r="42" spans="2:17" x14ac:dyDescent="0.2">
      <c r="F42" t="str">
        <f>IF(表1_53[[#This Row],[配件1]]&lt;&gt;"",_xlfn.XLOOKUP(表1_53[[#This Row],[配件1]],显卡利益点对照表[型号],显卡利益点对照表[标题1],"ERROR"),"")</f>
        <v/>
      </c>
      <c r="G42" t="str">
        <f>IF(表1_53[[#This Row],[配件1]]&lt;&gt;"",_xlfn.XLOOKUP(表1_53[[#This Row],[配件1]],显卡利益点对照表[型号],显卡利益点对照表[标题2],"ERROR"),"")</f>
        <v/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2" t="str">
        <f>IF(表1_53[[#This Row],[配件1]]&lt;&gt;"",_xlfn.XLOOKUP(表1_53[[#This Row],[配件1]],显卡利益点对照表[型号],显卡利益点对照表[利益点1],"ERROR"),"")</f>
        <v/>
      </c>
      <c r="J42" t="str">
        <f>IF(表1_53[[#This Row],[配件1]]&lt;&gt;"",_xlfn.XLOOKUP(表1_53[[#This Row],[配件1]],显卡利益点对照表[型号],显卡利益点对照表[利益点2],"ERROR"),"")</f>
        <v/>
      </c>
      <c r="K42" t="str">
        <f>IF(表1_53[[#This Row],[配件1]]&lt;&gt;"",_xlfn.XLOOKUP(表1_53[[#This Row],[配件1]],显卡利益点对照表[型号],显卡利益点对照表[利益点3],"ERROR"),"")</f>
        <v/>
      </c>
      <c r="L42" t="str">
        <f>IF(表1_53[[#This Row],[配件1]]&lt;&gt;"",_xlfn.XLOOKUP(表1_53[[#This Row],[配件1]],显卡利益点对照表[型号],显卡利益点对照表[算力],"ERROR"),"")</f>
        <v/>
      </c>
      <c r="M42" t="str">
        <f>IF(表1_53[[#This Row],[配件1]]&lt;&gt;"",_xlfn.XLOOKUP(表1_53[[#This Row],[配件1]],显卡利益点对照表[型号],显卡利益点对照表[可显性],"ERROR"),"")</f>
        <v/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Row],[配件1]]&lt;&gt;"",_xlfn.XLOOKUP(表1_53[[#This Row],[配件1]],显卡利益点对照表[型号],显卡利益点对照表[LOGO],"ERROR"),"")</f>
        <v/>
      </c>
      <c r="Q42" t="str" cm="1">
        <f t="array" ref="Q42">_xlfn.IFS(表1_53[[#This Row],[配件1]]="","",表1_53[[#This Row],[文本丨算力丨算力值]]&lt;&gt;"","算力")</f>
        <v/>
      </c>
    </row>
    <row r="43" spans="2:17" x14ac:dyDescent="0.2">
      <c r="F43" t="str">
        <f>IF(表1_53[[#This Row],[配件1]]&lt;&gt;"",_xlfn.XLOOKUP(表1_53[[#This Row],[配件1]],显卡利益点对照表[型号],显卡利益点对照表[标题1],"ERROR"),"")</f>
        <v/>
      </c>
      <c r="G43" t="str">
        <f>IF(表1_53[[#This Row],[配件1]]&lt;&gt;"",_xlfn.XLOOKUP(表1_53[[#This Row],[配件1]],显卡利益点对照表[型号],显卡利益点对照表[标题2],"ERROR"),"")</f>
        <v/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3" t="str">
        <f>IF(表1_53[[#This Row],[配件1]]&lt;&gt;"",_xlfn.XLOOKUP(表1_53[[#This Row],[配件1]],显卡利益点对照表[型号],显卡利益点对照表[利益点1],"ERROR"),"")</f>
        <v/>
      </c>
      <c r="J43" t="str">
        <f>IF(表1_53[[#This Row],[配件1]]&lt;&gt;"",_xlfn.XLOOKUP(表1_53[[#This Row],[配件1]],显卡利益点对照表[型号],显卡利益点对照表[利益点2],"ERROR"),"")</f>
        <v/>
      </c>
      <c r="K43" t="str">
        <f>IF(表1_53[[#This Row],[配件1]]&lt;&gt;"",_xlfn.XLOOKUP(表1_53[[#This Row],[配件1]],显卡利益点对照表[型号],显卡利益点对照表[利益点3],"ERROR"),"")</f>
        <v/>
      </c>
      <c r="L43" t="str">
        <f>IF(表1_53[[#This Row],[配件1]]&lt;&gt;"",_xlfn.XLOOKUP(表1_53[[#This Row],[配件1]],显卡利益点对照表[型号],显卡利益点对照表[算力],"ERROR"),"")</f>
        <v/>
      </c>
      <c r="M43" t="str">
        <f>IF(表1_53[[#This Row],[配件1]]&lt;&gt;"",_xlfn.XLOOKUP(表1_53[[#This Row],[配件1]],显卡利益点对照表[型号],显卡利益点对照表[可显性],"ERROR"),"")</f>
        <v/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3" t="str">
        <f>IF(表1_53[[#This Row],[配件1]]&lt;&gt;"",_xlfn.XLOOKUP(表1_53[[#This Row],[配件1]],显卡利益点对照表[型号],显卡利益点对照表[LOGO],"ERROR"),"")</f>
        <v/>
      </c>
      <c r="Q43" t="str" cm="1">
        <f t="array" ref="Q43">_xlfn.IFS(表1_53[[#This Row],[配件1]]="","",表1_53[[#This Row],[文本丨算力丨算力值]]&lt;&gt;"","算力")</f>
        <v/>
      </c>
    </row>
    <row r="44" spans="2:17" x14ac:dyDescent="0.2">
      <c r="F44" t="str">
        <f>IF(表1_53[[#This Row],[配件1]]&lt;&gt;"",_xlfn.XLOOKUP(表1_53[[#This Row],[配件1]],显卡利益点对照表[型号],显卡利益点对照表[标题1],"ERROR"),"")</f>
        <v/>
      </c>
      <c r="G44" t="str">
        <f>IF(表1_53[[#This Row],[配件1]]&lt;&gt;"",_xlfn.XLOOKUP(表1_53[[#This Row],[配件1]],显卡利益点对照表[型号],显卡利益点对照表[标题2],"ERROR"),"")</f>
        <v/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4" t="str">
        <f>IF(表1_53[[#This Row],[配件1]]&lt;&gt;"",_xlfn.XLOOKUP(表1_53[[#This Row],[配件1]],显卡利益点对照表[型号],显卡利益点对照表[利益点1],"ERROR"),"")</f>
        <v/>
      </c>
      <c r="J44" t="str">
        <f>IF(表1_53[[#This Row],[配件1]]&lt;&gt;"",_xlfn.XLOOKUP(表1_53[[#This Row],[配件1]],显卡利益点对照表[型号],显卡利益点对照表[利益点2],"ERROR"),"")</f>
        <v/>
      </c>
      <c r="K44" t="str">
        <f>IF(表1_53[[#This Row],[配件1]]&lt;&gt;"",_xlfn.XLOOKUP(表1_53[[#This Row],[配件1]],显卡利益点对照表[型号],显卡利益点对照表[利益点3],"ERROR"),"")</f>
        <v/>
      </c>
      <c r="L44" t="str">
        <f>IF(表1_53[[#This Row],[配件1]]&lt;&gt;"",_xlfn.XLOOKUP(表1_53[[#This Row],[配件1]],显卡利益点对照表[型号],显卡利益点对照表[算力],"ERROR"),"")</f>
        <v/>
      </c>
      <c r="M44" t="str">
        <f>IF(表1_53[[#This Row],[配件1]]&lt;&gt;"",_xlfn.XLOOKUP(表1_53[[#This Row],[配件1]],显卡利益点对照表[型号],显卡利益点对照表[可显性],"ERROR"),"")</f>
        <v/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Row],[配件1]]&lt;&gt;"",_xlfn.XLOOKUP(表1_53[[#This Row],[配件1]],显卡利益点对照表[型号],显卡利益点对照表[LOGO],"ERROR"),"")</f>
        <v/>
      </c>
      <c r="Q44" t="str" cm="1">
        <f t="array" ref="Q44">_xlfn.IFS(表1_53[[#This Row],[配件1]]="","",表1_53[[#This Row],[文本丨算力丨算力值]]&lt;&gt;"","算力")</f>
        <v/>
      </c>
    </row>
    <row r="45" spans="2:17" x14ac:dyDescent="0.2">
      <c r="F45" t="str">
        <f>IF(表1_53[[#This Row],[配件1]]&lt;&gt;"",_xlfn.XLOOKUP(表1_53[[#This Row],[配件1]],显卡利益点对照表[型号],显卡利益点对照表[标题1],"ERROR"),"")</f>
        <v/>
      </c>
      <c r="G45" t="str">
        <f>IF(表1_53[[#This Row],[配件1]]&lt;&gt;"",_xlfn.XLOOKUP(表1_53[[#This Row],[配件1]],显卡利益点对照表[型号],显卡利益点对照表[标题2],"ERROR"),"")</f>
        <v/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5" t="str">
        <f>IF(表1_53[[#This Row],[配件1]]&lt;&gt;"",_xlfn.XLOOKUP(表1_53[[#This Row],[配件1]],显卡利益点对照表[型号],显卡利益点对照表[利益点1],"ERROR"),"")</f>
        <v/>
      </c>
      <c r="J45" t="str">
        <f>IF(表1_53[[#This Row],[配件1]]&lt;&gt;"",_xlfn.XLOOKUP(表1_53[[#This Row],[配件1]],显卡利益点对照表[型号],显卡利益点对照表[利益点2],"ERROR"),"")</f>
        <v/>
      </c>
      <c r="K45" t="str">
        <f>IF(表1_53[[#This Row],[配件1]]&lt;&gt;"",_xlfn.XLOOKUP(表1_53[[#This Row],[配件1]],显卡利益点对照表[型号],显卡利益点对照表[利益点3],"ERROR"),"")</f>
        <v/>
      </c>
      <c r="L45" t="str">
        <f>IF(表1_53[[#This Row],[配件1]]&lt;&gt;"",_xlfn.XLOOKUP(表1_53[[#This Row],[配件1]],显卡利益点对照表[型号],显卡利益点对照表[算力],"ERROR"),"")</f>
        <v/>
      </c>
      <c r="M45" t="str">
        <f>IF(表1_53[[#This Row],[配件1]]&lt;&gt;"",_xlfn.XLOOKUP(表1_53[[#This Row],[配件1]],显卡利益点对照表[型号],显卡利益点对照表[可显性],"ERROR"),"")</f>
        <v/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5" t="str">
        <f>IF(表1_53[[#This Row],[配件1]]&lt;&gt;"",_xlfn.XLOOKUP(表1_53[[#This Row],[配件1]],显卡利益点对照表[型号],显卡利益点对照表[LOGO],"ERROR"),"")</f>
        <v/>
      </c>
      <c r="Q45" t="str" cm="1">
        <f t="array" ref="Q45">_xlfn.IFS(表1_53[[#This Row],[配件1]]="","",表1_53[[#This Row],[文本丨算力丨算力值]]&lt;&gt;"","算力")</f>
        <v/>
      </c>
    </row>
    <row r="46" spans="2:17" x14ac:dyDescent="0.2">
      <c r="F46" t="str">
        <f>IF(表1_53[[#This Row],[配件1]]&lt;&gt;"",_xlfn.XLOOKUP(表1_53[[#This Row],[配件1]],显卡利益点对照表[型号],显卡利益点对照表[标题1],"ERROR"),"")</f>
        <v/>
      </c>
      <c r="G46" t="str">
        <f>IF(表1_53[[#This Row],[配件1]]&lt;&gt;"",_xlfn.XLOOKUP(表1_53[[#This Row],[配件1]],显卡利益点对照表[型号],显卡利益点对照表[标题2],"ERROR"),"")</f>
        <v/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6" t="str">
        <f>IF(表1_53[[#This Row],[配件1]]&lt;&gt;"",_xlfn.XLOOKUP(表1_53[[#This Row],[配件1]],显卡利益点对照表[型号],显卡利益点对照表[利益点1],"ERROR"),"")</f>
        <v/>
      </c>
      <c r="J46" t="str">
        <f>IF(表1_53[[#This Row],[配件1]]&lt;&gt;"",_xlfn.XLOOKUP(表1_53[[#This Row],[配件1]],显卡利益点对照表[型号],显卡利益点对照表[利益点2],"ERROR"),"")</f>
        <v/>
      </c>
      <c r="K46" t="str">
        <f>IF(表1_53[[#This Row],[配件1]]&lt;&gt;"",_xlfn.XLOOKUP(表1_53[[#This Row],[配件1]],显卡利益点对照表[型号],显卡利益点对照表[利益点3],"ERROR"),"")</f>
        <v/>
      </c>
      <c r="L46" t="str">
        <f>IF(表1_53[[#This Row],[配件1]]&lt;&gt;"",_xlfn.XLOOKUP(表1_53[[#This Row],[配件1]],显卡利益点对照表[型号],显卡利益点对照表[算力],"ERROR"),"")</f>
        <v/>
      </c>
      <c r="M46" t="str">
        <f>IF(表1_53[[#This Row],[配件1]]&lt;&gt;"",_xlfn.XLOOKUP(表1_53[[#This Row],[配件1]],显卡利益点对照表[型号],显卡利益点对照表[可显性],"ERROR"),"")</f>
        <v/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Row],[配件1]]&lt;&gt;"",_xlfn.XLOOKUP(表1_53[[#This Row],[配件1]],显卡利益点对照表[型号],显卡利益点对照表[LOGO],"ERROR"),"")</f>
        <v/>
      </c>
      <c r="Q46" t="str" cm="1">
        <f t="array" ref="Q46">_xlfn.IFS(表1_53[[#This Row],[配件1]]="","",表1_53[[#This Row],[文本丨算力丨算力值]]&lt;&gt;"","算力")</f>
        <v/>
      </c>
    </row>
    <row r="47" spans="2:17" x14ac:dyDescent="0.2">
      <c r="F47" t="str">
        <f>IF(表1_53[[#This Row],[配件1]]&lt;&gt;"",_xlfn.XLOOKUP(表1_53[[#This Row],[配件1]],显卡利益点对照表[型号],显卡利益点对照表[标题1],"ERROR"),"")</f>
        <v/>
      </c>
      <c r="G47" t="str">
        <f>IF(表1_53[[#This Row],[配件1]]&lt;&gt;"",_xlfn.XLOOKUP(表1_53[[#This Row],[配件1]],显卡利益点对照表[型号],显卡利益点对照表[标题2],"ERROR"),"")</f>
        <v/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7" t="str">
        <f>IF(表1_53[[#This Row],[配件1]]&lt;&gt;"",_xlfn.XLOOKUP(表1_53[[#This Row],[配件1]],显卡利益点对照表[型号],显卡利益点对照表[利益点1],"ERROR"),"")</f>
        <v/>
      </c>
      <c r="J47" t="str">
        <f>IF(表1_53[[#This Row],[配件1]]&lt;&gt;"",_xlfn.XLOOKUP(表1_53[[#This Row],[配件1]],显卡利益点对照表[型号],显卡利益点对照表[利益点2],"ERROR"),"")</f>
        <v/>
      </c>
      <c r="K47" t="str">
        <f>IF(表1_53[[#This Row],[配件1]]&lt;&gt;"",_xlfn.XLOOKUP(表1_53[[#This Row],[配件1]],显卡利益点对照表[型号],显卡利益点对照表[利益点3],"ERROR"),"")</f>
        <v/>
      </c>
      <c r="L47" t="str">
        <f>IF(表1_53[[#This Row],[配件1]]&lt;&gt;"",_xlfn.XLOOKUP(表1_53[[#This Row],[配件1]],显卡利益点对照表[型号],显卡利益点对照表[算力],"ERROR"),"")</f>
        <v/>
      </c>
      <c r="M47" t="str">
        <f>IF(表1_53[[#This Row],[配件1]]&lt;&gt;"",_xlfn.XLOOKUP(表1_53[[#This Row],[配件1]],显卡利益点对照表[型号],显卡利益点对照表[可显性],"ERROR"),"")</f>
        <v/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7" t="str">
        <f>IF(表1_53[[#This Row],[配件1]]&lt;&gt;"",_xlfn.XLOOKUP(表1_53[[#This Row],[配件1]],显卡利益点对照表[型号],显卡利益点对照表[LOGO],"ERROR"),"")</f>
        <v/>
      </c>
      <c r="Q47" t="str" cm="1">
        <f t="array" ref="Q47">_xlfn.IFS(表1_53[[#This Row],[配件1]]="","",表1_53[[#This Row],[文本丨算力丨算力值]]&lt;&gt;"","算力")</f>
        <v/>
      </c>
    </row>
    <row r="48" spans="2:17" x14ac:dyDescent="0.2">
      <c r="F48" t="str">
        <f>IF(表1_53[[#This Row],[配件1]]&lt;&gt;"",_xlfn.XLOOKUP(表1_53[[#This Row],[配件1]],显卡利益点对照表[型号],显卡利益点对照表[标题1],"ERROR"),"")</f>
        <v/>
      </c>
      <c r="G48" t="str">
        <f>IF(表1_53[[#This Row],[配件1]]&lt;&gt;"",_xlfn.XLOOKUP(表1_53[[#This Row],[配件1]],显卡利益点对照表[型号],显卡利益点对照表[标题2],"ERROR"),"")</f>
        <v/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8" t="str">
        <f>IF(表1_53[[#This Row],[配件1]]&lt;&gt;"",_xlfn.XLOOKUP(表1_53[[#This Row],[配件1]],显卡利益点对照表[型号],显卡利益点对照表[利益点1],"ERROR"),"")</f>
        <v/>
      </c>
      <c r="J48" t="str">
        <f>IF(表1_53[[#This Row],[配件1]]&lt;&gt;"",_xlfn.XLOOKUP(表1_53[[#This Row],[配件1]],显卡利益点对照表[型号],显卡利益点对照表[利益点2],"ERROR"),"")</f>
        <v/>
      </c>
      <c r="K48" t="str">
        <f>IF(表1_53[[#This Row],[配件1]]&lt;&gt;"",_xlfn.XLOOKUP(表1_53[[#This Row],[配件1]],显卡利益点对照表[型号],显卡利益点对照表[利益点3],"ERROR"),"")</f>
        <v/>
      </c>
      <c r="L48" t="str">
        <f>IF(表1_53[[#This Row],[配件1]]&lt;&gt;"",_xlfn.XLOOKUP(表1_53[[#This Row],[配件1]],显卡利益点对照表[型号],显卡利益点对照表[算力],"ERROR"),"")</f>
        <v/>
      </c>
      <c r="M48" t="str">
        <f>IF(表1_53[[#This Row],[配件1]]&lt;&gt;"",_xlfn.XLOOKUP(表1_53[[#This Row],[配件1]],显卡利益点对照表[型号],显卡利益点对照表[可显性],"ERROR"),"")</f>
        <v/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Row],[配件1]]&lt;&gt;"",_xlfn.XLOOKUP(表1_53[[#This Row],[配件1]],显卡利益点对照表[型号],显卡利益点对照表[LOGO],"ERROR"),"")</f>
        <v/>
      </c>
      <c r="Q48" t="str" cm="1">
        <f t="array" ref="Q48">_xlfn.IFS(表1_53[[#This Row],[配件1]]="","",表1_53[[#This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6"/>
  <sheetViews>
    <sheetView topLeftCell="A28" workbookViewId="0">
      <selection activeCell="G65" sqref="G65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301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299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300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298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296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295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297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294</v>
      </c>
      <c r="C16" t="s">
        <v>294</v>
      </c>
      <c r="D16" t="s">
        <v>335</v>
      </c>
      <c r="E16" t="s">
        <v>261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450</v>
      </c>
      <c r="C66" t="s">
        <v>446</v>
      </c>
      <c r="D66" t="s">
        <v>456</v>
      </c>
      <c r="E66" t="s">
        <v>383</v>
      </c>
      <c r="F66" t="s">
        <v>351</v>
      </c>
      <c r="G66" t="s">
        <v>358</v>
      </c>
      <c r="H66" t="s">
        <v>463</v>
      </c>
      <c r="I66" t="s">
        <v>464</v>
      </c>
      <c r="J66" t="s">
        <v>446</v>
      </c>
    </row>
    <row r="67" spans="2:10" x14ac:dyDescent="0.2">
      <c r="B67" t="s">
        <v>451</v>
      </c>
      <c r="C67" t="s">
        <v>444</v>
      </c>
      <c r="D67" t="s">
        <v>457</v>
      </c>
      <c r="E67" t="s">
        <v>460</v>
      </c>
      <c r="F67" t="s">
        <v>351</v>
      </c>
      <c r="G67" t="s">
        <v>358</v>
      </c>
      <c r="H67" t="s">
        <v>463</v>
      </c>
      <c r="I67" t="s">
        <v>464</v>
      </c>
      <c r="J67" t="s">
        <v>444</v>
      </c>
    </row>
    <row r="68" spans="2:10" x14ac:dyDescent="0.2">
      <c r="B68" t="s">
        <v>452</v>
      </c>
      <c r="C68" t="s">
        <v>442</v>
      </c>
      <c r="D68" t="s">
        <v>458</v>
      </c>
      <c r="E68" t="s">
        <v>460</v>
      </c>
      <c r="F68" t="s">
        <v>351</v>
      </c>
      <c r="G68" t="s">
        <v>358</v>
      </c>
      <c r="H68" t="s">
        <v>463</v>
      </c>
      <c r="I68" t="s">
        <v>464</v>
      </c>
      <c r="J68" t="s">
        <v>442</v>
      </c>
    </row>
    <row r="69" spans="2:10" x14ac:dyDescent="0.2">
      <c r="B69" t="s">
        <v>453</v>
      </c>
      <c r="C69" t="s">
        <v>440</v>
      </c>
      <c r="D69" t="s">
        <v>458</v>
      </c>
      <c r="E69" t="s">
        <v>462</v>
      </c>
      <c r="F69" t="s">
        <v>262</v>
      </c>
      <c r="G69" t="s">
        <v>465</v>
      </c>
      <c r="H69" t="s">
        <v>463</v>
      </c>
      <c r="I69" t="s">
        <v>216</v>
      </c>
      <c r="J69" t="s">
        <v>440</v>
      </c>
    </row>
    <row r="74" spans="2:10" x14ac:dyDescent="0.2">
      <c r="F74" t="s">
        <v>461</v>
      </c>
    </row>
    <row r="143" spans="2:4" x14ac:dyDescent="0.2">
      <c r="B143" t="s">
        <v>265</v>
      </c>
      <c r="C143" t="s">
        <v>236</v>
      </c>
      <c r="D143" t="s">
        <v>242</v>
      </c>
    </row>
    <row r="144" spans="2:4" x14ac:dyDescent="0.2">
      <c r="B144" t="s">
        <v>288</v>
      </c>
      <c r="C144" t="s">
        <v>204</v>
      </c>
      <c r="D144" t="s">
        <v>205</v>
      </c>
    </row>
    <row r="145" spans="2:4" x14ac:dyDescent="0.2">
      <c r="B145" t="s">
        <v>207</v>
      </c>
      <c r="C145" t="s">
        <v>204</v>
      </c>
      <c r="D145" t="s">
        <v>208</v>
      </c>
    </row>
    <row r="146" spans="2:4" x14ac:dyDescent="0.2">
      <c r="B146" t="s">
        <v>281</v>
      </c>
      <c r="C146" t="s">
        <v>209</v>
      </c>
      <c r="D146" t="s">
        <v>284</v>
      </c>
    </row>
    <row r="147" spans="2:4" x14ac:dyDescent="0.2">
      <c r="B147" t="s">
        <v>210</v>
      </c>
      <c r="C147" t="s">
        <v>209</v>
      </c>
      <c r="D147" t="s">
        <v>211</v>
      </c>
    </row>
    <row r="148" spans="2:4" x14ac:dyDescent="0.2">
      <c r="B148" t="s">
        <v>215</v>
      </c>
      <c r="C148" t="s">
        <v>214</v>
      </c>
      <c r="D148" t="s">
        <v>215</v>
      </c>
    </row>
    <row r="149" spans="2:4" x14ac:dyDescent="0.2">
      <c r="B149" t="s">
        <v>218</v>
      </c>
      <c r="C149" t="s">
        <v>219</v>
      </c>
      <c r="D149" t="s">
        <v>220</v>
      </c>
    </row>
    <row r="150" spans="2:4" x14ac:dyDescent="0.2">
      <c r="B150" t="s">
        <v>221</v>
      </c>
      <c r="C150" t="s">
        <v>219</v>
      </c>
      <c r="D150" t="s">
        <v>222</v>
      </c>
    </row>
    <row r="151" spans="2:4" x14ac:dyDescent="0.2">
      <c r="B151" t="s">
        <v>224</v>
      </c>
      <c r="C151" t="s">
        <v>214</v>
      </c>
      <c r="D151" t="s">
        <v>285</v>
      </c>
    </row>
    <row r="152" spans="2:4" x14ac:dyDescent="0.2">
      <c r="B152" t="s">
        <v>227</v>
      </c>
      <c r="C152" t="s">
        <v>228</v>
      </c>
      <c r="D152" t="s">
        <v>229</v>
      </c>
    </row>
    <row r="153" spans="2:4" x14ac:dyDescent="0.2">
      <c r="B153" t="s">
        <v>230</v>
      </c>
      <c r="C153" s="11" t="s">
        <v>291</v>
      </c>
      <c r="D153" t="s">
        <v>286</v>
      </c>
    </row>
    <row r="154" spans="2:4" x14ac:dyDescent="0.2">
      <c r="B154" t="s">
        <v>231</v>
      </c>
      <c r="C154" s="11" t="s">
        <v>291</v>
      </c>
      <c r="D154" t="s">
        <v>232</v>
      </c>
    </row>
    <row r="155" spans="2:4" x14ac:dyDescent="0.2">
      <c r="B155" t="s">
        <v>233</v>
      </c>
      <c r="C155" t="s">
        <v>209</v>
      </c>
      <c r="D155" t="s">
        <v>234</v>
      </c>
    </row>
    <row r="156" spans="2:4" x14ac:dyDescent="0.2">
      <c r="B156" t="s">
        <v>235</v>
      </c>
      <c r="C156" t="s">
        <v>219</v>
      </c>
      <c r="D156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2025-05-18T08:15:49Z</dcterms:modified>
</cp:coreProperties>
</file>