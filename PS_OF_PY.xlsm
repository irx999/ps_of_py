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3489C77F-ED9E-49C9-847D-41EEEAE83E44}" xr6:coauthVersionLast="47" xr6:coauthVersionMax="47" xr10:uidLastSave="{00000000-0000-0000-0000-000000000000}"/>
  <bookViews>
    <workbookView xWindow="38280" yWindow="-120" windowWidth="38640" windowHeight="21120" activeTab="1" xr2:uid="{00000000-000D-0000-FFFF-FFFF00000000}"/>
  </bookViews>
  <sheets>
    <sheet name="显卡参数新" sheetId="2" r:id="rId1"/>
    <sheet name="显卡" sheetId="3" r:id="rId2"/>
    <sheet name="利益点对照表" sheetId="1" r:id="rId3"/>
  </sheets>
  <externalReferences>
    <externalReference r:id="rId4"/>
  </externalReference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" l="1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Q11" i="3" a="1"/>
  <c r="Q11" i="3" s="1"/>
  <c r="Q12" i="3" a="1"/>
  <c r="Q12" i="3" s="1"/>
  <c r="Q13" i="3" a="1"/>
  <c r="Q13" i="3"/>
  <c r="Q14" i="3" a="1"/>
  <c r="Q14" i="3"/>
  <c r="Q15" i="3" a="1"/>
  <c r="Q15" i="3" s="1"/>
  <c r="Q16" i="3" a="1"/>
  <c r="Q16" i="3"/>
  <c r="Q17" i="3" a="1"/>
  <c r="Q17" i="3" s="1"/>
  <c r="Q18" i="3" a="1"/>
  <c r="Q18" i="3" s="1"/>
  <c r="Q19" i="3" a="1"/>
  <c r="Q19" i="3" s="1"/>
  <c r="Q20" i="3" a="1"/>
  <c r="Q20" i="3" s="1"/>
  <c r="Q21" i="3" a="1"/>
  <c r="Q21" i="3"/>
  <c r="Q22" i="3" a="1"/>
  <c r="Q22" i="3"/>
  <c r="Q23" i="3" a="1"/>
  <c r="Q23" i="3" s="1"/>
  <c r="Q24" i="3" a="1"/>
  <c r="Q24" i="3"/>
  <c r="Q25" i="3" a="1"/>
  <c r="Q25" i="3"/>
  <c r="Q26" i="3" a="1"/>
  <c r="Q26" i="3" s="1"/>
  <c r="Q27" i="3" a="1"/>
  <c r="Q27" i="3" s="1"/>
  <c r="Q28" i="3" a="1"/>
  <c r="Q28" i="3" s="1"/>
  <c r="Q29" i="3" a="1"/>
  <c r="Q29" i="3"/>
  <c r="Q30" i="3" a="1"/>
  <c r="Q30" i="3"/>
  <c r="Q31" i="3" a="1"/>
  <c r="Q31" i="3"/>
  <c r="Q32" i="3" a="1"/>
  <c r="Q32" i="3"/>
  <c r="Q33" i="3" a="1"/>
  <c r="Q33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M11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T35" i="2" l="1" a="1"/>
  <c r="T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<sst xmlns="http://schemas.openxmlformats.org/spreadsheetml/2006/main" count="836" uniqueCount="310">
  <si>
    <t>PSD路径</t>
  </si>
  <si>
    <t>PSD名称</t>
    <phoneticPr fontId="7" type="noConversion"/>
  </si>
  <si>
    <t>测试专用</t>
    <phoneticPr fontId="7" type="noConversion"/>
  </si>
  <si>
    <t>导出路径</t>
    <phoneticPr fontId="7" type="noConversion"/>
  </si>
  <si>
    <t>导出格式</t>
    <phoneticPr fontId="7" type="noConversion"/>
  </si>
  <si>
    <t>png</t>
    <phoneticPr fontId="7" type="noConversion"/>
  </si>
  <si>
    <t>文件名后缀</t>
    <phoneticPr fontId="7" type="noConversion"/>
  </si>
  <si>
    <t>AI 算力</t>
  </si>
  <si>
    <t>CUDA数量</t>
    <phoneticPr fontId="7" type="noConversion"/>
  </si>
  <si>
    <t>核心频率</t>
  </si>
  <si>
    <t>显存 大小/类型</t>
  </si>
  <si>
    <t>显存 速率/位宽</t>
  </si>
  <si>
    <t>建议电源</t>
    <phoneticPr fontId="7" type="noConversion"/>
  </si>
  <si>
    <t>显卡尺寸</t>
  </si>
  <si>
    <t>视频输出接口</t>
  </si>
  <si>
    <t>计算单元</t>
    <phoneticPr fontId="7" type="noConversion"/>
  </si>
  <si>
    <t>流处理器数量</t>
    <phoneticPr fontId="7" type="noConversion"/>
  </si>
  <si>
    <t>导出文件名</t>
  </si>
  <si>
    <t>备注2</t>
  </si>
  <si>
    <t>文本丨标题丨标题1</t>
    <phoneticPr fontId="7" type="noConversion"/>
  </si>
  <si>
    <t>文本丨标题丨标题2</t>
  </si>
  <si>
    <t>文本丨规格丨规格1</t>
    <phoneticPr fontId="7" type="noConversion"/>
  </si>
  <si>
    <t>文本丨规格丨规格2</t>
    <phoneticPr fontId="7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</si>
  <si>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</si>
  <si>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</si>
  <si>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</si>
  <si>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</si>
  <si>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</si>
  <si>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</si>
  <si>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7" type="noConversion"/>
  </si>
  <si>
    <t>可显性丨LOGO丨1</t>
    <phoneticPr fontId="7" type="noConversion"/>
  </si>
  <si>
    <t>可显性丨LOGO丨2</t>
    <phoneticPr fontId="7" type="noConversion"/>
  </si>
  <si>
    <t>RTX5060Ti 8G</t>
    <phoneticPr fontId="7" type="noConversion"/>
  </si>
  <si>
    <t>WF 风魔</t>
    <phoneticPr fontId="7" type="noConversion"/>
  </si>
  <si>
    <t>759 AI TOPS</t>
    <phoneticPr fontId="7" type="noConversion"/>
  </si>
  <si>
    <t>4608</t>
    <phoneticPr fontId="7" type="noConversion"/>
  </si>
  <si>
    <t>2572 MHz</t>
    <phoneticPr fontId="7" type="noConversion"/>
  </si>
  <si>
    <t>8GB / GDDR7</t>
    <phoneticPr fontId="7" type="noConversion"/>
  </si>
  <si>
    <t>28 Gbps /128bit</t>
    <phoneticPr fontId="7" type="noConversion"/>
  </si>
  <si>
    <t>8 pin*1 /650W</t>
    <phoneticPr fontId="7" type="noConversion"/>
  </si>
  <si>
    <t>208*120*40 mm</t>
    <phoneticPr fontId="7" type="noConversion"/>
  </si>
  <si>
    <t>DP2.1bx3+HDM2.1bx1</t>
    <phoneticPr fontId="7" type="noConversion"/>
  </si>
  <si>
    <t>N卡</t>
    <phoneticPr fontId="7" type="noConversion"/>
  </si>
  <si>
    <t>WF OC风魔</t>
    <phoneticPr fontId="7" type="noConversion"/>
  </si>
  <si>
    <t>2587 MHz</t>
    <phoneticPr fontId="7" type="noConversion"/>
  </si>
  <si>
    <t>EAGLE OC 猎鹰</t>
    <phoneticPr fontId="7" type="noConversion"/>
  </si>
  <si>
    <t>2617 MHz</t>
    <phoneticPr fontId="7" type="noConversion"/>
  </si>
  <si>
    <t>215*122*40 mm</t>
    <phoneticPr fontId="7" type="noConversion"/>
  </si>
  <si>
    <t>EAGLE ICE OC 冰猎鹰</t>
    <phoneticPr fontId="7" type="noConversion"/>
  </si>
  <si>
    <t>GAMING OC 魔鹰</t>
    <phoneticPr fontId="7" type="noConversion"/>
  </si>
  <si>
    <t>2647 MHz</t>
    <phoneticPr fontId="7" type="noConversion"/>
  </si>
  <si>
    <t>281*119*40 mm</t>
    <phoneticPr fontId="7" type="noConversion"/>
  </si>
  <si>
    <t>AERO OC 雪鹰</t>
    <phoneticPr fontId="7" type="noConversion"/>
  </si>
  <si>
    <t>281*117*40 mm</t>
    <phoneticPr fontId="7" type="noConversion"/>
  </si>
  <si>
    <t>RTX5060Ti 16G</t>
    <phoneticPr fontId="7" type="noConversion"/>
  </si>
  <si>
    <t>16GB / GDDR7</t>
    <phoneticPr fontId="7" type="noConversion"/>
  </si>
  <si>
    <t>AERO OC 魔鹰</t>
    <phoneticPr fontId="7" type="noConversion"/>
  </si>
  <si>
    <t>AORUS E 小雕</t>
    <phoneticPr fontId="7" type="noConversion"/>
  </si>
  <si>
    <t>2722 MHz</t>
    <phoneticPr fontId="7" type="noConversion"/>
  </si>
  <si>
    <t>329*128*41 mm</t>
    <phoneticPr fontId="7" type="noConversion"/>
  </si>
  <si>
    <t>5070 WF3OC-12GD风魔</t>
  </si>
  <si>
    <t>RTX5070 12G</t>
  </si>
  <si>
    <t>WF3 OC 风魔</t>
    <phoneticPr fontId="7" type="noConversion"/>
  </si>
  <si>
    <t>988 Al TOPS</t>
  </si>
  <si>
    <t>2542 MHz</t>
  </si>
  <si>
    <t>12GB / GDDR7</t>
  </si>
  <si>
    <t>28 Gbps /192bit</t>
  </si>
  <si>
    <t>16 pin*1 /750W</t>
    <phoneticPr fontId="7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</si>
  <si>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</si>
  <si>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</si>
  <si>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</si>
  <si>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</si>
  <si>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</si>
  <si>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</si>
  <si>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</si>
  <si>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</si>
  <si>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</si>
  <si>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</si>
  <si>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</si>
  <si>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</si>
  <si>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</si>
  <si>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</si>
  <si>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</si>
  <si>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</si>
  <si>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317436*64 mm</t>
  </si>
  <si>
    <t>5070Ti WF3OC-16GD风魔</t>
  </si>
  <si>
    <t>RTX5070Ti 16G</t>
    <phoneticPr fontId="7" type="noConversion"/>
  </si>
  <si>
    <t>1406 AI TOPS</t>
    <phoneticPr fontId="7" type="noConversion"/>
  </si>
  <si>
    <t>8960</t>
    <phoneticPr fontId="7" type="noConversion"/>
  </si>
  <si>
    <t>2497 MHz </t>
  </si>
  <si>
    <t>28 Gbps /256bit</t>
    <phoneticPr fontId="7" type="noConversion"/>
  </si>
  <si>
    <t>304*126*50 mm</t>
    <phoneticPr fontId="7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</si>
  <si>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</si>
  <si>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</si>
  <si>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</si>
  <si>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</si>
  <si>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</si>
  <si>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7" type="noConversion"/>
  </si>
  <si>
    <t>5070Ti AERO OC-16GD雪鹰</t>
  </si>
  <si>
    <t>5070Ti AORUS M-16GD超级雕</t>
  </si>
  <si>
    <t>2670 MHz</t>
  </si>
  <si>
    <t>360*150*75 mm</t>
    <phoneticPr fontId="7" type="noConversion"/>
  </si>
  <si>
    <t>5080 WF3OC-16GD 风魔</t>
  </si>
  <si>
    <t>RTX5080 16G</t>
    <phoneticPr fontId="7" type="noConversion"/>
  </si>
  <si>
    <t>1801 AI TOPS</t>
    <phoneticPr fontId="7" type="noConversion"/>
  </si>
  <si>
    <t>10752</t>
    <phoneticPr fontId="7" type="noConversion"/>
  </si>
  <si>
    <t>2670 MHz</t>
    <phoneticPr fontId="7" type="noConversion"/>
  </si>
  <si>
    <t>30 Gbps /256bit</t>
    <phoneticPr fontId="7" type="noConversion"/>
  </si>
  <si>
    <t>16 pin*1 /850W</t>
    <phoneticPr fontId="7" type="noConversion"/>
  </si>
  <si>
    <t>5080 GAMING OC-16GD 魔鹰</t>
  </si>
  <si>
    <t>2730 MHz</t>
    <phoneticPr fontId="7" type="noConversion"/>
  </si>
  <si>
    <t>5080 AERO OC-16GD 雪鹰</t>
  </si>
  <si>
    <t>5080 AORUS M-16GD 超级雕</t>
  </si>
  <si>
    <t>2805 MHz</t>
    <phoneticPr fontId="7" type="noConversion"/>
  </si>
  <si>
    <t>5080 AORUSM ICE-16GD 超级雕白</t>
  </si>
  <si>
    <t>AORUS M ICE 超级雕白</t>
    <phoneticPr fontId="7" type="noConversion"/>
  </si>
  <si>
    <t>5080 AORUSX W-16GD 一体水雕</t>
  </si>
  <si>
    <t>AORUS X W 一体水雕</t>
  </si>
  <si>
    <t>220*130*40不含冷排</t>
    <phoneticPr fontId="7" type="noConversion"/>
  </si>
  <si>
    <t>5090D WF3OC-32GD 风魔</t>
    <phoneticPr fontId="7" type="noConversion"/>
  </si>
  <si>
    <t>RTX5090D 32G</t>
    <phoneticPr fontId="7" type="noConversion"/>
  </si>
  <si>
    <t>2375 AI TOPS</t>
    <phoneticPr fontId="7" type="noConversion"/>
  </si>
  <si>
    <t>21760</t>
    <phoneticPr fontId="7" type="noConversion"/>
  </si>
  <si>
    <t>2467 MHz</t>
    <phoneticPr fontId="7" type="noConversion"/>
  </si>
  <si>
    <t>32GB / GDDR7</t>
    <phoneticPr fontId="7" type="noConversion"/>
  </si>
  <si>
    <t>28 Gbps /512bit</t>
    <phoneticPr fontId="7" type="noConversion"/>
  </si>
  <si>
    <t>16 pin*1 /1000W</t>
    <phoneticPr fontId="7" type="noConversion"/>
  </si>
  <si>
    <t>342*150*65 mm</t>
    <phoneticPr fontId="7" type="noConversion"/>
  </si>
  <si>
    <t>5090D WF3OC-32GD 风魔2</t>
    <phoneticPr fontId="7" type="noConversion"/>
  </si>
  <si>
    <t>5090D WF3OC-32GD 风魔3</t>
    <phoneticPr fontId="7" type="noConversion"/>
  </si>
  <si>
    <t>5090D GAMING-32GD 魔鹰</t>
  </si>
  <si>
    <t>2550 MHz</t>
    <phoneticPr fontId="7" type="noConversion"/>
  </si>
  <si>
    <t>342*152*70 mm</t>
    <phoneticPr fontId="7" type="noConversion"/>
  </si>
  <si>
    <t>5090D AORUS M-32GD 超级雕</t>
  </si>
  <si>
    <t>2655 MHz</t>
    <phoneticPr fontId="7" type="noConversion"/>
  </si>
  <si>
    <t>5090D AORUSM ICE-32GD 超级雕白</t>
  </si>
  <si>
    <t>RX 7650 GRE GAMING OC-8G魔鹰</t>
    <phoneticPr fontId="7" type="noConversion"/>
  </si>
  <si>
    <t>RX7650GRE 8G</t>
  </si>
  <si>
    <t>GAMING OC魔鹰</t>
  </si>
  <si>
    <t>TBD</t>
  </si>
  <si>
    <t>8GB / GDDR6</t>
  </si>
  <si>
    <t>18 Gbps /128bit</t>
  </si>
  <si>
    <t>8 pin*l /600W</t>
  </si>
  <si>
    <t>282*115*50 mm</t>
  </si>
  <si>
    <t>DP1.4a*2+HDMI2.1a*2</t>
    <phoneticPr fontId="7" type="noConversion"/>
  </si>
  <si>
    <t>A卡</t>
    <phoneticPr fontId="7" type="noConversion"/>
  </si>
  <si>
    <t>RX 9070 GRE GAMING OC-12G魔鹰</t>
    <phoneticPr fontId="7" type="noConversion"/>
  </si>
  <si>
    <t>RX9070 GRE 12G</t>
    <phoneticPr fontId="7" type="noConversion"/>
  </si>
  <si>
    <t>2920 MHz</t>
    <phoneticPr fontId="7" type="noConversion"/>
  </si>
  <si>
    <t>16GB / GDDR6</t>
  </si>
  <si>
    <t>18 Gbps /192bit</t>
    <phoneticPr fontId="7" type="noConversion"/>
  </si>
  <si>
    <t>8 pin*2 /750W</t>
  </si>
  <si>
    <t>288*132*50 mm</t>
  </si>
  <si>
    <t>DP2.1a*2+HDMI2.1b*2</t>
    <phoneticPr fontId="7" type="noConversion"/>
  </si>
  <si>
    <t>RX 9070 GAMING OC-16G魔鹰</t>
    <phoneticPr fontId="7" type="noConversion"/>
  </si>
  <si>
    <t>RX9070 16G</t>
  </si>
  <si>
    <t>2700 MHz</t>
  </si>
  <si>
    <t>20 Gbps /256bit</t>
  </si>
  <si>
    <t>RX 9070XT GAMING OC-16G魔鹰</t>
    <phoneticPr fontId="7" type="noConversion"/>
  </si>
  <si>
    <t>RX9070 XT 16G</t>
  </si>
  <si>
    <t>3060 MHz</t>
  </si>
  <si>
    <t>8 pin*3 /850W</t>
  </si>
  <si>
    <t>288*132*56 mm</t>
  </si>
  <si>
    <t>RX 9070XT AORUS E-16G小雕</t>
    <phoneticPr fontId="7" type="noConversion"/>
  </si>
  <si>
    <t>AORUS ELITE小雕</t>
    <phoneticPr fontId="7" type="noConversion"/>
  </si>
  <si>
    <t>3100 MHz</t>
  </si>
  <si>
    <t>339*136*59 mm</t>
  </si>
  <si>
    <t>A卡+4年</t>
    <phoneticPr fontId="7" type="noConversion"/>
  </si>
  <si>
    <t>4070 WF3OC-12GD 风魔V2</t>
  </si>
  <si>
    <t>RTX 4070 12G</t>
    <phoneticPr fontId="7" type="noConversion"/>
  </si>
  <si>
    <t>446 AI TOPS</t>
    <phoneticPr fontId="7" type="noConversion"/>
  </si>
  <si>
    <t>5888</t>
    <phoneticPr fontId="7" type="noConversion"/>
  </si>
  <si>
    <t>2490 MHz</t>
    <phoneticPr fontId="7" type="noConversion"/>
  </si>
  <si>
    <t>12G / GDDR6</t>
    <phoneticPr fontId="7" type="noConversion"/>
  </si>
  <si>
    <t>21 Gbps /192 bit</t>
    <phoneticPr fontId="7" type="noConversion"/>
  </si>
  <si>
    <t>8pin *1 / 650W</t>
    <phoneticPr fontId="7" type="noConversion"/>
  </si>
  <si>
    <t>261*126*50 mm</t>
    <phoneticPr fontId="7" type="noConversion"/>
  </si>
  <si>
    <t>DP1.4a * 3+HDM2.1ax1</t>
    <phoneticPr fontId="7" type="noConversion"/>
  </si>
  <si>
    <t>4070S WF3OC-12GD 风魔</t>
    <phoneticPr fontId="7" type="noConversion"/>
  </si>
  <si>
    <t>RTX 4070 Super 12G丨40</t>
    <phoneticPr fontId="7" type="noConversion"/>
  </si>
  <si>
    <t>568 AI TOPS</t>
    <phoneticPr fontId="7" type="noConversion"/>
  </si>
  <si>
    <t>7168</t>
    <phoneticPr fontId="7" type="noConversion"/>
  </si>
  <si>
    <t>2505 MHz</t>
    <phoneticPr fontId="7" type="noConversion"/>
  </si>
  <si>
    <t>12G / GDDR6X</t>
    <phoneticPr fontId="7" type="noConversion"/>
  </si>
  <si>
    <t>8pin *1 / 750W</t>
    <phoneticPr fontId="7" type="noConversion"/>
  </si>
  <si>
    <t>参数</t>
    <phoneticPr fontId="7" type="noConversion"/>
  </si>
  <si>
    <t>列1</t>
  </si>
  <si>
    <t>N卡NO OC</t>
    <phoneticPr fontId="7" type="noConversion"/>
  </si>
  <si>
    <t>GV-N506TWF2 OC-16GD</t>
  </si>
  <si>
    <t>GV-N506TWF2 OC-16GD</t>
    <phoneticPr fontId="7" type="noConversion"/>
  </si>
  <si>
    <t>GV-N506TEAGLE OC-16GD</t>
  </si>
  <si>
    <t>GV-N506TEAGLE OC-16GD</t>
    <phoneticPr fontId="7" type="noConversion"/>
  </si>
  <si>
    <t>GV-N506TEAGLE OC ICE-16GD</t>
  </si>
  <si>
    <t>GV-N506TEAGLE OC ICE-16GD</t>
    <phoneticPr fontId="7" type="noConversion"/>
  </si>
  <si>
    <t>GV-N506TGAMING OC-16GD</t>
  </si>
  <si>
    <t>GV-N506TGAMING OC-16GD</t>
    <phoneticPr fontId="7" type="noConversion"/>
  </si>
  <si>
    <t>GV-N506TAERO OC-16GD</t>
  </si>
  <si>
    <t>GV-N506TAORUS E-16GD</t>
  </si>
  <si>
    <t>GV-N506TAERO OC-16GD</t>
    <phoneticPr fontId="7" type="noConversion"/>
  </si>
  <si>
    <t>GV-N506TAORUS E-16GD</t>
    <phoneticPr fontId="7" type="noConversion"/>
  </si>
  <si>
    <t>PSD路径</t>
    <phoneticPr fontId="7" type="noConversion"/>
  </si>
  <si>
    <t>显卡日常版本</t>
    <phoneticPr fontId="7" type="noConversion"/>
  </si>
  <si>
    <t>主图</t>
    <phoneticPr fontId="7" type="noConversion"/>
  </si>
  <si>
    <t>（1）</t>
    <phoneticPr fontId="7" type="noConversion"/>
  </si>
  <si>
    <t>标题</t>
    <phoneticPr fontId="7" type="noConversion"/>
  </si>
  <si>
    <t>利益点</t>
    <phoneticPr fontId="7" type="noConversion"/>
  </si>
  <si>
    <t>产品图片</t>
    <phoneticPr fontId="7" type="noConversion"/>
  </si>
  <si>
    <t>免息</t>
    <phoneticPr fontId="7" type="noConversion"/>
  </si>
  <si>
    <t>文本丨标题丨标题2</t>
    <phoneticPr fontId="7" type="noConversion"/>
  </si>
  <si>
    <t>文本丨标题丨标题3</t>
    <phoneticPr fontId="7" type="noConversion"/>
  </si>
  <si>
    <t>文本丨利益点丨利益点1</t>
    <phoneticPr fontId="7" type="noConversion"/>
  </si>
  <si>
    <t>文本丨利益点丨利益点2</t>
    <phoneticPr fontId="7" type="noConversion"/>
  </si>
  <si>
    <t>文本丨利益点丨利益点3</t>
    <phoneticPr fontId="7" type="noConversion"/>
  </si>
  <si>
    <t>可显性丨显卡丨</t>
    <phoneticPr fontId="7" type="noConversion"/>
  </si>
  <si>
    <t>可显性丨电源丨</t>
    <phoneticPr fontId="7" type="noConversion"/>
  </si>
  <si>
    <t>可显性丨LOGO丨</t>
    <phoneticPr fontId="7" type="noConversion"/>
  </si>
  <si>
    <t>+550W电源</t>
  </si>
  <si>
    <t>斗战550S</t>
  </si>
  <si>
    <t>算力</t>
    <phoneticPr fontId="7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</si>
  <si>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</si>
  <si>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</si>
  <si>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</si>
  <si>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</si>
  <si>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</si>
  <si>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</si>
  <si>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</si>
  <si>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</si>
  <si>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</si>
  <si>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</si>
  <si>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</si>
  <si>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</si>
  <si>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</si>
  <si>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</si>
  <si>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</si>
  <si>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</si>
  <si>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</si>
  <si>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</si>
  <si>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</si>
  <si>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</si>
  <si>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</si>
  <si>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</si>
  <si>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</si>
  <si>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</si>
  <si>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</si>
  <si>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</si>
  <si>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</si>
  <si>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</si>
  <si>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</si>
  <si>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7" type="noConversion"/>
  </si>
  <si>
    <t>标题2</t>
    <phoneticPr fontId="7" type="noConversion"/>
  </si>
  <si>
    <t>标题3</t>
    <phoneticPr fontId="7" type="noConversion"/>
  </si>
  <si>
    <t>利益点1</t>
    <phoneticPr fontId="7" type="noConversion"/>
  </si>
  <si>
    <t>利益点2</t>
    <phoneticPr fontId="7" type="noConversion"/>
  </si>
  <si>
    <t>利益点3</t>
    <phoneticPr fontId="7" type="noConversion"/>
  </si>
  <si>
    <t>可显性</t>
    <phoneticPr fontId="7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</si>
  <si>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</si>
  <si>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</si>
  <si>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</si>
  <si>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</si>
  <si>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</si>
  <si>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</si>
  <si>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</si>
  <si>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</si>
  <si>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</si>
  <si>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</si>
  <si>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</si>
  <si>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</si>
  <si>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</si>
  <si>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</si>
  <si>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</si>
  <si>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</si>
  <si>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</si>
  <si>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AERO 8G</t>
  </si>
  <si>
    <t>银白雪装外观</t>
  </si>
  <si>
    <t>AERO 16G</t>
  </si>
  <si>
    <t>小雕 16G</t>
  </si>
  <si>
    <t>AORUS ELITE</t>
  </si>
  <si>
    <t>注册4年保/个人送保丨25</t>
  </si>
  <si>
    <t>AI算力759TOPS</t>
  </si>
  <si>
    <t>LOGO</t>
    <phoneticPr fontId="7" type="noConversion"/>
  </si>
  <si>
    <t>型号</t>
    <phoneticPr fontId="7" type="noConversion"/>
  </si>
  <si>
    <t>配件1</t>
    <phoneticPr fontId="7" type="noConversion"/>
  </si>
  <si>
    <t>配件2</t>
    <phoneticPr fontId="7" type="noConversion"/>
  </si>
  <si>
    <t>技嘉型号</t>
    <phoneticPr fontId="7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</si>
  <si>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</si>
  <si>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</si>
  <si>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</si>
  <si>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</si>
  <si>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</si>
  <si>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</si>
  <si>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</si>
  <si>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</si>
  <si>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</si>
  <si>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</si>
  <si>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7" type="noConversion"/>
  </si>
  <si>
    <t>5060Ti EAGLE OC-16GD猎鹰</t>
  </si>
  <si>
    <t>P650SS 黑色(ATX3.1/银牌)</t>
  </si>
  <si>
    <t>标志</t>
    <phoneticPr fontId="7" type="noConversion"/>
  </si>
  <si>
    <t>可显性丨丨</t>
    <phoneticPr fontId="7" type="noConversion"/>
  </si>
  <si>
    <t>斗战650S</t>
  </si>
  <si>
    <t>航嘉 GX750W 白</t>
  </si>
  <si>
    <t>白金雕1000PG5</t>
  </si>
  <si>
    <t>UD850GM</t>
  </si>
  <si>
    <t>P550SS 黑色(ATX3.1/银牌)</t>
    <phoneticPr fontId="7" type="noConversion"/>
  </si>
  <si>
    <t>无</t>
    <phoneticPr fontId="7" type="noConversion"/>
  </si>
  <si>
    <t>强化金属背板</t>
    <phoneticPr fontId="7" type="noConversion"/>
  </si>
  <si>
    <t>+1000W铂金雕电源 丨32</t>
    <phoneticPr fontId="7" type="noConversion"/>
  </si>
  <si>
    <t>E:\WORK\工作相关\psd</t>
    <phoneticPr fontId="7" type="noConversion"/>
  </si>
  <si>
    <t>E:WORK\工作相关\psd</t>
    <phoneticPr fontId="7" type="noConversion"/>
  </si>
  <si>
    <t>文本丨算力丨算力值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</si>
</sst>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7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6">
    <xf numFmtId="0" fontId="0" fillId="0" borderId="0" xfId="0"/>
    <xf numFmtId="0" fontId="6" fillId="0" borderId="0" xfId="0" applyFont="1"/>
    <xf numFmtId="176" fontId="0" fillId="0" borderId="0" xfId="0" applyNumberFormat="1"/>
    <xf numFmtId="49" fontId="0" fillId="0" borderId="0" xfId="0" applyNumberFormat="1"/>
    <xf numFmtId="0" fontId="8" fillId="0" borderId="0" xfId="0" applyFont="1" applyAlignment="1">
      <alignment vertical="center"/>
    </xf>
    <xf numFmtId="49" fontId="8" fillId="0" borderId="0" xfId="0" applyNumberFormat="1" applyFont="1"/>
    <xf numFmtId="0" fontId="8" fillId="0" borderId="0" xfId="0" applyFont="1"/>
    <xf numFmtId="176" fontId="9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11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0" fontId="16" fillId="2" borderId="2" xfId="1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4" xfId="4" applyFont="1" applyBorder="1" applyAlignment="1">
      <alignment horizontal="center" vertical="center"/>
    </xf>
    <xf numFmtId="0" fontId="12" fillId="5" borderId="5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9" xfId="4" applyFont="1" applyBorder="1" applyAlignment="1">
      <alignment horizontal="center" vertical="center"/>
    </xf>
    <xf numFmtId="0" fontId="12" fillId="5" borderId="10" xfId="4" applyFont="1" applyBorder="1" applyAlignment="1">
      <alignment horizontal="center" vertical="center"/>
    </xf>
    <xf numFmtId="0" fontId="14" fillId="4" borderId="6" xfId="3" applyFont="1" applyBorder="1" applyAlignment="1">
      <alignment horizontal="center" vertical="center"/>
    </xf>
    <xf numFmtId="0" fontId="14" fillId="4" borderId="7" xfId="3" applyFont="1" applyBorder="1" applyAlignment="1">
      <alignment horizontal="center" vertical="center"/>
    </xf>
    <xf numFmtId="0" fontId="14" fillId="4" borderId="11" xfId="3" applyFont="1" applyBorder="1" applyAlignment="1">
      <alignment horizontal="center" vertical="center"/>
    </xf>
    <xf numFmtId="0" fontId="14" fillId="4" borderId="12" xfId="3" applyFont="1" applyBorder="1" applyAlignment="1">
      <alignment horizontal="center" vertical="center"/>
    </xf>
    <xf numFmtId="0" fontId="13" fillId="5" borderId="3" xfId="4" applyFont="1" applyBorder="1" applyAlignment="1">
      <alignment horizontal="center" vertical="center"/>
    </xf>
    <xf numFmtId="0" fontId="13" fillId="5" borderId="8" xfId="4" applyFont="1" applyBorder="1" applyAlignment="1">
      <alignment horizontal="center" vertical="center"/>
    </xf>
    <xf numFmtId="0" fontId="13" fillId="5" borderId="13" xfId="4" applyFont="1" applyBorder="1" applyAlignment="1">
      <alignment horizontal="center" vertical="center"/>
    </xf>
    <xf numFmtId="0" fontId="13" fillId="5" borderId="0" xfId="4" applyFont="1" applyBorder="1" applyAlignment="1">
      <alignment horizontal="center" vertical="center"/>
    </xf>
    <xf numFmtId="0" fontId="13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242984</xdr:colOff>
      <xdr:row>6</xdr:row>
      <xdr:rowOff>68036</xdr:rowOff>
    </xdr:from>
    <xdr:to>
      <xdr:col>1</xdr:col>
      <xdr:colOff>2420127</xdr:colOff>
      <xdr:row>7</xdr:row>
      <xdr:rowOff>252704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1078851" y="1176046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Git\ps_of_py\test.xlsm" TargetMode="External"/><Relationship Id="rId1" Type="http://schemas.openxmlformats.org/officeDocument/2006/relationships/externalLinkPath" Target="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主板"/>
      <sheetName val="显卡参数新"/>
      <sheetName val="显示器参数"/>
      <sheetName val="显卡"/>
      <sheetName val="刘波"/>
      <sheetName val="显卡参数"/>
      <sheetName val="主板参数"/>
      <sheetName val="显卡大促"/>
      <sheetName val="机电散大促"/>
      <sheetName val="名单"/>
      <sheetName val="透明图生成器"/>
      <sheetName val="Sheet1"/>
      <sheetName val="test"/>
    </sheetNames>
    <definedNames>
      <definedName name="按钮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0" totalsRowShown="0" headerRowDxfId="14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33" totalsRowShown="0">
  <autoFilter ref="B10:Q33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21" totalsRowShown="0">
  <autoFilter ref="B8:L21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28:D41" totalsRowShown="0">
  <autoFilter ref="B28:D41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24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E6" sqref="E6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308</v>
      </c>
    </row>
    <row r="2" spans="1:17" x14ac:dyDescent="0.2">
      <c r="A2" t="s">
        <v>1</v>
      </c>
      <c r="B2" s="2" t="s">
        <v>2</v>
      </c>
    </row>
    <row r="3" spans="1:17" x14ac:dyDescent="0.2">
      <c r="A3" t="s">
        <v>3</v>
      </c>
      <c r="B3" s="2" t="s">
        <v>2</v>
      </c>
    </row>
    <row r="4" spans="1:17" x14ac:dyDescent="0.2">
      <c r="A4" t="s">
        <v>4</v>
      </c>
      <c r="B4" s="2" t="s">
        <v>5</v>
      </c>
    </row>
    <row r="5" spans="1:17" x14ac:dyDescent="0.2">
      <c r="A5" t="s">
        <v>6</v>
      </c>
      <c r="B5" s="3" t="s">
        <v>185</v>
      </c>
    </row>
    <row r="7" spans="1:17" ht="23.25" x14ac:dyDescent="0.35">
      <c r="G7" s="4" t="s">
        <v>7</v>
      </c>
      <c r="H7" s="5" t="s">
        <v>8</v>
      </c>
      <c r="I7" s="4" t="s">
        <v>9</v>
      </c>
      <c r="J7" s="4" t="s">
        <v>10</v>
      </c>
      <c r="K7" s="4" t="s">
        <v>11</v>
      </c>
      <c r="L7" s="4" t="s">
        <v>12</v>
      </c>
      <c r="M7" s="4" t="s">
        <v>13</v>
      </c>
      <c r="N7" s="4" t="s">
        <v>14</v>
      </c>
    </row>
    <row r="8" spans="1:17" ht="23.25" x14ac:dyDescent="0.35">
      <c r="G8" s="6" t="s">
        <v>15</v>
      </c>
      <c r="H8" s="6" t="s">
        <v>16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17</v>
      </c>
      <c r="C10" t="s">
        <v>186</v>
      </c>
      <c r="D10" t="s">
        <v>18</v>
      </c>
      <c r="E10" s="8" t="s">
        <v>19</v>
      </c>
      <c r="F10" s="8" t="s">
        <v>20</v>
      </c>
      <c r="G10" s="8" t="s">
        <v>21</v>
      </c>
      <c r="H10" s="9" t="s">
        <v>22</v>
      </c>
      <c r="I10" s="8" t="s">
        <v>23</v>
      </c>
      <c r="J10" s="8" t="s">
        <v>24</v>
      </c>
      <c r="K10" s="8" t="s">
        <v>25</v>
      </c>
      <c r="L10" s="8" t="s">
        <v>26</v>
      </c>
      <c r="M10" s="8" t="s">
        <v>27</v>
      </c>
      <c r="N10" s="8" t="s">
        <v>28</v>
      </c>
      <c r="O10" s="10" t="s">
        <v>29</v>
      </c>
      <c r="P10" s="10" t="s">
        <v>30</v>
      </c>
      <c r="Q10" s="10" t="s">
        <v>31</v>
      </c>
    </row>
    <row r="11" spans="1:17" ht="8.25" customHeight="1" thickTop="1" x14ac:dyDescent="0.2"/>
    <row r="12" spans="1:17" x14ac:dyDescent="0.2">
      <c r="E12" t="s">
        <v>32</v>
      </c>
      <c r="F12" t="s">
        <v>33</v>
      </c>
      <c r="G12" t="s">
        <v>34</v>
      </c>
      <c r="H12" s="11" t="s">
        <v>35</v>
      </c>
      <c r="I12" t="s">
        <v>36</v>
      </c>
      <c r="J12" t="s">
        <v>37</v>
      </c>
      <c r="K12" t="s">
        <v>38</v>
      </c>
      <c r="L12" t="s">
        <v>39</v>
      </c>
      <c r="M12" t="s">
        <v>40</v>
      </c>
      <c r="N12" t="s">
        <v>41</v>
      </c>
      <c r="O12" t="s">
        <v>189</v>
      </c>
      <c r="P12" t="s">
        <v>187</v>
      </c>
    </row>
    <row r="13" spans="1:17" x14ac:dyDescent="0.2">
      <c r="E13" t="s">
        <v>32</v>
      </c>
      <c r="F13" t="s">
        <v>43</v>
      </c>
      <c r="G13" t="s">
        <v>34</v>
      </c>
      <c r="H13" s="11" t="s">
        <v>35</v>
      </c>
      <c r="I13" t="s">
        <v>44</v>
      </c>
      <c r="J13" t="s">
        <v>37</v>
      </c>
      <c r="K13" t="s">
        <v>38</v>
      </c>
      <c r="L13" t="s">
        <v>39</v>
      </c>
      <c r="M13" t="s">
        <v>40</v>
      </c>
      <c r="N13" t="s">
        <v>41</v>
      </c>
      <c r="O13" t="s">
        <v>189</v>
      </c>
      <c r="P13" t="s">
        <v>42</v>
      </c>
    </row>
    <row r="14" spans="1:17" x14ac:dyDescent="0.2">
      <c r="E14" t="s">
        <v>32</v>
      </c>
      <c r="F14" t="s">
        <v>45</v>
      </c>
      <c r="G14" t="s">
        <v>34</v>
      </c>
      <c r="H14" s="11" t="s">
        <v>35</v>
      </c>
      <c r="I14" t="s">
        <v>46</v>
      </c>
      <c r="J14" t="s">
        <v>37</v>
      </c>
      <c r="K14" t="s">
        <v>38</v>
      </c>
      <c r="L14" t="s">
        <v>39</v>
      </c>
      <c r="M14" t="s">
        <v>47</v>
      </c>
      <c r="N14" t="s">
        <v>41</v>
      </c>
      <c r="O14" t="s">
        <v>191</v>
      </c>
      <c r="P14" t="s">
        <v>42</v>
      </c>
    </row>
    <row r="15" spans="1:17" x14ac:dyDescent="0.2">
      <c r="E15" t="s">
        <v>32</v>
      </c>
      <c r="F15" t="s">
        <v>48</v>
      </c>
      <c r="G15" t="s">
        <v>34</v>
      </c>
      <c r="H15" s="11" t="s">
        <v>35</v>
      </c>
      <c r="I15" t="s">
        <v>46</v>
      </c>
      <c r="J15" t="s">
        <v>37</v>
      </c>
      <c r="K15" t="s">
        <v>38</v>
      </c>
      <c r="L15" t="s">
        <v>39</v>
      </c>
      <c r="M15" t="s">
        <v>47</v>
      </c>
      <c r="N15" t="s">
        <v>41</v>
      </c>
      <c r="O15" t="s">
        <v>193</v>
      </c>
      <c r="P15" t="s">
        <v>42</v>
      </c>
    </row>
    <row r="16" spans="1:17" x14ac:dyDescent="0.2">
      <c r="E16" t="s">
        <v>32</v>
      </c>
      <c r="F16" t="s">
        <v>49</v>
      </c>
      <c r="G16" t="s">
        <v>34</v>
      </c>
      <c r="H16" s="11" t="s">
        <v>35</v>
      </c>
      <c r="I16" t="s">
        <v>50</v>
      </c>
      <c r="J16" t="s">
        <v>37</v>
      </c>
      <c r="K16" t="s">
        <v>38</v>
      </c>
      <c r="L16" t="s">
        <v>39</v>
      </c>
      <c r="M16" t="s">
        <v>51</v>
      </c>
      <c r="N16" t="s">
        <v>41</v>
      </c>
      <c r="O16" t="s">
        <v>195</v>
      </c>
      <c r="P16" t="s">
        <v>42</v>
      </c>
    </row>
    <row r="17" spans="2:16" x14ac:dyDescent="0.2">
      <c r="E17" t="s">
        <v>32</v>
      </c>
      <c r="F17" t="s">
        <v>52</v>
      </c>
      <c r="G17" t="s">
        <v>34</v>
      </c>
      <c r="H17" s="11" t="s">
        <v>35</v>
      </c>
      <c r="I17" t="s">
        <v>50</v>
      </c>
      <c r="J17" t="s">
        <v>37</v>
      </c>
      <c r="K17" t="s">
        <v>38</v>
      </c>
      <c r="L17" t="s">
        <v>39</v>
      </c>
      <c r="M17" t="s">
        <v>53</v>
      </c>
      <c r="N17" t="s">
        <v>41</v>
      </c>
      <c r="O17" t="s">
        <v>198</v>
      </c>
      <c r="P17" t="s">
        <v>42</v>
      </c>
    </row>
    <row r="19" spans="2:16" x14ac:dyDescent="0.2">
      <c r="E19" t="s">
        <v>54</v>
      </c>
      <c r="F19" t="s">
        <v>33</v>
      </c>
      <c r="G19" t="s">
        <v>34</v>
      </c>
      <c r="H19" s="11" t="s">
        <v>35</v>
      </c>
      <c r="I19" t="s">
        <v>36</v>
      </c>
      <c r="J19" t="s">
        <v>55</v>
      </c>
      <c r="K19" t="s">
        <v>38</v>
      </c>
      <c r="L19" t="s">
        <v>39</v>
      </c>
      <c r="M19" t="s">
        <v>40</v>
      </c>
      <c r="N19" t="s">
        <v>41</v>
      </c>
      <c r="O19" t="s">
        <v>189</v>
      </c>
      <c r="P19" t="s">
        <v>187</v>
      </c>
    </row>
    <row r="20" spans="2:16" x14ac:dyDescent="0.2">
      <c r="E20" t="s">
        <v>54</v>
      </c>
      <c r="F20" t="s">
        <v>43</v>
      </c>
      <c r="G20" t="s">
        <v>34</v>
      </c>
      <c r="H20" s="11" t="s">
        <v>35</v>
      </c>
      <c r="I20" t="s">
        <v>44</v>
      </c>
      <c r="J20" t="s">
        <v>55</v>
      </c>
      <c r="K20" t="s">
        <v>38</v>
      </c>
      <c r="L20" t="s">
        <v>39</v>
      </c>
      <c r="M20" t="s">
        <v>40</v>
      </c>
      <c r="N20" t="s">
        <v>41</v>
      </c>
      <c r="O20" t="s">
        <v>189</v>
      </c>
      <c r="P20" t="s">
        <v>42</v>
      </c>
    </row>
    <row r="21" spans="2:16" x14ac:dyDescent="0.2">
      <c r="E21" t="s">
        <v>54</v>
      </c>
      <c r="F21" t="s">
        <v>45</v>
      </c>
      <c r="G21" t="s">
        <v>34</v>
      </c>
      <c r="H21" s="11" t="s">
        <v>35</v>
      </c>
      <c r="I21" t="s">
        <v>46</v>
      </c>
      <c r="J21" t="s">
        <v>55</v>
      </c>
      <c r="K21" t="s">
        <v>38</v>
      </c>
      <c r="L21" t="s">
        <v>39</v>
      </c>
      <c r="M21" t="s">
        <v>47</v>
      </c>
      <c r="N21" t="s">
        <v>41</v>
      </c>
      <c r="O21" t="s">
        <v>191</v>
      </c>
      <c r="P21" t="s">
        <v>42</v>
      </c>
    </row>
    <row r="22" spans="2:16" x14ac:dyDescent="0.2">
      <c r="E22" t="s">
        <v>54</v>
      </c>
      <c r="F22" t="s">
        <v>48</v>
      </c>
      <c r="G22" t="s">
        <v>34</v>
      </c>
      <c r="H22" s="11" t="s">
        <v>35</v>
      </c>
      <c r="I22" t="s">
        <v>46</v>
      </c>
      <c r="J22" t="s">
        <v>55</v>
      </c>
      <c r="K22" t="s">
        <v>38</v>
      </c>
      <c r="L22" t="s">
        <v>39</v>
      </c>
      <c r="M22" t="s">
        <v>47</v>
      </c>
      <c r="N22" t="s">
        <v>41</v>
      </c>
      <c r="O22" t="s">
        <v>193</v>
      </c>
      <c r="P22" t="s">
        <v>42</v>
      </c>
    </row>
    <row r="23" spans="2:16" x14ac:dyDescent="0.2">
      <c r="E23" t="s">
        <v>54</v>
      </c>
      <c r="F23" t="s">
        <v>49</v>
      </c>
      <c r="G23" t="s">
        <v>34</v>
      </c>
      <c r="H23" s="11" t="s">
        <v>35</v>
      </c>
      <c r="I23" t="s">
        <v>50</v>
      </c>
      <c r="J23" t="s">
        <v>55</v>
      </c>
      <c r="K23" t="s">
        <v>38</v>
      </c>
      <c r="L23" t="s">
        <v>39</v>
      </c>
      <c r="M23" t="s">
        <v>51</v>
      </c>
      <c r="N23" t="s">
        <v>41</v>
      </c>
      <c r="O23" t="s">
        <v>195</v>
      </c>
      <c r="P23" t="s">
        <v>42</v>
      </c>
    </row>
    <row r="24" spans="2:16" x14ac:dyDescent="0.2">
      <c r="E24" t="s">
        <v>54</v>
      </c>
      <c r="F24" t="s">
        <v>56</v>
      </c>
      <c r="G24" t="s">
        <v>34</v>
      </c>
      <c r="H24" s="11" t="s">
        <v>35</v>
      </c>
      <c r="I24" t="s">
        <v>50</v>
      </c>
      <c r="J24" t="s">
        <v>55</v>
      </c>
      <c r="K24" t="s">
        <v>38</v>
      </c>
      <c r="L24" t="s">
        <v>39</v>
      </c>
      <c r="M24" t="s">
        <v>53</v>
      </c>
      <c r="N24" t="s">
        <v>41</v>
      </c>
      <c r="O24" t="s">
        <v>198</v>
      </c>
      <c r="P24" t="s">
        <v>42</v>
      </c>
    </row>
    <row r="25" spans="2:16" x14ac:dyDescent="0.2">
      <c r="E25" t="s">
        <v>54</v>
      </c>
      <c r="F25" t="s">
        <v>57</v>
      </c>
      <c r="G25" t="s">
        <v>34</v>
      </c>
      <c r="H25" s="11" t="s">
        <v>35</v>
      </c>
      <c r="I25" t="s">
        <v>58</v>
      </c>
      <c r="J25" t="s">
        <v>55</v>
      </c>
      <c r="K25" t="s">
        <v>38</v>
      </c>
      <c r="L25" t="s">
        <v>39</v>
      </c>
      <c r="M25" t="s">
        <v>59</v>
      </c>
      <c r="N25" t="s">
        <v>41</v>
      </c>
      <c r="O25" t="s">
        <v>199</v>
      </c>
      <c r="P25" t="s">
        <v>77</v>
      </c>
    </row>
    <row r="27" spans="2:16" x14ac:dyDescent="0.2">
      <c r="B27" s="2" t="s">
        <v>60</v>
      </c>
      <c r="E27" t="s">
        <v>61</v>
      </c>
      <c r="F27" t="s">
        <v>62</v>
      </c>
      <c r="G27" t="s">
        <v>63</v>
      </c>
      <c r="H27" s="3">
        <v>6144</v>
      </c>
      <c r="I27" t="s">
        <v>64</v>
      </c>
      <c r="J27" t="s">
        <v>65</v>
      </c>
      <c r="K27" t="s">
        <v>66</v>
      </c>
      <c r="L27" t="s">
        <v>67</v>
      </c>
      <c r="M27" t="s">
        <v>68</v>
      </c>
      <c r="N27" t="s">
        <v>41</v>
      </c>
      <c r="O27" t="s">
        <v>60</v>
      </c>
      <c r="P27" t="s">
        <v>42</v>
      </c>
    </row>
    <row r="28" spans="2:16" x14ac:dyDescent="0.2">
      <c r="B28" s="2" t="s">
        <v>69</v>
      </c>
      <c r="E28" t="s">
        <v>61</v>
      </c>
      <c r="F28" t="s">
        <v>45</v>
      </c>
      <c r="G28" t="s">
        <v>63</v>
      </c>
      <c r="H28" s="3">
        <v>6144</v>
      </c>
      <c r="I28" t="s">
        <v>70</v>
      </c>
      <c r="J28" t="s">
        <v>65</v>
      </c>
      <c r="K28" t="s">
        <v>66</v>
      </c>
      <c r="L28" t="s">
        <v>67</v>
      </c>
      <c r="M28" t="s">
        <v>71</v>
      </c>
      <c r="N28" t="s">
        <v>41</v>
      </c>
      <c r="O28" t="s">
        <v>69</v>
      </c>
      <c r="P28" t="s">
        <v>42</v>
      </c>
    </row>
    <row r="29" spans="2:16" x14ac:dyDescent="0.2">
      <c r="B29" s="2" t="s">
        <v>72</v>
      </c>
      <c r="E29" t="s">
        <v>61</v>
      </c>
      <c r="F29" t="s">
        <v>48</v>
      </c>
      <c r="G29" t="s">
        <v>63</v>
      </c>
      <c r="H29" s="3">
        <v>6144</v>
      </c>
      <c r="I29" t="s">
        <v>70</v>
      </c>
      <c r="J29" t="s">
        <v>65</v>
      </c>
      <c r="K29" t="s">
        <v>66</v>
      </c>
      <c r="L29" t="s">
        <v>67</v>
      </c>
      <c r="M29" t="s">
        <v>71</v>
      </c>
      <c r="N29" t="s">
        <v>41</v>
      </c>
      <c r="O29" t="s">
        <v>72</v>
      </c>
      <c r="P29" t="s">
        <v>42</v>
      </c>
    </row>
    <row r="30" spans="2:16" x14ac:dyDescent="0.2">
      <c r="B30" s="2" t="s">
        <v>73</v>
      </c>
      <c r="E30" t="s">
        <v>61</v>
      </c>
      <c r="F30" t="s">
        <v>74</v>
      </c>
      <c r="G30" t="s">
        <v>63</v>
      </c>
      <c r="H30" s="3">
        <v>6144</v>
      </c>
      <c r="I30" t="s">
        <v>75</v>
      </c>
      <c r="J30" t="s">
        <v>65</v>
      </c>
      <c r="K30" t="s">
        <v>66</v>
      </c>
      <c r="L30" t="s">
        <v>67</v>
      </c>
      <c r="M30" t="s">
        <v>76</v>
      </c>
      <c r="N30" t="s">
        <v>41</v>
      </c>
      <c r="O30" t="s">
        <v>73</v>
      </c>
      <c r="P30" t="s">
        <v>77</v>
      </c>
    </row>
    <row r="31" spans="2:16" x14ac:dyDescent="0.2">
      <c r="B31" s="2" t="s">
        <v>78</v>
      </c>
      <c r="E31" t="s">
        <v>61</v>
      </c>
      <c r="F31" t="s">
        <v>79</v>
      </c>
      <c r="G31" t="s">
        <v>63</v>
      </c>
      <c r="H31" s="3">
        <v>6144</v>
      </c>
      <c r="I31" t="s">
        <v>75</v>
      </c>
      <c r="J31" t="s">
        <v>65</v>
      </c>
      <c r="K31" t="s">
        <v>66</v>
      </c>
      <c r="L31" t="s">
        <v>67</v>
      </c>
      <c r="M31" t="s">
        <v>80</v>
      </c>
      <c r="N31" t="s">
        <v>41</v>
      </c>
      <c r="O31" t="s">
        <v>78</v>
      </c>
      <c r="P31" t="s">
        <v>77</v>
      </c>
    </row>
    <row r="32" spans="2:16" x14ac:dyDescent="0.2">
      <c r="B32" s="2" t="s">
        <v>81</v>
      </c>
      <c r="E32" t="s">
        <v>61</v>
      </c>
      <c r="F32" t="s">
        <v>82</v>
      </c>
      <c r="G32" t="s">
        <v>63</v>
      </c>
      <c r="H32" s="3">
        <v>6144</v>
      </c>
      <c r="I32" t="s">
        <v>83</v>
      </c>
      <c r="J32" t="s">
        <v>65</v>
      </c>
      <c r="K32" t="s">
        <v>66</v>
      </c>
      <c r="L32" t="s">
        <v>67</v>
      </c>
      <c r="M32" t="s">
        <v>84</v>
      </c>
      <c r="N32" t="s">
        <v>41</v>
      </c>
      <c r="O32" t="s">
        <v>81</v>
      </c>
      <c r="P32" t="s">
        <v>77</v>
      </c>
    </row>
    <row r="34" spans="2:20" x14ac:dyDescent="0.2">
      <c r="B34" s="2" t="s">
        <v>85</v>
      </c>
      <c r="E34" t="s">
        <v>86</v>
      </c>
      <c r="F34" t="s">
        <v>62</v>
      </c>
      <c r="G34" t="s">
        <v>87</v>
      </c>
      <c r="H34" s="3" t="s">
        <v>88</v>
      </c>
      <c r="I34" t="s">
        <v>89</v>
      </c>
      <c r="J34" s="11" t="s">
        <v>55</v>
      </c>
      <c r="K34" t="s">
        <v>90</v>
      </c>
      <c r="L34" t="s">
        <v>67</v>
      </c>
      <c r="M34" t="s">
        <v>91</v>
      </c>
      <c r="N34" t="s">
        <v>41</v>
      </c>
      <c r="O34" t="s">
        <v>85</v>
      </c>
      <c r="P34" t="s">
        <v>42</v>
      </c>
    </row>
    <row r="35" spans="2:20" x14ac:dyDescent="0.2">
      <c r="B35" s="2" t="s">
        <v>92</v>
      </c>
      <c r="E35" t="s">
        <v>86</v>
      </c>
      <c r="F35" t="s">
        <v>45</v>
      </c>
      <c r="G35" t="s">
        <v>87</v>
      </c>
      <c r="H35" s="3" t="s">
        <v>88</v>
      </c>
      <c r="I35" t="s">
        <v>64</v>
      </c>
      <c r="J35" s="11" t="s">
        <v>55</v>
      </c>
      <c r="K35" t="s">
        <v>90</v>
      </c>
      <c r="L35" t="s">
        <v>67</v>
      </c>
      <c r="M35" t="s">
        <v>91</v>
      </c>
      <c r="N35" t="s">
        <v>41</v>
      </c>
      <c r="O35" t="s">
        <v>92</v>
      </c>
      <c r="P35" t="s">
        <v>42</v>
      </c>
      <c r="T35" cm="1">
        <f t="array" ref="T35:T39">_xlfn.UNIQUE(表1_11[文本丨规格丨规格8])</f>
        <v>0</v>
      </c>
    </row>
    <row r="36" spans="2:20" x14ac:dyDescent="0.2">
      <c r="B36" s="2" t="s">
        <v>93</v>
      </c>
      <c r="E36" t="s">
        <v>86</v>
      </c>
      <c r="F36" t="s">
        <v>48</v>
      </c>
      <c r="G36" t="s">
        <v>87</v>
      </c>
      <c r="H36" s="3" t="s">
        <v>88</v>
      </c>
      <c r="I36" t="s">
        <v>94</v>
      </c>
      <c r="J36" s="11" t="s">
        <v>55</v>
      </c>
      <c r="K36" t="s">
        <v>90</v>
      </c>
      <c r="L36" t="s">
        <v>67</v>
      </c>
      <c r="M36" t="s">
        <v>91</v>
      </c>
      <c r="N36" t="s">
        <v>41</v>
      </c>
      <c r="O36" t="s">
        <v>93</v>
      </c>
      <c r="P36" t="s">
        <v>42</v>
      </c>
      <c r="T36" t="str">
        <v>DP2.1bx3+HDM2.1bx1</v>
      </c>
    </row>
    <row r="37" spans="2:20" x14ac:dyDescent="0.2">
      <c r="B37" s="2" t="s">
        <v>95</v>
      </c>
      <c r="E37" t="s">
        <v>86</v>
      </c>
      <c r="F37" t="s">
        <v>74</v>
      </c>
      <c r="G37" t="s">
        <v>87</v>
      </c>
      <c r="H37" s="3" t="s">
        <v>88</v>
      </c>
      <c r="I37" t="s">
        <v>96</v>
      </c>
      <c r="J37" s="11" t="s">
        <v>55</v>
      </c>
      <c r="K37" t="s">
        <v>90</v>
      </c>
      <c r="L37" t="s">
        <v>67</v>
      </c>
      <c r="M37" t="s">
        <v>97</v>
      </c>
      <c r="N37" t="s">
        <v>41</v>
      </c>
      <c r="O37" t="s">
        <v>95</v>
      </c>
      <c r="P37" t="s">
        <v>77</v>
      </c>
      <c r="T37" t="str">
        <v>DP1.4a*2+HDMI2.1a*2</v>
      </c>
    </row>
    <row r="38" spans="2:20" x14ac:dyDescent="0.2">
      <c r="B38" s="2" t="s">
        <v>98</v>
      </c>
      <c r="E38" t="s">
        <v>86</v>
      </c>
      <c r="F38" t="s">
        <v>79</v>
      </c>
      <c r="G38" t="s">
        <v>87</v>
      </c>
      <c r="H38" s="3" t="s">
        <v>88</v>
      </c>
      <c r="I38" t="s">
        <v>96</v>
      </c>
      <c r="J38" s="11" t="s">
        <v>55</v>
      </c>
      <c r="K38" t="s">
        <v>90</v>
      </c>
      <c r="L38" t="s">
        <v>67</v>
      </c>
      <c r="M38" t="s">
        <v>97</v>
      </c>
      <c r="N38" t="s">
        <v>41</v>
      </c>
      <c r="O38" t="s">
        <v>98</v>
      </c>
      <c r="P38" t="s">
        <v>77</v>
      </c>
      <c r="T38" t="str">
        <v>DP2.1a*2+HDMI2.1b*2</v>
      </c>
    </row>
    <row r="39" spans="2:20" x14ac:dyDescent="0.2">
      <c r="B39" s="2" t="s">
        <v>99</v>
      </c>
      <c r="E39" t="s">
        <v>86</v>
      </c>
      <c r="F39" t="s">
        <v>82</v>
      </c>
      <c r="G39" t="s">
        <v>87</v>
      </c>
      <c r="H39" s="3" t="s">
        <v>88</v>
      </c>
      <c r="I39" t="s">
        <v>100</v>
      </c>
      <c r="J39" s="11" t="s">
        <v>55</v>
      </c>
      <c r="K39" t="s">
        <v>90</v>
      </c>
      <c r="L39" t="s">
        <v>67</v>
      </c>
      <c r="M39" t="s">
        <v>101</v>
      </c>
      <c r="N39" t="s">
        <v>41</v>
      </c>
      <c r="O39" t="s">
        <v>99</v>
      </c>
      <c r="P39" t="s">
        <v>77</v>
      </c>
      <c r="T39" t="str">
        <v>DP1.4a * 3+HDM2.1ax1</v>
      </c>
    </row>
    <row r="41" spans="2:20" x14ac:dyDescent="0.2">
      <c r="B41" s="2" t="s">
        <v>102</v>
      </c>
      <c r="E41" t="s">
        <v>103</v>
      </c>
      <c r="F41" t="s">
        <v>62</v>
      </c>
      <c r="G41" t="s">
        <v>104</v>
      </c>
      <c r="H41" s="3" t="s">
        <v>105</v>
      </c>
      <c r="I41" t="s">
        <v>106</v>
      </c>
      <c r="J41" s="11" t="s">
        <v>55</v>
      </c>
      <c r="K41" t="s">
        <v>107</v>
      </c>
      <c r="L41" t="s">
        <v>108</v>
      </c>
      <c r="M41" t="s">
        <v>91</v>
      </c>
      <c r="N41" t="s">
        <v>41</v>
      </c>
      <c r="O41" t="s">
        <v>85</v>
      </c>
      <c r="P41" t="s">
        <v>42</v>
      </c>
    </row>
    <row r="42" spans="2:20" x14ac:dyDescent="0.2">
      <c r="B42" s="2" t="s">
        <v>109</v>
      </c>
      <c r="E42" t="s">
        <v>103</v>
      </c>
      <c r="F42" t="s">
        <v>74</v>
      </c>
      <c r="G42" t="s">
        <v>104</v>
      </c>
      <c r="H42" s="3" t="s">
        <v>105</v>
      </c>
      <c r="I42" t="s">
        <v>110</v>
      </c>
      <c r="J42" s="11" t="s">
        <v>55</v>
      </c>
      <c r="K42" t="s">
        <v>107</v>
      </c>
      <c r="L42" t="s">
        <v>108</v>
      </c>
      <c r="M42" t="s">
        <v>91</v>
      </c>
      <c r="N42" t="s">
        <v>41</v>
      </c>
      <c r="O42" t="s">
        <v>95</v>
      </c>
      <c r="P42" t="s">
        <v>77</v>
      </c>
    </row>
    <row r="43" spans="2:20" x14ac:dyDescent="0.2">
      <c r="B43" s="2" t="s">
        <v>111</v>
      </c>
      <c r="E43" t="s">
        <v>103</v>
      </c>
      <c r="F43" t="s">
        <v>79</v>
      </c>
      <c r="G43" t="s">
        <v>104</v>
      </c>
      <c r="H43" s="3" t="s">
        <v>105</v>
      </c>
      <c r="I43" t="s">
        <v>110</v>
      </c>
      <c r="J43" s="11" t="s">
        <v>55</v>
      </c>
      <c r="K43" t="s">
        <v>107</v>
      </c>
      <c r="L43" t="s">
        <v>108</v>
      </c>
      <c r="M43" t="s">
        <v>91</v>
      </c>
      <c r="N43" t="s">
        <v>41</v>
      </c>
      <c r="O43" t="s">
        <v>98</v>
      </c>
      <c r="P43" t="s">
        <v>77</v>
      </c>
    </row>
    <row r="44" spans="2:20" x14ac:dyDescent="0.2">
      <c r="B44" s="2" t="s">
        <v>112</v>
      </c>
      <c r="E44" t="s">
        <v>103</v>
      </c>
      <c r="F44" t="s">
        <v>82</v>
      </c>
      <c r="G44" t="s">
        <v>104</v>
      </c>
      <c r="H44" s="3" t="s">
        <v>105</v>
      </c>
      <c r="I44" t="s">
        <v>113</v>
      </c>
      <c r="J44" s="11" t="s">
        <v>55</v>
      </c>
      <c r="K44" t="s">
        <v>107</v>
      </c>
      <c r="L44" t="s">
        <v>108</v>
      </c>
      <c r="M44" t="s">
        <v>101</v>
      </c>
      <c r="N44" t="s">
        <v>41</v>
      </c>
      <c r="O44" t="s">
        <v>99</v>
      </c>
      <c r="P44" t="s">
        <v>77</v>
      </c>
    </row>
    <row r="45" spans="2:20" x14ac:dyDescent="0.2">
      <c r="B45" s="2" t="s">
        <v>114</v>
      </c>
      <c r="E45" t="s">
        <v>103</v>
      </c>
      <c r="F45" t="s">
        <v>115</v>
      </c>
      <c r="G45" t="s">
        <v>104</v>
      </c>
      <c r="H45" s="3" t="s">
        <v>105</v>
      </c>
      <c r="I45" t="s">
        <v>113</v>
      </c>
      <c r="J45" s="11" t="s">
        <v>55</v>
      </c>
      <c r="K45" t="s">
        <v>107</v>
      </c>
      <c r="L45" t="s">
        <v>108</v>
      </c>
      <c r="M45" t="s">
        <v>101</v>
      </c>
      <c r="N45" t="s">
        <v>41</v>
      </c>
      <c r="O45" t="s">
        <v>114</v>
      </c>
      <c r="P45" t="s">
        <v>77</v>
      </c>
    </row>
    <row r="46" spans="2:20" x14ac:dyDescent="0.2">
      <c r="B46" s="2" t="s">
        <v>116</v>
      </c>
      <c r="E46" t="s">
        <v>103</v>
      </c>
      <c r="F46" t="s">
        <v>117</v>
      </c>
      <c r="G46" t="s">
        <v>104</v>
      </c>
      <c r="H46" s="3" t="s">
        <v>105</v>
      </c>
      <c r="I46" t="s">
        <v>113</v>
      </c>
      <c r="J46" s="11" t="s">
        <v>55</v>
      </c>
      <c r="K46" t="s">
        <v>107</v>
      </c>
      <c r="L46" t="s">
        <v>108</v>
      </c>
      <c r="M46" t="s">
        <v>118</v>
      </c>
      <c r="N46" t="s">
        <v>41</v>
      </c>
      <c r="O46" t="s">
        <v>116</v>
      </c>
      <c r="P46" t="s">
        <v>77</v>
      </c>
    </row>
    <row r="49" spans="2:16" x14ac:dyDescent="0.2">
      <c r="B49" t="s">
        <v>119</v>
      </c>
      <c r="E49" t="s">
        <v>120</v>
      </c>
      <c r="F49" t="s">
        <v>62</v>
      </c>
      <c r="G49" t="s">
        <v>121</v>
      </c>
      <c r="H49" s="3" t="s">
        <v>122</v>
      </c>
      <c r="I49" t="s">
        <v>123</v>
      </c>
      <c r="J49" s="11" t="s">
        <v>124</v>
      </c>
      <c r="K49" t="s">
        <v>125</v>
      </c>
      <c r="L49" t="s">
        <v>126</v>
      </c>
      <c r="M49" t="s">
        <v>127</v>
      </c>
      <c r="N49" t="s">
        <v>41</v>
      </c>
      <c r="O49" t="s">
        <v>85</v>
      </c>
      <c r="P49" t="s">
        <v>42</v>
      </c>
    </row>
    <row r="50" spans="2:16" x14ac:dyDescent="0.2">
      <c r="B50" t="s">
        <v>128</v>
      </c>
      <c r="E50" t="s">
        <v>120</v>
      </c>
      <c r="F50" t="s">
        <v>62</v>
      </c>
      <c r="G50" t="s">
        <v>121</v>
      </c>
      <c r="H50" s="3" t="s">
        <v>122</v>
      </c>
      <c r="I50" t="s">
        <v>123</v>
      </c>
      <c r="J50" s="11" t="s">
        <v>124</v>
      </c>
      <c r="K50" t="s">
        <v>125</v>
      </c>
      <c r="L50" t="s">
        <v>126</v>
      </c>
      <c r="M50" t="s">
        <v>127</v>
      </c>
      <c r="N50" t="s">
        <v>41</v>
      </c>
      <c r="O50" t="s">
        <v>85</v>
      </c>
      <c r="P50" t="s">
        <v>42</v>
      </c>
    </row>
    <row r="51" spans="2:16" x14ac:dyDescent="0.2">
      <c r="B51" t="s">
        <v>129</v>
      </c>
      <c r="E51" t="s">
        <v>120</v>
      </c>
      <c r="F51" t="s">
        <v>62</v>
      </c>
      <c r="G51" t="s">
        <v>121</v>
      </c>
      <c r="H51" s="3" t="s">
        <v>122</v>
      </c>
      <c r="I51" t="s">
        <v>123</v>
      </c>
      <c r="J51" s="11" t="s">
        <v>124</v>
      </c>
      <c r="K51" t="s">
        <v>125</v>
      </c>
      <c r="L51" t="s">
        <v>126</v>
      </c>
      <c r="M51" t="s">
        <v>127</v>
      </c>
      <c r="N51" t="s">
        <v>41</v>
      </c>
      <c r="O51" t="s">
        <v>85</v>
      </c>
      <c r="P51" t="s">
        <v>42</v>
      </c>
    </row>
    <row r="52" spans="2:16" x14ac:dyDescent="0.2">
      <c r="B52" t="s">
        <v>130</v>
      </c>
      <c r="E52" t="s">
        <v>120</v>
      </c>
      <c r="F52" t="s">
        <v>49</v>
      </c>
      <c r="G52" t="s">
        <v>121</v>
      </c>
      <c r="H52" s="3" t="s">
        <v>122</v>
      </c>
      <c r="I52" t="s">
        <v>131</v>
      </c>
      <c r="J52" s="11" t="s">
        <v>124</v>
      </c>
      <c r="K52" t="s">
        <v>125</v>
      </c>
      <c r="L52" t="s">
        <v>126</v>
      </c>
      <c r="M52" t="s">
        <v>132</v>
      </c>
      <c r="N52" t="s">
        <v>41</v>
      </c>
      <c r="O52" t="s">
        <v>95</v>
      </c>
      <c r="P52" t="s">
        <v>77</v>
      </c>
    </row>
    <row r="53" spans="2:16" x14ac:dyDescent="0.2">
      <c r="B53" t="s">
        <v>133</v>
      </c>
      <c r="E53" t="s">
        <v>120</v>
      </c>
      <c r="F53" t="s">
        <v>82</v>
      </c>
      <c r="G53" t="s">
        <v>121</v>
      </c>
      <c r="H53" s="3" t="s">
        <v>122</v>
      </c>
      <c r="I53" t="s">
        <v>134</v>
      </c>
      <c r="J53" s="11" t="s">
        <v>124</v>
      </c>
      <c r="K53" t="s">
        <v>125</v>
      </c>
      <c r="L53" t="s">
        <v>126</v>
      </c>
      <c r="M53" t="s">
        <v>101</v>
      </c>
      <c r="N53" t="s">
        <v>41</v>
      </c>
      <c r="O53" t="s">
        <v>99</v>
      </c>
      <c r="P53" t="s">
        <v>77</v>
      </c>
    </row>
    <row r="54" spans="2:16" x14ac:dyDescent="0.2">
      <c r="B54" t="s">
        <v>135</v>
      </c>
      <c r="C54" s="12"/>
      <c r="E54" t="s">
        <v>120</v>
      </c>
      <c r="F54" t="s">
        <v>115</v>
      </c>
      <c r="G54" t="s">
        <v>121</v>
      </c>
      <c r="H54" s="3" t="s">
        <v>122</v>
      </c>
      <c r="I54" t="s">
        <v>134</v>
      </c>
      <c r="J54" s="11" t="s">
        <v>124</v>
      </c>
      <c r="K54" t="s">
        <v>125</v>
      </c>
      <c r="L54" t="s">
        <v>126</v>
      </c>
      <c r="M54" t="s">
        <v>101</v>
      </c>
      <c r="N54" t="s">
        <v>41</v>
      </c>
      <c r="O54" t="s">
        <v>114</v>
      </c>
      <c r="P54" t="s">
        <v>77</v>
      </c>
    </row>
    <row r="55" spans="2:16" x14ac:dyDescent="0.2">
      <c r="C55" s="13"/>
      <c r="E55" s="14"/>
      <c r="H55" s="14"/>
      <c r="J55" s="11"/>
    </row>
    <row r="56" spans="2:16" x14ac:dyDescent="0.2">
      <c r="B56" s="14" t="s">
        <v>136</v>
      </c>
      <c r="C56" s="13"/>
      <c r="E56" s="14" t="s">
        <v>137</v>
      </c>
      <c r="F56" t="s">
        <v>138</v>
      </c>
      <c r="G56" s="3">
        <v>32</v>
      </c>
      <c r="H56" s="17">
        <v>2048</v>
      </c>
      <c r="I56" t="s">
        <v>139</v>
      </c>
      <c r="J56" s="11" t="s">
        <v>140</v>
      </c>
      <c r="K56" t="s">
        <v>141</v>
      </c>
      <c r="L56" t="s">
        <v>142</v>
      </c>
      <c r="M56" t="s">
        <v>143</v>
      </c>
      <c r="N56" t="s">
        <v>144</v>
      </c>
      <c r="O56" s="14" t="s">
        <v>136</v>
      </c>
      <c r="P56" t="s">
        <v>145</v>
      </c>
    </row>
    <row r="57" spans="2:16" x14ac:dyDescent="0.2">
      <c r="B57" s="15" t="s">
        <v>146</v>
      </c>
      <c r="C57" s="13"/>
      <c r="E57" t="s">
        <v>147</v>
      </c>
      <c r="F57" t="s">
        <v>138</v>
      </c>
      <c r="G57" s="3">
        <v>48</v>
      </c>
      <c r="H57" s="17">
        <v>3072</v>
      </c>
      <c r="I57" t="s">
        <v>148</v>
      </c>
      <c r="J57" t="s">
        <v>149</v>
      </c>
      <c r="K57" t="s">
        <v>150</v>
      </c>
      <c r="L57" t="s">
        <v>151</v>
      </c>
      <c r="M57" t="s">
        <v>152</v>
      </c>
      <c r="N57" t="s">
        <v>153</v>
      </c>
      <c r="O57" s="2" t="s">
        <v>154</v>
      </c>
      <c r="P57" t="s">
        <v>145</v>
      </c>
    </row>
    <row r="58" spans="2:16" x14ac:dyDescent="0.2">
      <c r="B58" s="2" t="s">
        <v>154</v>
      </c>
      <c r="E58" t="s">
        <v>155</v>
      </c>
      <c r="F58" t="s">
        <v>138</v>
      </c>
      <c r="G58" s="3">
        <v>56</v>
      </c>
      <c r="H58" s="3">
        <v>3584</v>
      </c>
      <c r="I58" t="s">
        <v>156</v>
      </c>
      <c r="J58" t="s">
        <v>149</v>
      </c>
      <c r="K58" t="s">
        <v>157</v>
      </c>
      <c r="L58" t="s">
        <v>151</v>
      </c>
      <c r="M58" t="s">
        <v>152</v>
      </c>
      <c r="N58" t="s">
        <v>153</v>
      </c>
      <c r="O58" s="2" t="s">
        <v>154</v>
      </c>
      <c r="P58" t="s">
        <v>145</v>
      </c>
    </row>
    <row r="59" spans="2:16" x14ac:dyDescent="0.2">
      <c r="B59" s="2" t="s">
        <v>158</v>
      </c>
      <c r="E59" t="s">
        <v>159</v>
      </c>
      <c r="F59" t="s">
        <v>138</v>
      </c>
      <c r="G59" s="3">
        <v>64</v>
      </c>
      <c r="H59" s="3">
        <v>4096</v>
      </c>
      <c r="I59" t="s">
        <v>160</v>
      </c>
      <c r="J59" s="11" t="s">
        <v>149</v>
      </c>
      <c r="K59" t="s">
        <v>157</v>
      </c>
      <c r="L59" t="s">
        <v>161</v>
      </c>
      <c r="M59" t="s">
        <v>162</v>
      </c>
      <c r="N59" t="s">
        <v>153</v>
      </c>
      <c r="O59" s="2" t="s">
        <v>158</v>
      </c>
      <c r="P59" t="s">
        <v>145</v>
      </c>
    </row>
    <row r="60" spans="2:16" x14ac:dyDescent="0.2">
      <c r="B60" s="2" t="s">
        <v>163</v>
      </c>
      <c r="E60" t="s">
        <v>159</v>
      </c>
      <c r="F60" t="s">
        <v>164</v>
      </c>
      <c r="G60" s="3">
        <v>64</v>
      </c>
      <c r="H60" s="3">
        <v>4096</v>
      </c>
      <c r="I60" t="s">
        <v>165</v>
      </c>
      <c r="J60" s="11" t="s">
        <v>149</v>
      </c>
      <c r="K60" t="s">
        <v>157</v>
      </c>
      <c r="L60" t="s">
        <v>161</v>
      </c>
      <c r="M60" t="s">
        <v>166</v>
      </c>
      <c r="N60" t="s">
        <v>153</v>
      </c>
      <c r="O60" s="2" t="s">
        <v>163</v>
      </c>
      <c r="P60" t="s">
        <v>167</v>
      </c>
    </row>
    <row r="61" spans="2:16" x14ac:dyDescent="0.2">
      <c r="J61" s="11"/>
    </row>
    <row r="62" spans="2:16" x14ac:dyDescent="0.2">
      <c r="J62" s="11"/>
    </row>
    <row r="63" spans="2:16" x14ac:dyDescent="0.2">
      <c r="J63" s="11"/>
    </row>
    <row r="64" spans="2:16" x14ac:dyDescent="0.2">
      <c r="B64" s="2" t="s">
        <v>168</v>
      </c>
      <c r="E64" t="s">
        <v>169</v>
      </c>
      <c r="F64" t="s">
        <v>62</v>
      </c>
      <c r="G64" t="s">
        <v>170</v>
      </c>
      <c r="H64" s="16" t="s">
        <v>171</v>
      </c>
      <c r="I64" t="s">
        <v>172</v>
      </c>
      <c r="J64" s="11" t="s">
        <v>173</v>
      </c>
      <c r="K64" t="s">
        <v>174</v>
      </c>
      <c r="L64" t="s">
        <v>175</v>
      </c>
      <c r="M64" t="s">
        <v>176</v>
      </c>
      <c r="N64" t="s">
        <v>177</v>
      </c>
      <c r="O64" t="s">
        <v>168</v>
      </c>
      <c r="P64" t="s">
        <v>42</v>
      </c>
    </row>
    <row r="65" spans="2:16" x14ac:dyDescent="0.2">
      <c r="B65" s="2" t="s">
        <v>178</v>
      </c>
      <c r="E65" t="s">
        <v>179</v>
      </c>
      <c r="F65" t="s">
        <v>62</v>
      </c>
      <c r="G65" t="s">
        <v>180</v>
      </c>
      <c r="H65" s="16" t="s">
        <v>181</v>
      </c>
      <c r="I65" t="s">
        <v>182</v>
      </c>
      <c r="J65" s="11" t="s">
        <v>183</v>
      </c>
      <c r="K65" t="s">
        <v>174</v>
      </c>
      <c r="L65" t="s">
        <v>184</v>
      </c>
      <c r="M65" t="s">
        <v>176</v>
      </c>
      <c r="N65" t="s">
        <v>177</v>
      </c>
      <c r="O65" t="s">
        <v>178</v>
      </c>
      <c r="P65" t="s">
        <v>42</v>
      </c>
    </row>
    <row r="66" spans="2:16" x14ac:dyDescent="0.2">
      <c r="J66" s="11"/>
    </row>
    <row r="67" spans="2:16" x14ac:dyDescent="0.2">
      <c r="J67" s="11"/>
    </row>
    <row r="68" spans="2:16" x14ac:dyDescent="0.2">
      <c r="J68" s="11"/>
    </row>
    <row r="69" spans="2:16" x14ac:dyDescent="0.2">
      <c r="J69" s="11"/>
    </row>
    <row r="70" spans="2:16" x14ac:dyDescent="0.2">
      <c r="B70"/>
      <c r="J70" s="11"/>
      <c r="K70" s="11"/>
    </row>
    <row r="71" spans="2:16" x14ac:dyDescent="0.2">
      <c r="L71" s="11"/>
    </row>
    <row r="74" spans="2:16" x14ac:dyDescent="0.2">
      <c r="J74" s="11"/>
    </row>
    <row r="75" spans="2:16" x14ac:dyDescent="0.2">
      <c r="J75" s="11"/>
    </row>
    <row r="76" spans="2:16" x14ac:dyDescent="0.2">
      <c r="J76" s="11"/>
    </row>
    <row r="78" spans="2:16" x14ac:dyDescent="0.2">
      <c r="J78" s="11"/>
    </row>
    <row r="79" spans="2:16" x14ac:dyDescent="0.2">
      <c r="J79" s="11"/>
    </row>
    <row r="81" spans="2:12" x14ac:dyDescent="0.2">
      <c r="J81" s="11"/>
    </row>
    <row r="82" spans="2:12" x14ac:dyDescent="0.2">
      <c r="J82" s="11"/>
    </row>
    <row r="83" spans="2:12" x14ac:dyDescent="0.2">
      <c r="J83" s="11"/>
    </row>
    <row r="84" spans="2:12" x14ac:dyDescent="0.2">
      <c r="J84" s="11"/>
    </row>
    <row r="85" spans="2:12" x14ac:dyDescent="0.2">
      <c r="J85" s="11"/>
    </row>
    <row r="86" spans="2:12" x14ac:dyDescent="0.2">
      <c r="J86" s="11"/>
    </row>
    <row r="87" spans="2:12" x14ac:dyDescent="0.2">
      <c r="J87" s="11"/>
    </row>
    <row r="88" spans="2:12" x14ac:dyDescent="0.2">
      <c r="J88" s="11"/>
    </row>
    <row r="89" spans="2:12" x14ac:dyDescent="0.2">
      <c r="J89" s="11"/>
    </row>
    <row r="91" spans="2:12" x14ac:dyDescent="0.2">
      <c r="J91" s="11"/>
    </row>
    <row r="92" spans="2:12" x14ac:dyDescent="0.2">
      <c r="J92" s="11"/>
    </row>
    <row r="96" spans="2:12" x14ac:dyDescent="0.2">
      <c r="B96"/>
      <c r="L96" s="11"/>
    </row>
    <row r="97" spans="2:14" x14ac:dyDescent="0.2">
      <c r="L97" s="11"/>
    </row>
    <row r="98" spans="2:14" x14ac:dyDescent="0.2">
      <c r="B98"/>
    </row>
    <row r="99" spans="2:14" x14ac:dyDescent="0.2">
      <c r="B99" s="14"/>
      <c r="E99" s="14"/>
      <c r="H99" s="14"/>
      <c r="J99" s="11"/>
      <c r="N99" s="14"/>
    </row>
    <row r="100" spans="2:14" x14ac:dyDescent="0.2">
      <c r="B100"/>
      <c r="J100" s="11"/>
    </row>
    <row r="101" spans="2:14" x14ac:dyDescent="0.2">
      <c r="B101"/>
      <c r="J101" s="11"/>
    </row>
    <row r="106" spans="2:14" x14ac:dyDescent="0.2">
      <c r="C106" s="2"/>
      <c r="J106" s="11"/>
    </row>
    <row r="107" spans="2:14" x14ac:dyDescent="0.2">
      <c r="C107" s="2"/>
      <c r="J107" s="11"/>
    </row>
    <row r="108" spans="2:14" x14ac:dyDescent="0.2">
      <c r="C108" s="2"/>
      <c r="J108" s="11"/>
    </row>
    <row r="109" spans="2:14" x14ac:dyDescent="0.2">
      <c r="C109" s="2"/>
      <c r="J109" s="11"/>
    </row>
    <row r="110" spans="2:14" x14ac:dyDescent="0.2">
      <c r="C110" s="2"/>
      <c r="J110" s="11"/>
    </row>
    <row r="111" spans="2:14" x14ac:dyDescent="0.2">
      <c r="B111"/>
      <c r="J111" s="11"/>
    </row>
    <row r="114" spans="3:10" x14ac:dyDescent="0.2">
      <c r="C114" s="2"/>
      <c r="J114" s="11"/>
    </row>
    <row r="115" spans="3:10" x14ac:dyDescent="0.2">
      <c r="C115" s="2"/>
      <c r="J115" s="11"/>
    </row>
    <row r="116" spans="3:10" x14ac:dyDescent="0.2">
      <c r="C116" s="2"/>
      <c r="J116" s="11"/>
    </row>
    <row r="117" spans="3:10" x14ac:dyDescent="0.2">
      <c r="C117" s="2"/>
      <c r="J117" s="11"/>
    </row>
    <row r="118" spans="3:10" x14ac:dyDescent="0.2">
      <c r="C118" s="2"/>
      <c r="J118" s="11"/>
    </row>
    <row r="119" spans="3:10" x14ac:dyDescent="0.2">
      <c r="C119" s="2"/>
      <c r="J119" s="11"/>
    </row>
    <row r="120" spans="3:10" x14ac:dyDescent="0.2">
      <c r="C120" s="2"/>
      <c r="J120" s="11"/>
    </row>
    <row r="121" spans="3:10" x14ac:dyDescent="0.2">
      <c r="C121" s="2"/>
      <c r="J121" s="11"/>
    </row>
    <row r="124" spans="3:10" x14ac:dyDescent="0.2">
      <c r="J124" s="11"/>
    </row>
  </sheetData>
  <phoneticPr fontId="7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L11" sqref="L11"/>
    </sheetView>
  </sheetViews>
  <sheetFormatPr defaultRowHeight="14.25" outlineLevelCol="1" x14ac:dyDescent="0.2"/>
  <cols>
    <col min="1" max="1" width="11" bestFit="1" customWidth="1"/>
    <col min="2" max="2" width="22.5" style="2" bestFit="1" customWidth="1"/>
    <col min="3" max="3" width="34.375" bestFit="1" customWidth="1" outlineLevel="1"/>
    <col min="4" max="4" width="25.875" customWidth="1" outlineLevel="1"/>
    <col min="5" max="5" width="7.25" bestFit="1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200</v>
      </c>
      <c r="B1" s="2" t="s">
        <v>307</v>
      </c>
    </row>
    <row r="2" spans="1:17" x14ac:dyDescent="0.2">
      <c r="A2" t="s">
        <v>1</v>
      </c>
      <c r="B2" s="2" t="s">
        <v>201</v>
      </c>
    </row>
    <row r="3" spans="1:17" x14ac:dyDescent="0.2">
      <c r="A3" t="s">
        <v>3</v>
      </c>
      <c r="B3" s="2" t="s">
        <v>202</v>
      </c>
    </row>
    <row r="4" spans="1:17" x14ac:dyDescent="0.2">
      <c r="A4" t="s">
        <v>4</v>
      </c>
      <c r="B4" s="2" t="s">
        <v>5</v>
      </c>
    </row>
    <row r="5" spans="1:17" x14ac:dyDescent="0.2">
      <c r="A5" t="s">
        <v>6</v>
      </c>
      <c r="B5" s="3" t="s">
        <v>203</v>
      </c>
    </row>
    <row r="6" spans="1:17" ht="15" thickBot="1" x14ac:dyDescent="0.25"/>
    <row r="7" spans="1:17" ht="19.5" customHeight="1" thickTop="1" x14ac:dyDescent="0.2">
      <c r="F7" s="21" t="s">
        <v>204</v>
      </c>
      <c r="G7" s="22"/>
      <c r="H7" s="23"/>
      <c r="I7" s="33" t="s">
        <v>205</v>
      </c>
      <c r="J7" s="34"/>
      <c r="K7" s="34"/>
      <c r="L7" s="35"/>
      <c r="M7" s="27" t="s">
        <v>206</v>
      </c>
      <c r="N7" s="28"/>
      <c r="O7" s="31" t="s">
        <v>207</v>
      </c>
      <c r="P7" s="31" t="s">
        <v>297</v>
      </c>
      <c r="Q7" s="31" t="s">
        <v>218</v>
      </c>
    </row>
    <row r="8" spans="1:17" ht="19.5" customHeight="1" thickBot="1" x14ac:dyDescent="0.25">
      <c r="F8" s="24"/>
      <c r="G8" s="25"/>
      <c r="H8" s="26"/>
      <c r="I8" s="33"/>
      <c r="J8" s="34"/>
      <c r="K8" s="34"/>
      <c r="L8" s="35"/>
      <c r="M8" s="29"/>
      <c r="N8" s="30"/>
      <c r="O8" s="32"/>
      <c r="P8" s="32"/>
      <c r="Q8" s="32"/>
    </row>
    <row r="9" spans="1:17" ht="15.75" thickTop="1" thickBot="1" x14ac:dyDescent="0.25"/>
    <row r="10" spans="1:17" ht="61.5" customHeight="1" thickTop="1" thickBot="1" x14ac:dyDescent="0.25">
      <c r="B10" s="7" t="s">
        <v>17</v>
      </c>
      <c r="C10" s="18" t="s">
        <v>281</v>
      </c>
      <c r="D10" s="18" t="s">
        <v>282</v>
      </c>
      <c r="E10" s="18" t="s">
        <v>207</v>
      </c>
      <c r="F10" s="19" t="s">
        <v>19</v>
      </c>
      <c r="G10" s="20" t="s">
        <v>208</v>
      </c>
      <c r="H10" s="20" t="s">
        <v>209</v>
      </c>
      <c r="I10" s="20" t="s">
        <v>210</v>
      </c>
      <c r="J10" s="20" t="s">
        <v>211</v>
      </c>
      <c r="K10" s="20" t="s">
        <v>212</v>
      </c>
      <c r="L10" s="20" t="s">
        <v>309</v>
      </c>
      <c r="M10" s="10" t="s">
        <v>213</v>
      </c>
      <c r="N10" s="10" t="s">
        <v>214</v>
      </c>
      <c r="O10" s="10" t="s">
        <v>215</v>
      </c>
      <c r="P10" s="10" t="s">
        <v>31</v>
      </c>
      <c r="Q10" s="10" t="s">
        <v>298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B12" s="2">
        <v>10148980474711</v>
      </c>
      <c r="C12" t="s">
        <v>284</v>
      </c>
      <c r="D12" t="s">
        <v>304</v>
      </c>
      <c r="F12" t="str">
        <f>IF(表1_53[[#This Row],[配件1]]&lt;&gt;"",_xlfn.XLOOKUP(表1_53[[#This Row],[配件1]],显卡利益点对照表[型号],显卡利益点对照表[标题1],"ERROR"),"")</f>
        <v>RTX5060 Ti</v>
      </c>
      <c r="G12" t="str">
        <f>IF(表1_53[[#This Row],[配件1]]&lt;&gt;"",_xlfn.XLOOKUP(表1_53[[#This Row],[配件1]],显卡利益点对照表[型号],显卡利益点对照表[标题2],"ERROR"),"")</f>
        <v>风魔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2" t="str">
        <f>IF(表1_53[[#This Row],[配件1]]&lt;&gt;"",_xlfn.XLOOKUP(表1_53[[#This Row],[配件1]],显卡利益点对照表[型号],显卡利益点对照表[利益点1],"ERROR"),"")</f>
        <v>铜板+复合式热管</v>
      </c>
      <c r="J12" t="str">
        <f>IF(表1_53[[#This Row],[配件1]]&lt;&gt;"",_xlfn.XLOOKUP(表1_53[[#This Row],[配件1]],显卡利益点对照表[型号],显卡利益点对照表[利益点2],"ERROR"),"")</f>
        <v>精巧双风扇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AI算力759TOPS</v>
      </c>
      <c r="M12" t="str">
        <f>IF(表1_53[[#This Row],[配件1]]&lt;&gt;"",_xlfn.XLOOKUP(表1_53[[#This Row],[配件1]],显卡利益点对照表[型号],显卡利益点对照表[可显性],"ERROR"),"")</f>
        <v>GV-N506TWF2 OC-16GD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>DLSS 4</v>
      </c>
      <c r="Q12" t="str" cm="1">
        <f t="array" ref="Q12">_xlfn.IFS(表1_53[[#This Row],[配件1]]="","",表1_53[[#This Row],[文本丨算力丨算力值]]&lt;&gt;"","算力")</f>
        <v>算力</v>
      </c>
    </row>
    <row r="13" spans="1:17" x14ac:dyDescent="0.2">
      <c r="B13" s="2">
        <v>10148980474712</v>
      </c>
      <c r="C13" t="s">
        <v>284</v>
      </c>
      <c r="D13" t="s">
        <v>296</v>
      </c>
      <c r="F13" t="str">
        <f>IF(表1_53[[#This Row],[配件1]]&lt;&gt;"",_xlfn.XLOOKUP(表1_53[[#This Row],[配件1]],显卡利益点对照表[型号],显卡利益点对照表[标题1],"ERROR"),"")</f>
        <v>RTX5060 Ti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AI算力759TOPS</v>
      </c>
      <c r="M13" t="str">
        <f>IF(表1_53[[#This Row],[配件1]]&lt;&gt;"",_xlfn.XLOOKUP(表1_53[[#This Row],[配件1]],显卡利益点对照表[型号],显卡利益点对照表[可显性],"ERROR"),"")</f>
        <v>GV-N506TWF2 OC-16GD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B14" s="2">
        <v>10076155580250</v>
      </c>
      <c r="C14" t="s">
        <v>293</v>
      </c>
      <c r="D14" t="s">
        <v>304</v>
      </c>
      <c r="F14" t="str">
        <f>IF(表1_53[[#This Row],[配件1]]&lt;&gt;"",_xlfn.XLOOKUP(表1_53[[#This Row],[配件1]],显卡利益点对照表[型号],显卡利益点对照表[标题1],"ERROR"),"")</f>
        <v>RTX5060 Ti</v>
      </c>
      <c r="G14" t="str">
        <f>IF(表1_53[[#This Row],[配件1]]&lt;&gt;"",_xlfn.XLOOKUP(表1_53[[#This Row],[配件1]],显卡利益点对照表[型号],显卡利益点对照表[标题2],"ERROR"),"")</f>
        <v>猎鹰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强化金属背板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AI算力759TOPS</v>
      </c>
      <c r="M14" t="str">
        <f>IF(表1_53[[#This Row],[配件1]]&lt;&gt;"",_xlfn.XLOOKUP(表1_53[[#This Row],[配件1]],显卡利益点对照表[型号],显卡利益点对照表[可显性],"ERROR"),"")</f>
        <v>GV-N506TEAGLE OC-16GD</v>
      </c>
      <c r="N1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>DLSS 4</v>
      </c>
      <c r="Q14" t="str" cm="1">
        <f t="array" ref="Q14">_xlfn.IFS(表1_53[[#This Row],[配件1]]="","",表1_53[[#This Row],[文本丨算力丨算力值]]&lt;&gt;"","算力")</f>
        <v>算力</v>
      </c>
    </row>
    <row r="15" spans="1:17" x14ac:dyDescent="0.2">
      <c r="B15" s="2">
        <v>10098325451766</v>
      </c>
      <c r="C15" t="s">
        <v>293</v>
      </c>
      <c r="D15" t="s">
        <v>296</v>
      </c>
      <c r="F15" t="str">
        <f>IF(表1_53[[#This Row],[配件1]]&lt;&gt;"",_xlfn.XLOOKUP(表1_53[[#This Row],[配件1]],显卡利益点对照表[型号],显卡利益点对照表[标题1],"ERROR"),"")</f>
        <v>RTX5060 Ti</v>
      </c>
      <c r="G15" t="str">
        <f>IF(表1_53[[#This Row],[配件1]]&lt;&gt;"",_xlfn.XLOOKUP(表1_53[[#This Row],[配件1]],显卡利益点对照表[型号],显卡利益点对照表[标题2],"ERROR"),"")</f>
        <v>猎鹰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强化金属背板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AI算力759TOPS</v>
      </c>
      <c r="M15" t="str">
        <f>IF(表1_53[[#This Row],[配件1]]&lt;&gt;"",_xlfn.XLOOKUP(表1_53[[#This Row],[配件1]],显卡利益点对照表[型号],显卡利益点对照表[可显性],"ERROR"),"")</f>
        <v>GV-N506TEAGLE OC-16GD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5" t="str">
        <f>IF(表1_53[[#This Row],[配件1]]&lt;&gt;"",_xlfn.XLOOKUP(表1_53[[#This Row],[配件1]],显卡利益点对照表[型号],显卡利益点对照表[LOGO],"ERROR"),"")</f>
        <v>DLSS 4</v>
      </c>
      <c r="Q15" t="str" cm="1">
        <f t="array" ref="Q15">_xlfn.IFS(表1_53[[#This Row],[配件1]]="","",表1_53[[#This Row],[文本丨算力丨算力值]]&lt;&gt;"","算力")</f>
        <v>算力</v>
      </c>
    </row>
    <row r="16" spans="1:17" x14ac:dyDescent="0.2">
      <c r="B16" s="2">
        <v>10148980474713</v>
      </c>
      <c r="C16" t="s">
        <v>292</v>
      </c>
      <c r="D16" t="s">
        <v>304</v>
      </c>
      <c r="F16" t="str">
        <f>IF(表1_53[[#This Row],[配件1]]&lt;&gt;"",_xlfn.XLOOKUP(表1_53[[#This Row],[配件1]],显卡利益点对照表[型号],显卡利益点对照表[标题1],"ERROR"),"")</f>
        <v>RTX5060 Ti</v>
      </c>
      <c r="G16" t="str">
        <f>IF(表1_53[[#This Row],[配件1]]&lt;&gt;"",_xlfn.XLOOKUP(表1_53[[#This Row],[配件1]],显卡利益点对照表[型号],显卡利益点对照表[标题2],"ERROR"),"")</f>
        <v>冰猎鹰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强化金属背板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AI算力759TOPS</v>
      </c>
      <c r="M16" t="str">
        <f>IF(表1_53[[#This Row],[配件1]]&lt;&gt;"",_xlfn.XLOOKUP(表1_53[[#This Row],[配件1]],显卡利益点对照表[型号],显卡利益点对照表[可显性],"ERROR"),"")</f>
        <v>GV-N506TEAGLE OC ICE-16GD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>DLSS 4</v>
      </c>
      <c r="Q16" t="str" cm="1">
        <f t="array" ref="Q16">_xlfn.IFS(表1_53[[#This Row],[配件1]]="","",表1_53[[#This Row],[文本丨算力丨算力值]]&lt;&gt;"","算力")</f>
        <v>算力</v>
      </c>
    </row>
    <row r="17" spans="2:17" x14ac:dyDescent="0.2">
      <c r="B17" s="2">
        <v>10148980474714</v>
      </c>
      <c r="C17" t="s">
        <v>292</v>
      </c>
      <c r="D17" t="s">
        <v>222</v>
      </c>
      <c r="F17" t="str">
        <f>IF(表1_53[[#This Row],[配件1]]&lt;&gt;"",_xlfn.XLOOKUP(表1_53[[#This Row],[配件1]],显卡利益点对照表[型号],显卡利益点对照表[标题1],"ERROR"),"")</f>
        <v>RTX5060 Ti</v>
      </c>
      <c r="G17" t="str">
        <f>IF(表1_53[[#This Row],[配件1]]&lt;&gt;"",_xlfn.XLOOKUP(表1_53[[#This Row],[配件1]],显卡利益点对照表[型号],显卡利益点对照表[标题2],"ERROR"),"")</f>
        <v>冰猎鹰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AI算力759TOPS</v>
      </c>
      <c r="M17" t="str">
        <f>IF(表1_53[[#This Row],[配件1]]&lt;&gt;"",_xlfn.XLOOKUP(表1_53[[#This Row],[配件1]],显卡利益点对照表[型号],显卡利益点对照表[可显性],"ERROR"),"")</f>
        <v>GV-N506TEAGLE OC ICE-16GD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17" t="str">
        <f>IF(表1_53[[#This Row],[配件1]]&lt;&gt;"",_xlfn.XLOOKUP(表1_53[[#This Row],[配件1]],显卡利益点对照表[型号],显卡利益点对照表[LOGO],"ERROR"),"")</f>
        <v>DLSS 4</v>
      </c>
      <c r="Q17" t="str" cm="1">
        <f t="array" ref="Q17">_xlfn.IFS(表1_53[[#This Row],[配件1]]="","",表1_53[[#This Row],[文本丨算力丨算力值]]&lt;&gt;"","算力")</f>
        <v>算力</v>
      </c>
    </row>
    <row r="18" spans="2:17" x14ac:dyDescent="0.2">
      <c r="B18" s="2">
        <v>10076155580252</v>
      </c>
      <c r="C18" t="s">
        <v>289</v>
      </c>
      <c r="D18" t="s">
        <v>304</v>
      </c>
      <c r="F18" t="str">
        <f>IF(表1_53[[#This Row],[配件1]]&lt;&gt;"",_xlfn.XLOOKUP(表1_53[[#This Row],[配件1]],显卡利益点对照表[型号],显卡利益点对照表[标题1],"ERROR"),"")</f>
        <v>RTX5060 Ti</v>
      </c>
      <c r="G18" t="str">
        <f>IF(表1_53[[#This Row],[配件1]]&lt;&gt;"",_xlfn.XLOOKUP(表1_53[[#This Row],[配件1]],显卡利益点对照表[型号],显卡利益点对照表[标题2],"ERROR"),"")</f>
        <v>魔鹰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RGB滑动侧板</v>
      </c>
      <c r="K18" t="str">
        <f>IF(表1_53[[#This Row],[配件1]]&lt;&gt;"",_xlfn.XLOOKUP(表1_53[[#This Row],[配件1]],显卡利益点对照表[型号],显卡利益点对照表[利益点3],"ERROR"),"")</f>
        <v>强化金属背板</v>
      </c>
      <c r="L18" t="str">
        <f>IF(表1_53[[#This Row],[配件1]]&lt;&gt;"",_xlfn.XLOOKUP(表1_53[[#This Row],[配件1]],显卡利益点对照表[型号],显卡利益点对照表[算力],"ERROR"),"")</f>
        <v>AI算力759TOPS</v>
      </c>
      <c r="M18" t="str">
        <f>IF(表1_53[[#This Row],[配件1]]&lt;&gt;"",_xlfn.XLOOKUP(表1_53[[#This Row],[配件1]],显卡利益点对照表[型号],显卡利益点对照表[可显性],"ERROR"),"")</f>
        <v>GV-N506TGAMING OC-16GD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>DLSS 4</v>
      </c>
      <c r="Q18" t="str" cm="1">
        <f t="array" ref="Q18">_xlfn.IFS(表1_53[[#This Row],[配件1]]="","",表1_53[[#This Row],[文本丨算力丨算力值]]&lt;&gt;"","算力")</f>
        <v>算力</v>
      </c>
    </row>
    <row r="19" spans="2:17" x14ac:dyDescent="0.2">
      <c r="B19" s="2">
        <v>10098325451768</v>
      </c>
      <c r="C19" t="s">
        <v>289</v>
      </c>
      <c r="D19" t="s">
        <v>296</v>
      </c>
      <c r="F19" t="str">
        <f>IF(表1_53[[#This Row],[配件1]]&lt;&gt;"",_xlfn.XLOOKUP(表1_53[[#This Row],[配件1]],显卡利益点对照表[型号],显卡利益点对照表[标题1],"ERROR"),"")</f>
        <v>RTX5060 Ti</v>
      </c>
      <c r="G19" t="str">
        <f>IF(表1_53[[#This Row],[配件1]]&lt;&gt;"",_xlfn.XLOOKUP(表1_53[[#This Row],[配件1]],显卡利益点对照表[型号],显卡利益点对照表[标题2],"ERROR"),"")</f>
        <v>魔鹰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RGB滑动侧板</v>
      </c>
      <c r="K19" t="str">
        <f>IF(表1_53[[#This Row],[配件1]]&lt;&gt;"",_xlfn.XLOOKUP(表1_53[[#This Row],[配件1]],显卡利益点对照表[型号],显卡利益点对照表[利益点3],"ERROR"),"")</f>
        <v>强化金属背板</v>
      </c>
      <c r="L19" t="str">
        <f>IF(表1_53[[#This Row],[配件1]]&lt;&gt;"",_xlfn.XLOOKUP(表1_53[[#This Row],[配件1]],显卡利益点对照表[型号],显卡利益点对照表[算力],"ERROR"),"")</f>
        <v>AI算力759TOPS</v>
      </c>
      <c r="M19" t="str">
        <f>IF(表1_53[[#This Row],[配件1]]&lt;&gt;"",_xlfn.XLOOKUP(表1_53[[#This Row],[配件1]],显卡利益点对照表[型号],显卡利益点对照表[可显性],"ERROR"),"")</f>
        <v>GV-N506TGAMING OC-16GD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9" t="str">
        <f>IF(表1_53[[#This Row],[配件1]]&lt;&gt;"",_xlfn.XLOOKUP(表1_53[[#This Row],[配件1]],显卡利益点对照表[型号],显卡利益点对照表[LOGO],"ERROR"),"")</f>
        <v>DLSS 4</v>
      </c>
      <c r="Q19" t="str" cm="1">
        <f t="array" ref="Q19">_xlfn.IFS(表1_53[[#This Row],[配件1]]="","",表1_53[[#This Row],[文本丨算力丨算力值]]&lt;&gt;"","算力")</f>
        <v>算力</v>
      </c>
    </row>
    <row r="20" spans="2:17" x14ac:dyDescent="0.2">
      <c r="B20" s="2">
        <v>10076155580254</v>
      </c>
      <c r="C20" t="s">
        <v>287</v>
      </c>
      <c r="D20" t="s">
        <v>304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AERO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银白雪装外观</v>
      </c>
      <c r="K20" t="str">
        <f>IF(表1_53[[#This Row],[配件1]]&lt;&gt;"",_xlfn.XLOOKUP(表1_53[[#This Row],[配件1]],显卡利益点对照表[型号],显卡利益点对照表[利益点3],"ERROR"),"")</f>
        <v>强化金属背板</v>
      </c>
      <c r="L20" t="str">
        <f>IF(表1_53[[#This Row],[配件1]]&lt;&gt;"",_xlfn.XLOOKUP(表1_53[[#This Row],[配件1]],显卡利益点对照表[型号],显卡利益点对照表[算力],"ERROR"),"")</f>
        <v>AI算力759TOPS</v>
      </c>
      <c r="M20" t="str">
        <f>IF(表1_53[[#This Row],[配件1]]&lt;&gt;"",_xlfn.XLOOKUP(表1_53[[#This Row],[配件1]],显卡利益点对照表[型号],显卡利益点对照表[可显性],"ERROR"),"")</f>
        <v>GV-N506TAERO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">
        <v>10098325451769</v>
      </c>
      <c r="C21" t="s">
        <v>287</v>
      </c>
      <c r="D21" t="s">
        <v>222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AERO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银白雪装外观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AI算力759TOPS</v>
      </c>
      <c r="M21" t="str">
        <f>IF(表1_53[[#This Row],[配件1]]&lt;&gt;"",_xlfn.XLOOKUP(表1_53[[#This Row],[配件1]],显卡利益点对照表[型号],显卡利益点对照表[可显性],"ERROR"),"")</f>
        <v>GV-N506TAERO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">
        <v>10076155580248</v>
      </c>
      <c r="C22" t="s">
        <v>288</v>
      </c>
      <c r="D22" t="s">
        <v>304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风魔16G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16G超大显存</v>
      </c>
      <c r="L22" t="str">
        <f>IF(表1_53[[#This Row],[配件1]]&lt;&gt;"",_xlfn.XLOOKUP(表1_53[[#This Row],[配件1]],显卡利益点对照表[型号],显卡利益点对照表[算力],"ERROR"),"")</f>
        <v>AI算力759TOPS</v>
      </c>
      <c r="M22" t="str">
        <f>IF(表1_53[[#This Row],[配件1]]&lt;&gt;"",_xlfn.XLOOKUP(表1_53[[#This Row],[配件1]],显卡利益点对照表[型号],显卡利益点对照表[可显性],"ERROR"),"")</f>
        <v>GV-N506TWF2 OC-16GD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">
        <v>10098325451770</v>
      </c>
      <c r="C23" t="s">
        <v>288</v>
      </c>
      <c r="D23" t="s">
        <v>296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风魔16G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16G超大显存</v>
      </c>
      <c r="L23" t="str">
        <f>IF(表1_53[[#This Row],[配件1]]&lt;&gt;"",_xlfn.XLOOKUP(表1_53[[#This Row],[配件1]],显卡利益点对照表[型号],显卡利益点对照表[算力],"ERROR"),"")</f>
        <v>AI算力759TOPS</v>
      </c>
      <c r="M23" t="str">
        <f>IF(表1_53[[#This Row],[配件1]]&lt;&gt;"",_xlfn.XLOOKUP(表1_53[[#This Row],[配件1]],显卡利益点对照表[型号],显卡利益点对照表[可显性],"ERROR"),"")</f>
        <v>GV-N506TWF2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">
        <v>10148977887434</v>
      </c>
      <c r="C24" t="s">
        <v>295</v>
      </c>
      <c r="D24" t="s">
        <v>304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猎鹰 16G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16G超大显存</v>
      </c>
      <c r="L24" t="str">
        <f>IF(表1_53[[#This Row],[配件1]]&lt;&gt;"",_xlfn.XLOOKUP(表1_53[[#This Row],[配件1]],显卡利益点对照表[型号],显卡利益点对照表[算力],"ERROR"),"")</f>
        <v>AI算力759TOPS</v>
      </c>
      <c r="M24" t="str">
        <f>IF(表1_53[[#This Row],[配件1]]&lt;&gt;"",_xlfn.XLOOKUP(表1_53[[#This Row],[配件1]],显卡利益点对照表[型号],显卡利益点对照表[可显性],"ERROR"),"")</f>
        <v>GV-N506TEAGLE OC-16GD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">
        <v>10148977887435</v>
      </c>
      <c r="C25" t="s">
        <v>295</v>
      </c>
      <c r="D25" t="s">
        <v>296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猎鹰 16G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16G超大显存</v>
      </c>
      <c r="L25" t="str">
        <f>IF(表1_53[[#This Row],[配件1]]&lt;&gt;"",_xlfn.XLOOKUP(表1_53[[#This Row],[配件1]],显卡利益点对照表[型号],显卡利益点对照表[算力],"ERROR"),"")</f>
        <v>AI算力759TOPS</v>
      </c>
      <c r="M25" t="str">
        <f>IF(表1_53[[#This Row],[配件1]]&lt;&gt;"",_xlfn.XLOOKUP(表1_53[[#This Row],[配件1]],显卡利益点对照表[型号],显卡利益点对照表[可显性],"ERROR"),"")</f>
        <v>GV-N506TEAGLE OC-16GD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">
        <v>10148977887436</v>
      </c>
      <c r="C26" t="s">
        <v>291</v>
      </c>
      <c r="D26" t="s">
        <v>304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冰猎鹰 16G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强化金属背板</v>
      </c>
      <c r="K26" t="str">
        <f>IF(表1_53[[#This Row],[配件1]]&lt;&gt;"",_xlfn.XLOOKUP(表1_53[[#This Row],[配件1]],显卡利益点对照表[型号],显卡利益点对照表[利益点3],"ERROR"),"")</f>
        <v>16G超大显存</v>
      </c>
      <c r="L26" t="str">
        <f>IF(表1_53[[#This Row],[配件1]]&lt;&gt;"",_xlfn.XLOOKUP(表1_53[[#This Row],[配件1]],显卡利益点对照表[型号],显卡利益点对照表[算力],"ERROR"),"")</f>
        <v>AI算力759TOPS</v>
      </c>
      <c r="M26" t="str">
        <f>IF(表1_53[[#This Row],[配件1]]&lt;&gt;"",_xlfn.XLOOKUP(表1_53[[#This Row],[配件1]],显卡利益点对照表[型号],显卡利益点对照表[可显性],"ERROR"),"")</f>
        <v>GV-N506TEAGLE OC ICE-16GD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">
        <v>10148977887437</v>
      </c>
      <c r="C27" t="s">
        <v>291</v>
      </c>
      <c r="D27" t="s">
        <v>222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冰猎鹰 16G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强化金属背板</v>
      </c>
      <c r="K27" t="str">
        <f>IF(表1_53[[#This Row],[配件1]]&lt;&gt;"",_xlfn.XLOOKUP(表1_53[[#This Row],[配件1]],显卡利益点对照表[型号],显卡利益点对照表[利益点3],"ERROR"),"")</f>
        <v>16G超大显存</v>
      </c>
      <c r="L27" t="str">
        <f>IF(表1_53[[#This Row],[配件1]]&lt;&gt;"",_xlfn.XLOOKUP(表1_53[[#This Row],[配件1]],显卡利益点对照表[型号],显卡利益点对照表[算力],"ERROR"),"")</f>
        <v>AI算力759TOPS</v>
      </c>
      <c r="M27" t="str">
        <f>IF(表1_53[[#This Row],[配件1]]&lt;&gt;"",_xlfn.XLOOKUP(表1_53[[#This Row],[配件1]],显卡利益点对照表[型号],显卡利益点对照表[可显性],"ERROR"),"")</f>
        <v>GV-N506TEAGLE OC ICE-16GD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">
        <v>10080978603165</v>
      </c>
      <c r="C28" t="s">
        <v>290</v>
      </c>
      <c r="D28" t="s">
        <v>304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魔鹰 16G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RGB滑动侧板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AI算力759TOPS</v>
      </c>
      <c r="M28" t="str">
        <f>IF(表1_53[[#This Row],[配件1]]&lt;&gt;"",_xlfn.XLOOKUP(表1_53[[#This Row],[配件1]],显卡利益点对照表[型号],显卡利益点对照表[可显性],"ERROR"),"")</f>
        <v>GV-N506TGAMING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">
        <v>10098325451771</v>
      </c>
      <c r="C29" t="s">
        <v>290</v>
      </c>
      <c r="D29" t="s">
        <v>296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魔鹰 16G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AI算力759TOPS</v>
      </c>
      <c r="M29" t="str">
        <f>IF(表1_53[[#This Row],[配件1]]&lt;&gt;"",_xlfn.XLOOKUP(表1_53[[#This Row],[配件1]],显卡利益点对照表[型号],显卡利益点对照表[可显性],"ERROR"),"")</f>
        <v>GV-N506TGAMING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">
        <v>10080978603167</v>
      </c>
      <c r="C30" t="s">
        <v>286</v>
      </c>
      <c r="D30" t="s">
        <v>304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AERO 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银白雪装外观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AI算力759TOPS</v>
      </c>
      <c r="M30" t="str">
        <f>IF(表1_53[[#This Row],[配件1]]&lt;&gt;"",_xlfn.XLOOKUP(表1_53[[#This Row],[配件1]],显卡利益点对照表[型号],显卡利益点对照表[可显性],"ERROR"),"")</f>
        <v>GV-N506TAERO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">
        <v>10148973357244</v>
      </c>
      <c r="C31" t="s">
        <v>286</v>
      </c>
      <c r="D31" t="s">
        <v>222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AERO 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AI算力759TOPS</v>
      </c>
      <c r="M31" t="str">
        <f>IF(表1_53[[#This Row],[配件1]]&lt;&gt;"",_xlfn.XLOOKUP(表1_53[[#This Row],[配件1]],显卡利益点对照表[型号],显卡利益点对照表[可显性],"ERROR"),"")</f>
        <v>GV-N506TAERO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">
        <v>10076155580256</v>
      </c>
      <c r="C32" t="s">
        <v>285</v>
      </c>
      <c r="D32" t="s">
        <v>304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小雕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2" t="str">
        <f>IF(表1_53[[#This Row],[配件1]]&lt;&gt;"",_xlfn.XLOOKUP(表1_53[[#This Row],[配件1]],显卡利益点对照表[型号],显卡利益点对照表[利益点1],"ERROR"),"")</f>
        <v>注册4年保/个人送保丨25</v>
      </c>
      <c r="J32" t="str">
        <f>IF(表1_53[[#This Row],[配件1]]&lt;&gt;"",_xlfn.XLOOKUP(表1_53[[#This Row],[配件1]],显卡利益点对照表[型号],显卡利益点对照表[利益点2],"ERROR"),"")</f>
        <v>RGB幻彩光轮</v>
      </c>
      <c r="K32" t="str">
        <f>IF(表1_53[[#This Row],[配件1]]&lt;&gt;"",_xlfn.XLOOKUP(表1_53[[#This Row],[配件1]],显卡利益点对照表[型号],显卡利益点对照表[利益点3],"ERROR"),"")</f>
        <v>五重高效散热</v>
      </c>
      <c r="L32" t="str">
        <f>IF(表1_53[[#This Row],[配件1]]&lt;&gt;"",_xlfn.XLOOKUP(表1_53[[#This Row],[配件1]],显卡利益点对照表[型号],显卡利益点对照表[算力],"ERROR"),"")</f>
        <v>AI算力759TOPS</v>
      </c>
      <c r="M32" t="str">
        <f>IF(表1_53[[#This Row],[配件1]]&lt;&gt;"",_xlfn.XLOOKUP(表1_53[[#This Row],[配件1]],显卡利益点对照表[型号],显卡利益点对照表[可显性],"ERROR"),"")</f>
        <v>GV-N506TAORUS E-16GD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">
        <v>10148973357245</v>
      </c>
      <c r="C33" t="s">
        <v>285</v>
      </c>
      <c r="D33" t="s">
        <v>296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小雕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AI算力759TOPS</v>
      </c>
      <c r="M33" t="str">
        <f>IF(表1_53[[#This Row],[配件1]]&lt;&gt;"",_xlfn.XLOOKUP(表1_53[[#This Row],[配件1]],显卡利益点对照表[型号],显卡利益点对照表[可显性],"ERROR"),"")</f>
        <v>GV-N506TAORUS E-16GD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</sheetData>
  <mergeCells count="6">
    <mergeCell ref="F7:H8"/>
    <mergeCell ref="M7:N8"/>
    <mergeCell ref="O7:O8"/>
    <mergeCell ref="P7:P8"/>
    <mergeCell ref="Q7:Q8"/>
    <mergeCell ref="I7:L8"/>
  </mergeCells>
  <phoneticPr fontId="7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41"/>
  <sheetViews>
    <sheetView workbookViewId="0">
      <selection activeCell="F33" sqref="F33"/>
    </sheetView>
  </sheetViews>
  <sheetFormatPr defaultRowHeight="14.25" x14ac:dyDescent="0.2"/>
  <cols>
    <col min="2" max="2" width="28.75" bestFit="1" customWidth="1"/>
    <col min="3" max="3" width="24.125" bestFit="1" customWidth="1"/>
    <col min="4" max="4" width="18.375" bestFit="1" customWidth="1"/>
    <col min="5" max="5" width="11" bestFit="1" customWidth="1"/>
    <col min="6" max="6" width="13.375" bestFit="1" customWidth="1"/>
    <col min="7" max="7" width="23.5" bestFit="1" customWidth="1"/>
    <col min="8" max="9" width="13" bestFit="1" customWidth="1"/>
    <col min="10" max="10" width="28" customWidth="1"/>
    <col min="11" max="11" width="17" customWidth="1"/>
    <col min="12" max="12" width="20.875" customWidth="1"/>
  </cols>
  <sheetData>
    <row r="8" spans="2:12" x14ac:dyDescent="0.2">
      <c r="B8" t="s">
        <v>280</v>
      </c>
      <c r="C8" t="s">
        <v>283</v>
      </c>
      <c r="D8" t="s">
        <v>248</v>
      </c>
      <c r="E8" t="s">
        <v>249</v>
      </c>
      <c r="F8" t="s">
        <v>250</v>
      </c>
      <c r="G8" t="s">
        <v>251</v>
      </c>
      <c r="H8" t="s">
        <v>252</v>
      </c>
      <c r="I8" t="s">
        <v>253</v>
      </c>
      <c r="J8" t="s">
        <v>254</v>
      </c>
      <c r="K8" t="s">
        <v>279</v>
      </c>
      <c r="L8" t="s">
        <v>218</v>
      </c>
    </row>
    <row r="9" spans="2:12" x14ac:dyDescent="0.2">
      <c r="B9" t="s">
        <v>284</v>
      </c>
      <c r="D9" t="s">
        <v>255</v>
      </c>
      <c r="E9" t="s">
        <v>256</v>
      </c>
      <c r="F9" t="s">
        <v>257</v>
      </c>
      <c r="G9" t="s">
        <v>258</v>
      </c>
      <c r="H9" t="s">
        <v>259</v>
      </c>
      <c r="I9" t="s">
        <v>260</v>
      </c>
      <c r="J9" t="s">
        <v>188</v>
      </c>
      <c r="K9" t="s">
        <v>235</v>
      </c>
      <c r="L9" t="s">
        <v>278</v>
      </c>
    </row>
    <row r="10" spans="2:12" x14ac:dyDescent="0.2">
      <c r="B10" t="s">
        <v>288</v>
      </c>
      <c r="D10" t="s">
        <v>255</v>
      </c>
      <c r="E10" t="s">
        <v>261</v>
      </c>
      <c r="F10" t="s">
        <v>257</v>
      </c>
      <c r="G10" t="s">
        <v>258</v>
      </c>
      <c r="H10" t="s">
        <v>259</v>
      </c>
      <c r="I10" t="s">
        <v>262</v>
      </c>
      <c r="J10" t="s">
        <v>188</v>
      </c>
      <c r="K10" t="s">
        <v>235</v>
      </c>
      <c r="L10" t="s">
        <v>278</v>
      </c>
    </row>
    <row r="11" spans="2:12" x14ac:dyDescent="0.2">
      <c r="D11" t="s">
        <v>255</v>
      </c>
      <c r="E11" t="s">
        <v>256</v>
      </c>
      <c r="F11" t="s">
        <v>263</v>
      </c>
      <c r="G11" t="s">
        <v>258</v>
      </c>
      <c r="H11" t="s">
        <v>259</v>
      </c>
      <c r="I11" t="s">
        <v>260</v>
      </c>
      <c r="J11" t="s">
        <v>188</v>
      </c>
      <c r="K11" t="s">
        <v>235</v>
      </c>
      <c r="L11" t="s">
        <v>278</v>
      </c>
    </row>
    <row r="12" spans="2:12" x14ac:dyDescent="0.2">
      <c r="D12" t="s">
        <v>255</v>
      </c>
      <c r="E12" t="s">
        <v>224</v>
      </c>
      <c r="F12" t="s">
        <v>263</v>
      </c>
      <c r="G12" t="s">
        <v>258</v>
      </c>
      <c r="H12" t="s">
        <v>259</v>
      </c>
      <c r="I12" t="s">
        <v>262</v>
      </c>
      <c r="J12" t="s">
        <v>188</v>
      </c>
      <c r="K12" t="s">
        <v>235</v>
      </c>
      <c r="L12" t="s">
        <v>278</v>
      </c>
    </row>
    <row r="13" spans="2:12" x14ac:dyDescent="0.2">
      <c r="B13" t="s">
        <v>293</v>
      </c>
      <c r="D13" t="s">
        <v>255</v>
      </c>
      <c r="E13" t="s">
        <v>264</v>
      </c>
      <c r="F13" t="s">
        <v>265</v>
      </c>
      <c r="G13" t="s">
        <v>258</v>
      </c>
      <c r="H13" t="s">
        <v>305</v>
      </c>
      <c r="I13" t="s">
        <v>260</v>
      </c>
      <c r="J13" t="s">
        <v>190</v>
      </c>
      <c r="K13" t="s">
        <v>235</v>
      </c>
      <c r="L13" t="s">
        <v>278</v>
      </c>
    </row>
    <row r="14" spans="2:12" x14ac:dyDescent="0.2">
      <c r="B14" t="s">
        <v>295</v>
      </c>
      <c r="D14" t="s">
        <v>255</v>
      </c>
      <c r="E14" t="s">
        <v>294</v>
      </c>
      <c r="F14" t="s">
        <v>265</v>
      </c>
      <c r="G14" t="s">
        <v>258</v>
      </c>
      <c r="H14" t="s">
        <v>305</v>
      </c>
      <c r="I14" t="s">
        <v>262</v>
      </c>
      <c r="J14" t="s">
        <v>190</v>
      </c>
      <c r="K14" t="s">
        <v>235</v>
      </c>
      <c r="L14" t="s">
        <v>278</v>
      </c>
    </row>
    <row r="15" spans="2:12" x14ac:dyDescent="0.2">
      <c r="B15" t="s">
        <v>292</v>
      </c>
      <c r="D15" t="s">
        <v>255</v>
      </c>
      <c r="E15" t="s">
        <v>266</v>
      </c>
      <c r="F15" t="s">
        <v>267</v>
      </c>
      <c r="G15" t="s">
        <v>258</v>
      </c>
      <c r="H15" t="s">
        <v>305</v>
      </c>
      <c r="I15" t="s">
        <v>260</v>
      </c>
      <c r="J15" t="s">
        <v>192</v>
      </c>
      <c r="K15" t="s">
        <v>235</v>
      </c>
      <c r="L15" t="s">
        <v>278</v>
      </c>
    </row>
    <row r="16" spans="2:12" x14ac:dyDescent="0.2">
      <c r="B16" t="s">
        <v>291</v>
      </c>
      <c r="D16" t="s">
        <v>255</v>
      </c>
      <c r="E16" t="s">
        <v>268</v>
      </c>
      <c r="F16" t="s">
        <v>267</v>
      </c>
      <c r="G16" t="s">
        <v>258</v>
      </c>
      <c r="H16" t="s">
        <v>305</v>
      </c>
      <c r="I16" t="s">
        <v>262</v>
      </c>
      <c r="J16" t="s">
        <v>192</v>
      </c>
      <c r="K16" t="s">
        <v>235</v>
      </c>
      <c r="L16" t="s">
        <v>278</v>
      </c>
    </row>
    <row r="17" spans="2:12" x14ac:dyDescent="0.2">
      <c r="B17" t="s">
        <v>289</v>
      </c>
      <c r="D17" t="s">
        <v>255</v>
      </c>
      <c r="E17" t="s">
        <v>269</v>
      </c>
      <c r="F17" t="s">
        <v>270</v>
      </c>
      <c r="G17" t="s">
        <v>258</v>
      </c>
      <c r="H17" t="s">
        <v>271</v>
      </c>
      <c r="I17" t="s">
        <v>229</v>
      </c>
      <c r="J17" t="s">
        <v>194</v>
      </c>
      <c r="K17" t="s">
        <v>235</v>
      </c>
      <c r="L17" t="s">
        <v>278</v>
      </c>
    </row>
    <row r="18" spans="2:12" x14ac:dyDescent="0.2">
      <c r="B18" t="s">
        <v>290</v>
      </c>
      <c r="D18" t="s">
        <v>255</v>
      </c>
      <c r="E18" t="s">
        <v>225</v>
      </c>
      <c r="F18" t="s">
        <v>270</v>
      </c>
      <c r="G18" t="s">
        <v>258</v>
      </c>
      <c r="H18" t="s">
        <v>271</v>
      </c>
      <c r="I18" t="s">
        <v>229</v>
      </c>
      <c r="J18" t="s">
        <v>194</v>
      </c>
      <c r="K18" t="s">
        <v>235</v>
      </c>
      <c r="L18" t="s">
        <v>278</v>
      </c>
    </row>
    <row r="19" spans="2:12" x14ac:dyDescent="0.2">
      <c r="B19" t="s">
        <v>287</v>
      </c>
      <c r="D19" t="s">
        <v>255</v>
      </c>
      <c r="E19" t="s">
        <v>272</v>
      </c>
      <c r="F19" t="s">
        <v>237</v>
      </c>
      <c r="G19" t="s">
        <v>258</v>
      </c>
      <c r="H19" t="s">
        <v>273</v>
      </c>
      <c r="I19" t="s">
        <v>229</v>
      </c>
      <c r="J19" t="s">
        <v>196</v>
      </c>
      <c r="K19" t="s">
        <v>235</v>
      </c>
      <c r="L19" t="s">
        <v>278</v>
      </c>
    </row>
    <row r="20" spans="2:12" x14ac:dyDescent="0.2">
      <c r="B20" t="s">
        <v>286</v>
      </c>
      <c r="D20" t="s">
        <v>255</v>
      </c>
      <c r="E20" t="s">
        <v>274</v>
      </c>
      <c r="F20" t="s">
        <v>237</v>
      </c>
      <c r="G20" t="s">
        <v>258</v>
      </c>
      <c r="H20" t="s">
        <v>273</v>
      </c>
      <c r="I20" t="s">
        <v>229</v>
      </c>
      <c r="J20" t="s">
        <v>196</v>
      </c>
      <c r="K20" t="s">
        <v>235</v>
      </c>
      <c r="L20" t="s">
        <v>278</v>
      </c>
    </row>
    <row r="21" spans="2:12" x14ac:dyDescent="0.2">
      <c r="B21" t="s">
        <v>285</v>
      </c>
      <c r="D21" t="s">
        <v>255</v>
      </c>
      <c r="E21" t="s">
        <v>275</v>
      </c>
      <c r="F21" t="s">
        <v>276</v>
      </c>
      <c r="G21" t="s">
        <v>277</v>
      </c>
      <c r="H21" t="s">
        <v>228</v>
      </c>
      <c r="I21" t="s">
        <v>238</v>
      </c>
      <c r="J21" t="s">
        <v>197</v>
      </c>
      <c r="K21" t="s">
        <v>235</v>
      </c>
      <c r="L21" t="s">
        <v>278</v>
      </c>
    </row>
    <row r="28" spans="2:12" x14ac:dyDescent="0.2">
      <c r="B28" t="s">
        <v>280</v>
      </c>
      <c r="C28" t="s">
        <v>248</v>
      </c>
      <c r="D28" t="s">
        <v>254</v>
      </c>
    </row>
    <row r="29" spans="2:12" x14ac:dyDescent="0.2">
      <c r="B29" t="s">
        <v>303</v>
      </c>
      <c r="C29" t="s">
        <v>216</v>
      </c>
      <c r="D29" t="s">
        <v>217</v>
      </c>
    </row>
    <row r="30" spans="2:12" x14ac:dyDescent="0.2">
      <c r="B30" t="s">
        <v>219</v>
      </c>
      <c r="C30" t="s">
        <v>216</v>
      </c>
      <c r="D30" t="s">
        <v>220</v>
      </c>
    </row>
    <row r="31" spans="2:12" x14ac:dyDescent="0.2">
      <c r="B31" t="s">
        <v>296</v>
      </c>
      <c r="C31" t="s">
        <v>221</v>
      </c>
      <c r="D31" t="s">
        <v>299</v>
      </c>
    </row>
    <row r="32" spans="2:12" x14ac:dyDescent="0.2">
      <c r="B32" t="s">
        <v>222</v>
      </c>
      <c r="C32" t="s">
        <v>221</v>
      </c>
      <c r="D32" t="s">
        <v>223</v>
      </c>
    </row>
    <row r="33" spans="2:4" x14ac:dyDescent="0.2">
      <c r="B33" t="s">
        <v>227</v>
      </c>
      <c r="C33" t="s">
        <v>226</v>
      </c>
      <c r="D33" t="s">
        <v>227</v>
      </c>
    </row>
    <row r="34" spans="2:4" x14ac:dyDescent="0.2">
      <c r="B34" t="s">
        <v>230</v>
      </c>
      <c r="C34" t="s">
        <v>231</v>
      </c>
      <c r="D34" t="s">
        <v>232</v>
      </c>
    </row>
    <row r="35" spans="2:4" x14ac:dyDescent="0.2">
      <c r="B35" t="s">
        <v>233</v>
      </c>
      <c r="C35" t="s">
        <v>231</v>
      </c>
      <c r="D35" t="s">
        <v>234</v>
      </c>
    </row>
    <row r="36" spans="2:4" x14ac:dyDescent="0.2">
      <c r="B36" t="s">
        <v>236</v>
      </c>
      <c r="C36" t="s">
        <v>226</v>
      </c>
      <c r="D36" t="s">
        <v>300</v>
      </c>
    </row>
    <row r="37" spans="2:4" x14ac:dyDescent="0.2">
      <c r="B37" t="s">
        <v>239</v>
      </c>
      <c r="C37" t="s">
        <v>240</v>
      </c>
      <c r="D37" t="s">
        <v>241</v>
      </c>
    </row>
    <row r="38" spans="2:4" x14ac:dyDescent="0.2">
      <c r="B38" t="s">
        <v>242</v>
      </c>
      <c r="C38" s="11" t="s">
        <v>306</v>
      </c>
      <c r="D38" t="s">
        <v>301</v>
      </c>
    </row>
    <row r="39" spans="2:4" x14ac:dyDescent="0.2">
      <c r="B39" t="s">
        <v>243</v>
      </c>
      <c r="C39" s="11" t="s">
        <v>306</v>
      </c>
      <c r="D39" t="s">
        <v>244</v>
      </c>
    </row>
    <row r="40" spans="2:4" x14ac:dyDescent="0.2">
      <c r="B40" t="s">
        <v>245</v>
      </c>
      <c r="C40" t="s">
        <v>221</v>
      </c>
      <c r="D40" t="s">
        <v>246</v>
      </c>
    </row>
    <row r="41" spans="2:4" x14ac:dyDescent="0.2">
      <c r="B41" t="s">
        <v>247</v>
      </c>
      <c r="C41" t="s">
        <v>231</v>
      </c>
      <c r="D41" t="s">
        <v>302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2025-05-12T02:50:19Z</dcterms:modified>
</cp:coreProperties>
</file>