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06FCB641-6A14-4743-AE64-02FDC6245C11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显卡参数新" sheetId="2" r:id="rId1"/>
    <sheet name="显卡" sheetId="3" r:id="rId2"/>
    <sheet name="板U卡" sheetId="4" r:id="rId3"/>
    <sheet name="电源" sheetId="5" r:id="rId4"/>
    <sheet name="利益点对照表" sheetId="1" r:id="rId5"/>
  </sheets>
  <definedNames>
    <definedName name="_xleta.OR" hidden="1" xlm="1">#NAME?</definedName>
    <definedName name="export_folder" localSheetId="2">板U卡!$B$3</definedName>
    <definedName name="export_folder" localSheetId="3">电源!$B$3</definedName>
    <definedName name="export_folder" localSheetId="1">显卡!$B$3</definedName>
    <definedName name="export_folder" localSheetId="0">显卡参数新!$B$3</definedName>
    <definedName name="file_format" localSheetId="2">板U卡!$B$4</definedName>
    <definedName name="file_format" localSheetId="3">电源!$B$4</definedName>
    <definedName name="file_format" localSheetId="1">显卡!$B$4</definedName>
    <definedName name="file_format" localSheetId="0">显卡参数新!$B$4</definedName>
    <definedName name="psd_file_path" localSheetId="2">板U卡!$B$1</definedName>
    <definedName name="psd_file_path" localSheetId="3">电源!$B$1</definedName>
    <definedName name="psd_file_path" localSheetId="1">显卡!$B$1</definedName>
    <definedName name="psd_file_path" localSheetId="0">显卡参数新!$B$1</definedName>
    <definedName name="psd_name" localSheetId="2">板U卡!$B$2</definedName>
    <definedName name="psd_name" localSheetId="3">电源!$B$2</definedName>
    <definedName name="psd_name" localSheetId="1">显卡!$B$2</definedName>
    <definedName name="psd_name" localSheetId="0">显卡参数新!$B$2</definedName>
    <definedName name="suffix" localSheetId="2">板U卡!$B$5</definedName>
    <definedName name="suffix" localSheetId="3">电源!$B$5</definedName>
    <definedName name="suffix" localSheetId="1">显卡!$B$5</definedName>
    <definedName name="suffix" localSheetId="0">显卡参数新!$B$5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1" i="3" l="1"/>
  <c r="N81" i="3"/>
  <c r="M81" i="3"/>
  <c r="L81" i="3"/>
  <c r="K81" i="3"/>
  <c r="J81" i="3"/>
  <c r="I81" i="3"/>
  <c r="H81" i="3"/>
  <c r="G81" i="3"/>
  <c r="F81" i="3"/>
  <c r="F80" i="3"/>
  <c r="G80" i="3"/>
  <c r="H80" i="3"/>
  <c r="I80" i="3"/>
  <c r="J80" i="3"/>
  <c r="K80" i="3"/>
  <c r="L80" i="3"/>
  <c r="Q80" i="3" s="1" a="1"/>
  <c r="Q80" i="3" s="1"/>
  <c r="M80" i="3"/>
  <c r="N80" i="3"/>
  <c r="O80" i="3"/>
  <c r="Q81" i="3" a="1"/>
  <c r="Q81" i="3" s="1"/>
  <c r="K49" i="4"/>
  <c r="K38" i="4"/>
  <c r="K39" i="4"/>
  <c r="K40" i="4"/>
  <c r="K41" i="4"/>
  <c r="K42" i="4"/>
  <c r="K43" i="4"/>
  <c r="K44" i="4"/>
  <c r="K45" i="4"/>
  <c r="K46" i="4"/>
  <c r="K47" i="4"/>
  <c r="K36" i="4"/>
  <c r="K37" i="4"/>
  <c r="K32" i="4"/>
  <c r="K33" i="4"/>
  <c r="K34" i="4"/>
  <c r="K35" i="4"/>
  <c r="K31" i="4" l="1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F61" i="3"/>
  <c r="G61" i="3"/>
  <c r="H61" i="3"/>
  <c r="I61" i="3"/>
  <c r="J61" i="3"/>
  <c r="K61" i="3"/>
  <c r="L61" i="3"/>
  <c r="Q61" i="3" s="1" a="1"/>
  <c r="Q61" i="3" s="1"/>
  <c r="M61" i="3"/>
  <c r="N61" i="3"/>
  <c r="O61" i="3"/>
  <c r="F62" i="3"/>
  <c r="G62" i="3"/>
  <c r="H62" i="3"/>
  <c r="I62" i="3"/>
  <c r="J62" i="3"/>
  <c r="K62" i="3"/>
  <c r="L62" i="3"/>
  <c r="Q62" i="3" s="1" a="1"/>
  <c r="Q62" i="3" s="1"/>
  <c r="M62" i="3"/>
  <c r="N62" i="3"/>
  <c r="O62" i="3"/>
  <c r="F63" i="3"/>
  <c r="G63" i="3"/>
  <c r="H63" i="3"/>
  <c r="I63" i="3"/>
  <c r="J63" i="3"/>
  <c r="K63" i="3"/>
  <c r="L63" i="3"/>
  <c r="Q63" i="3" s="1" a="1"/>
  <c r="Q63" i="3" s="1"/>
  <c r="M63" i="3"/>
  <c r="N63" i="3"/>
  <c r="O63" i="3"/>
  <c r="F64" i="3"/>
  <c r="G64" i="3"/>
  <c r="H64" i="3"/>
  <c r="I64" i="3"/>
  <c r="J64" i="3"/>
  <c r="K64" i="3"/>
  <c r="L64" i="3"/>
  <c r="Q64" i="3" s="1" a="1"/>
  <c r="Q64" i="3" s="1"/>
  <c r="M64" i="3"/>
  <c r="N64" i="3"/>
  <c r="O64" i="3"/>
  <c r="F65" i="3"/>
  <c r="G65" i="3"/>
  <c r="H65" i="3"/>
  <c r="I65" i="3"/>
  <c r="J65" i="3"/>
  <c r="K65" i="3"/>
  <c r="L65" i="3"/>
  <c r="Q65" i="3" s="1" a="1"/>
  <c r="Q65" i="3" s="1"/>
  <c r="M65" i="3"/>
  <c r="N65" i="3"/>
  <c r="O65" i="3"/>
  <c r="F66" i="3"/>
  <c r="G66" i="3"/>
  <c r="H66" i="3"/>
  <c r="I66" i="3"/>
  <c r="J66" i="3"/>
  <c r="K66" i="3"/>
  <c r="L66" i="3"/>
  <c r="Q66" i="3" s="1" a="1"/>
  <c r="Q66" i="3" s="1"/>
  <c r="M66" i="3"/>
  <c r="N66" i="3"/>
  <c r="O66" i="3"/>
  <c r="Q67" i="3" a="1"/>
  <c r="Q67" i="3" s="1"/>
  <c r="F68" i="3"/>
  <c r="G68" i="3"/>
  <c r="H68" i="3"/>
  <c r="I68" i="3"/>
  <c r="J68" i="3"/>
  <c r="K68" i="3"/>
  <c r="L68" i="3"/>
  <c r="Q68" i="3" s="1" a="1"/>
  <c r="Q68" i="3" s="1"/>
  <c r="M68" i="3"/>
  <c r="N68" i="3"/>
  <c r="O68" i="3"/>
  <c r="F69" i="3"/>
  <c r="G69" i="3"/>
  <c r="H69" i="3"/>
  <c r="I69" i="3"/>
  <c r="J69" i="3"/>
  <c r="K69" i="3"/>
  <c r="L69" i="3"/>
  <c r="Q69" i="3" s="1" a="1"/>
  <c r="Q69" i="3" s="1"/>
  <c r="M69" i="3"/>
  <c r="N69" i="3"/>
  <c r="O69" i="3"/>
  <c r="F70" i="3"/>
  <c r="G70" i="3"/>
  <c r="H70" i="3"/>
  <c r="I70" i="3"/>
  <c r="J70" i="3"/>
  <c r="K70" i="3"/>
  <c r="L70" i="3"/>
  <c r="Q70" i="3" s="1" a="1"/>
  <c r="Q70" i="3" s="1"/>
  <c r="M70" i="3"/>
  <c r="N70" i="3"/>
  <c r="O70" i="3"/>
  <c r="F85" i="3" l="1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L85" i="3"/>
  <c r="Q85" i="3" s="1" a="1"/>
  <c r="Q85" i="3" s="1"/>
  <c r="L86" i="3"/>
  <c r="Q86" i="3" s="1" a="1"/>
  <c r="Q86" i="3" s="1"/>
  <c r="L87" i="3"/>
  <c r="Q87" i="3" s="1" a="1"/>
  <c r="Q87" i="3" s="1"/>
  <c r="L88" i="3"/>
  <c r="Q88" i="3" s="1" a="1"/>
  <c r="Q88" i="3" s="1"/>
  <c r="L89" i="3"/>
  <c r="Q89" i="3" s="1" a="1"/>
  <c r="Q89" i="3" s="1"/>
  <c r="L90" i="3"/>
  <c r="Q90" i="3" s="1" a="1"/>
  <c r="Q90" i="3" s="1"/>
  <c r="L91" i="3"/>
  <c r="Q91" i="3" s="1" a="1"/>
  <c r="Q91" i="3" s="1"/>
  <c r="L92" i="3"/>
  <c r="Q92" i="3" s="1" a="1"/>
  <c r="Q92" i="3" s="1"/>
  <c r="L93" i="3"/>
  <c r="Q93" i="3" s="1" a="1"/>
  <c r="Q93" i="3" s="1"/>
  <c r="L94" i="3"/>
  <c r="Q94" i="3" s="1" a="1"/>
  <c r="Q94" i="3" s="1"/>
  <c r="L95" i="3"/>
  <c r="Q95" i="3" s="1" a="1"/>
  <c r="Q95" i="3" s="1"/>
  <c r="L96" i="3"/>
  <c r="Q96" i="3" s="1" a="1"/>
  <c r="Q96" i="3" s="1"/>
  <c r="L97" i="3"/>
  <c r="Q97" i="3" s="1" a="1"/>
  <c r="Q97" i="3" s="1"/>
  <c r="L98" i="3"/>
  <c r="Q98" i="3" s="1" a="1"/>
  <c r="Q98" i="3" s="1"/>
  <c r="L99" i="3"/>
  <c r="Q99" i="3" s="1" a="1"/>
  <c r="Q99" i="3" s="1"/>
  <c r="L100" i="3"/>
  <c r="Q100" i="3" s="1" a="1"/>
  <c r="Q100" i="3" s="1"/>
  <c r="L101" i="3"/>
  <c r="Q101" i="3" s="1" a="1"/>
  <c r="Q101" i="3" s="1"/>
  <c r="L102" i="3"/>
  <c r="Q102" i="3" s="1" a="1"/>
  <c r="Q102" i="3" s="1"/>
  <c r="L103" i="3"/>
  <c r="Q103" i="3" s="1" a="1"/>
  <c r="Q103" i="3" s="1"/>
  <c r="L104" i="3"/>
  <c r="Q104" i="3" s="1" a="1"/>
  <c r="Q104" i="3" s="1"/>
  <c r="L105" i="3"/>
  <c r="Q105" i="3" s="1" a="1"/>
  <c r="Q105" i="3" s="1"/>
  <c r="L106" i="3"/>
  <c r="Q106" i="3" s="1" a="1"/>
  <c r="Q106" i="3" s="1"/>
  <c r="L107" i="3"/>
  <c r="Q107" i="3" s="1" a="1"/>
  <c r="Q107" i="3" s="1"/>
  <c r="L108" i="3"/>
  <c r="Q108" i="3" s="1" a="1"/>
  <c r="Q108" i="3" s="1"/>
  <c r="L109" i="3"/>
  <c r="Q109" i="3" s="1" a="1"/>
  <c r="Q109" i="3" s="1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F14" i="3"/>
  <c r="G14" i="3"/>
  <c r="H14" i="3"/>
  <c r="I14" i="3"/>
  <c r="J14" i="3"/>
  <c r="K14" i="3"/>
  <c r="L14" i="3"/>
  <c r="Q14" i="3" s="1" a="1"/>
  <c r="Q14" i="3" s="1"/>
  <c r="M14" i="3"/>
  <c r="N14" i="3"/>
  <c r="O14" i="3"/>
  <c r="F13" i="3"/>
  <c r="G13" i="3"/>
  <c r="H13" i="3"/>
  <c r="I13" i="3"/>
  <c r="J13" i="3"/>
  <c r="K13" i="3"/>
  <c r="L13" i="3"/>
  <c r="Q13" i="3" s="1" a="1"/>
  <c r="Q13" i="3" s="1"/>
  <c r="M13" i="3"/>
  <c r="N13" i="3"/>
  <c r="O13" i="3"/>
  <c r="F15" i="3"/>
  <c r="G15" i="3"/>
  <c r="H15" i="3"/>
  <c r="I15" i="3"/>
  <c r="J15" i="3"/>
  <c r="K15" i="3"/>
  <c r="L15" i="3"/>
  <c r="Q15" i="3" s="1" a="1"/>
  <c r="Q15" i="3" s="1"/>
  <c r="M15" i="3"/>
  <c r="N15" i="3"/>
  <c r="O15" i="3"/>
  <c r="F16" i="3"/>
  <c r="G16" i="3"/>
  <c r="H16" i="3"/>
  <c r="I16" i="3"/>
  <c r="J16" i="3"/>
  <c r="K16" i="3"/>
  <c r="L16" i="3"/>
  <c r="Q16" i="3" s="1" a="1"/>
  <c r="Q16" i="3" s="1"/>
  <c r="M16" i="3"/>
  <c r="N16" i="3"/>
  <c r="O16" i="3"/>
  <c r="F17" i="3"/>
  <c r="G17" i="3"/>
  <c r="H17" i="3"/>
  <c r="I17" i="3"/>
  <c r="J17" i="3"/>
  <c r="K17" i="3"/>
  <c r="L17" i="3"/>
  <c r="Q17" i="3" s="1" a="1"/>
  <c r="Q17" i="3" s="1"/>
  <c r="M17" i="3"/>
  <c r="N17" i="3"/>
  <c r="O17" i="3"/>
  <c r="F18" i="3"/>
  <c r="G18" i="3"/>
  <c r="H18" i="3"/>
  <c r="I18" i="3"/>
  <c r="J18" i="3"/>
  <c r="K18" i="3"/>
  <c r="L18" i="3"/>
  <c r="Q18" i="3" s="1" a="1"/>
  <c r="Q18" i="3" s="1"/>
  <c r="M18" i="3"/>
  <c r="N18" i="3"/>
  <c r="O18" i="3"/>
  <c r="N83" i="3" l="1"/>
  <c r="M83" i="3"/>
  <c r="L83" i="3"/>
  <c r="K83" i="3"/>
  <c r="J83" i="3"/>
  <c r="I83" i="3"/>
  <c r="H83" i="3"/>
  <c r="G83" i="3"/>
  <c r="F83" i="3"/>
  <c r="O11" i="3"/>
  <c r="O12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71" i="3"/>
  <c r="O72" i="3"/>
  <c r="O73" i="3"/>
  <c r="O74" i="3"/>
  <c r="O75" i="3"/>
  <c r="O76" i="3"/>
  <c r="O77" i="3"/>
  <c r="O78" i="3"/>
  <c r="O79" i="3"/>
  <c r="O82" i="3"/>
  <c r="O84" i="3"/>
  <c r="L77" i="3"/>
  <c r="Q77" i="3" s="1" a="1"/>
  <c r="Q77" i="3" s="1"/>
  <c r="F77" i="3" l="1"/>
  <c r="F78" i="3"/>
  <c r="F79" i="3"/>
  <c r="F82" i="3"/>
  <c r="F84" i="3"/>
  <c r="G77" i="3"/>
  <c r="G78" i="3"/>
  <c r="G79" i="3"/>
  <c r="G82" i="3"/>
  <c r="G84" i="3"/>
  <c r="H77" i="3"/>
  <c r="H78" i="3"/>
  <c r="H79" i="3"/>
  <c r="H82" i="3"/>
  <c r="H84" i="3"/>
  <c r="I77" i="3"/>
  <c r="I78" i="3"/>
  <c r="I79" i="3"/>
  <c r="I82" i="3"/>
  <c r="I84" i="3"/>
  <c r="J77" i="3"/>
  <c r="J78" i="3"/>
  <c r="J79" i="3"/>
  <c r="J82" i="3"/>
  <c r="J84" i="3"/>
  <c r="K77" i="3"/>
  <c r="K78" i="3"/>
  <c r="K79" i="3"/>
  <c r="K82" i="3"/>
  <c r="K84" i="3"/>
  <c r="L78" i="3"/>
  <c r="Q78" i="3" s="1" a="1"/>
  <c r="Q78" i="3" s="1"/>
  <c r="L79" i="3"/>
  <c r="Q79" i="3" s="1" a="1"/>
  <c r="Q79" i="3" s="1"/>
  <c r="L82" i="3"/>
  <c r="Q82" i="3" s="1" a="1"/>
  <c r="Q82" i="3" s="1"/>
  <c r="L84" i="3"/>
  <c r="Q84" i="3" s="1" a="1"/>
  <c r="Q84" i="3" s="1"/>
  <c r="M77" i="3"/>
  <c r="M78" i="3"/>
  <c r="M79" i="3"/>
  <c r="M82" i="3"/>
  <c r="M84" i="3"/>
  <c r="N77" i="3"/>
  <c r="N78" i="3"/>
  <c r="N79" i="3"/>
  <c r="N82" i="3"/>
  <c r="N84" i="3"/>
  <c r="N32" i="3"/>
  <c r="F24" i="3" l="1"/>
  <c r="G24" i="3"/>
  <c r="H24" i="3"/>
  <c r="I24" i="3"/>
  <c r="J24" i="3"/>
  <c r="K24" i="3"/>
  <c r="L24" i="3"/>
  <c r="Q24" i="3" s="1" a="1"/>
  <c r="Q24" i="3" s="1"/>
  <c r="M24" i="3"/>
  <c r="N24" i="3"/>
  <c r="F25" i="3"/>
  <c r="G25" i="3"/>
  <c r="H25" i="3"/>
  <c r="I25" i="3"/>
  <c r="J25" i="3"/>
  <c r="K25" i="3"/>
  <c r="L25" i="3"/>
  <c r="Q25" i="3" s="1" a="1"/>
  <c r="Q25" i="3" s="1"/>
  <c r="M25" i="3"/>
  <c r="N25" i="3"/>
  <c r="F26" i="3"/>
  <c r="G26" i="3"/>
  <c r="H26" i="3"/>
  <c r="I26" i="3"/>
  <c r="J26" i="3"/>
  <c r="K26" i="3"/>
  <c r="L26" i="3"/>
  <c r="Q26" i="3" s="1" a="1"/>
  <c r="Q26" i="3" s="1"/>
  <c r="M26" i="3"/>
  <c r="N26" i="3"/>
  <c r="F27" i="3"/>
  <c r="G27" i="3"/>
  <c r="H27" i="3"/>
  <c r="I27" i="3"/>
  <c r="J27" i="3"/>
  <c r="K27" i="3"/>
  <c r="L27" i="3"/>
  <c r="Q27" i="3" s="1" a="1"/>
  <c r="Q27" i="3" s="1"/>
  <c r="M27" i="3"/>
  <c r="N27" i="3"/>
  <c r="F28" i="3"/>
  <c r="G28" i="3"/>
  <c r="H28" i="3"/>
  <c r="I28" i="3"/>
  <c r="J28" i="3"/>
  <c r="K28" i="3"/>
  <c r="L28" i="3"/>
  <c r="Q28" i="3" s="1" a="1"/>
  <c r="Q28" i="3" s="1"/>
  <c r="M28" i="3"/>
  <c r="N28" i="3"/>
  <c r="F29" i="3"/>
  <c r="G29" i="3"/>
  <c r="H29" i="3"/>
  <c r="I29" i="3"/>
  <c r="J29" i="3"/>
  <c r="K29" i="3"/>
  <c r="L29" i="3"/>
  <c r="Q29" i="3" s="1" a="1"/>
  <c r="Q29" i="3" s="1"/>
  <c r="M29" i="3"/>
  <c r="N29" i="3"/>
  <c r="F30" i="3"/>
  <c r="G30" i="3"/>
  <c r="H30" i="3"/>
  <c r="I30" i="3"/>
  <c r="J30" i="3"/>
  <c r="K30" i="3"/>
  <c r="L30" i="3"/>
  <c r="Q30" i="3" s="1" a="1"/>
  <c r="Q30" i="3" s="1"/>
  <c r="M30" i="3"/>
  <c r="N30" i="3"/>
  <c r="F31" i="3"/>
  <c r="G31" i="3"/>
  <c r="H31" i="3"/>
  <c r="I31" i="3"/>
  <c r="J31" i="3"/>
  <c r="K31" i="3"/>
  <c r="L31" i="3"/>
  <c r="Q31" i="3" s="1" a="1"/>
  <c r="Q31" i="3" s="1"/>
  <c r="M31" i="3"/>
  <c r="N31" i="3"/>
  <c r="F32" i="3"/>
  <c r="G32" i="3"/>
  <c r="H32" i="3"/>
  <c r="I32" i="3"/>
  <c r="J32" i="3"/>
  <c r="K32" i="3"/>
  <c r="L32" i="3"/>
  <c r="Q32" i="3" s="1" a="1"/>
  <c r="Q32" i="3" s="1"/>
  <c r="M32" i="3"/>
  <c r="F33" i="3"/>
  <c r="G33" i="3"/>
  <c r="H33" i="3"/>
  <c r="I33" i="3"/>
  <c r="J33" i="3"/>
  <c r="K33" i="3"/>
  <c r="L33" i="3"/>
  <c r="Q33" i="3" s="1" a="1"/>
  <c r="Q33" i="3" s="1"/>
  <c r="M33" i="3"/>
  <c r="N33" i="3"/>
  <c r="F34" i="3"/>
  <c r="G34" i="3"/>
  <c r="H34" i="3"/>
  <c r="I34" i="3"/>
  <c r="J34" i="3"/>
  <c r="K34" i="3"/>
  <c r="L34" i="3"/>
  <c r="Q34" i="3" s="1" a="1"/>
  <c r="Q34" i="3" s="1"/>
  <c r="M34" i="3"/>
  <c r="N34" i="3"/>
  <c r="F35" i="3"/>
  <c r="G35" i="3"/>
  <c r="H35" i="3"/>
  <c r="I35" i="3"/>
  <c r="J35" i="3"/>
  <c r="K35" i="3"/>
  <c r="L35" i="3"/>
  <c r="Q35" i="3" s="1" a="1"/>
  <c r="Q35" i="3" s="1"/>
  <c r="M35" i="3"/>
  <c r="N35" i="3"/>
  <c r="F36" i="3"/>
  <c r="G36" i="3"/>
  <c r="H36" i="3"/>
  <c r="I36" i="3"/>
  <c r="J36" i="3"/>
  <c r="K36" i="3"/>
  <c r="L36" i="3"/>
  <c r="Q36" i="3" s="1" a="1"/>
  <c r="Q36" i="3" s="1"/>
  <c r="M36" i="3"/>
  <c r="N36" i="3"/>
  <c r="F12" i="3"/>
  <c r="G12" i="3"/>
  <c r="H12" i="3"/>
  <c r="I12" i="3"/>
  <c r="J12" i="3"/>
  <c r="K12" i="3"/>
  <c r="L12" i="3"/>
  <c r="Q12" i="3" s="1" a="1"/>
  <c r="Q12" i="3" s="1"/>
  <c r="M12" i="3"/>
  <c r="N12" i="3"/>
  <c r="F19" i="3"/>
  <c r="G19" i="3"/>
  <c r="H19" i="3"/>
  <c r="I19" i="3"/>
  <c r="J19" i="3"/>
  <c r="K19" i="3"/>
  <c r="L19" i="3"/>
  <c r="Q19" i="3" s="1" a="1"/>
  <c r="Q19" i="3" s="1"/>
  <c r="M19" i="3"/>
  <c r="N19" i="3"/>
  <c r="F20" i="3"/>
  <c r="G20" i="3"/>
  <c r="H20" i="3"/>
  <c r="I20" i="3"/>
  <c r="J20" i="3"/>
  <c r="K20" i="3"/>
  <c r="L20" i="3"/>
  <c r="Q20" i="3" s="1" a="1"/>
  <c r="Q20" i="3" s="1"/>
  <c r="M20" i="3"/>
  <c r="N20" i="3"/>
  <c r="F21" i="3"/>
  <c r="G21" i="3"/>
  <c r="H21" i="3"/>
  <c r="I21" i="3"/>
  <c r="J21" i="3"/>
  <c r="K21" i="3"/>
  <c r="L21" i="3"/>
  <c r="Q21" i="3" s="1" a="1"/>
  <c r="Q21" i="3" s="1"/>
  <c r="M21" i="3"/>
  <c r="N21" i="3"/>
  <c r="F22" i="3"/>
  <c r="G22" i="3"/>
  <c r="H22" i="3"/>
  <c r="I22" i="3"/>
  <c r="J22" i="3"/>
  <c r="K22" i="3"/>
  <c r="L22" i="3"/>
  <c r="Q22" i="3" s="1" a="1"/>
  <c r="Q22" i="3" s="1"/>
  <c r="M22" i="3"/>
  <c r="N22" i="3"/>
  <c r="F23" i="3"/>
  <c r="G23" i="3"/>
  <c r="H23" i="3"/>
  <c r="I23" i="3"/>
  <c r="J23" i="3"/>
  <c r="K23" i="3"/>
  <c r="L23" i="3"/>
  <c r="Q23" i="3" s="1" a="1"/>
  <c r="Q23" i="3" s="1"/>
  <c r="M23" i="3"/>
  <c r="N23" i="3"/>
  <c r="F37" i="3"/>
  <c r="G37" i="3"/>
  <c r="H37" i="3"/>
  <c r="I37" i="3"/>
  <c r="J37" i="3"/>
  <c r="K37" i="3"/>
  <c r="L37" i="3"/>
  <c r="Q37" i="3" s="1" a="1"/>
  <c r="Q37" i="3" s="1"/>
  <c r="M37" i="3"/>
  <c r="N37" i="3"/>
  <c r="F60" i="3"/>
  <c r="F71" i="3"/>
  <c r="F72" i="3"/>
  <c r="F73" i="3"/>
  <c r="F74" i="3"/>
  <c r="F75" i="3"/>
  <c r="F76" i="3"/>
  <c r="G60" i="3"/>
  <c r="G71" i="3"/>
  <c r="G72" i="3"/>
  <c r="G73" i="3"/>
  <c r="G74" i="3"/>
  <c r="G75" i="3"/>
  <c r="G76" i="3"/>
  <c r="H60" i="3"/>
  <c r="H71" i="3"/>
  <c r="H72" i="3"/>
  <c r="H73" i="3"/>
  <c r="H74" i="3"/>
  <c r="H75" i="3"/>
  <c r="H76" i="3"/>
  <c r="I60" i="3"/>
  <c r="I71" i="3"/>
  <c r="I72" i="3"/>
  <c r="I73" i="3"/>
  <c r="I74" i="3"/>
  <c r="I75" i="3"/>
  <c r="I76" i="3"/>
  <c r="J60" i="3"/>
  <c r="J71" i="3"/>
  <c r="J72" i="3"/>
  <c r="J73" i="3"/>
  <c r="J74" i="3"/>
  <c r="J75" i="3"/>
  <c r="J76" i="3"/>
  <c r="K60" i="3"/>
  <c r="K71" i="3"/>
  <c r="K72" i="3"/>
  <c r="K73" i="3"/>
  <c r="K74" i="3"/>
  <c r="K75" i="3"/>
  <c r="K76" i="3"/>
  <c r="L60" i="3"/>
  <c r="Q60" i="3" s="1" a="1"/>
  <c r="Q60" i="3" s="1"/>
  <c r="L71" i="3"/>
  <c r="Q71" i="3" s="1" a="1"/>
  <c r="Q71" i="3" s="1"/>
  <c r="L72" i="3"/>
  <c r="Q72" i="3" s="1" a="1"/>
  <c r="Q72" i="3" s="1"/>
  <c r="L73" i="3"/>
  <c r="Q73" i="3" s="1" a="1"/>
  <c r="Q73" i="3" s="1"/>
  <c r="L74" i="3"/>
  <c r="Q74" i="3" s="1" a="1"/>
  <c r="Q74" i="3" s="1"/>
  <c r="L75" i="3"/>
  <c r="Q75" i="3" s="1" a="1"/>
  <c r="Q75" i="3" s="1"/>
  <c r="L76" i="3"/>
  <c r="Q76" i="3" s="1" a="1"/>
  <c r="Q76" i="3" s="1"/>
  <c r="M60" i="3"/>
  <c r="M71" i="3"/>
  <c r="M72" i="3"/>
  <c r="M73" i="3"/>
  <c r="M74" i="3"/>
  <c r="M75" i="3"/>
  <c r="M76" i="3"/>
  <c r="N60" i="3"/>
  <c r="N71" i="3"/>
  <c r="N72" i="3"/>
  <c r="N73" i="3"/>
  <c r="N74" i="3"/>
  <c r="N75" i="3"/>
  <c r="N76" i="3"/>
  <c r="H11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N11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M11" i="3" l="1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L11" i="3"/>
  <c r="Q11" i="3" s="1" a="1"/>
  <c r="Q11" i="3" s="1"/>
  <c r="L38" i="3"/>
  <c r="Q38" i="3" s="1" a="1"/>
  <c r="Q38" i="3" s="1"/>
  <c r="L39" i="3"/>
  <c r="Q39" i="3" s="1" a="1"/>
  <c r="Q39" i="3" s="1"/>
  <c r="L40" i="3"/>
  <c r="Q40" i="3" s="1" a="1"/>
  <c r="Q40" i="3" s="1"/>
  <c r="L41" i="3"/>
  <c r="Q41" i="3" s="1" a="1"/>
  <c r="Q41" i="3" s="1"/>
  <c r="L42" i="3"/>
  <c r="Q42" i="3" s="1" a="1"/>
  <c r="Q42" i="3" s="1"/>
  <c r="L43" i="3"/>
  <c r="Q43" i="3" s="1" a="1"/>
  <c r="Q43" i="3" s="1"/>
  <c r="L44" i="3"/>
  <c r="Q44" i="3" s="1" a="1"/>
  <c r="Q44" i="3" s="1"/>
  <c r="L45" i="3"/>
  <c r="Q45" i="3" s="1" a="1"/>
  <c r="Q45" i="3" s="1"/>
  <c r="L46" i="3"/>
  <c r="Q46" i="3" s="1" a="1"/>
  <c r="Q46" i="3" s="1"/>
  <c r="L47" i="3"/>
  <c r="Q47" i="3" s="1" a="1"/>
  <c r="Q47" i="3" s="1"/>
  <c r="L48" i="3"/>
  <c r="Q48" i="3" s="1" a="1"/>
  <c r="Q48" i="3" s="1"/>
  <c r="L49" i="3"/>
  <c r="Q49" i="3" s="1" a="1"/>
  <c r="Q49" i="3" s="1"/>
  <c r="L50" i="3"/>
  <c r="Q50" i="3" s="1" a="1"/>
  <c r="Q50" i="3" s="1"/>
  <c r="L51" i="3"/>
  <c r="Q51" i="3" s="1" a="1"/>
  <c r="Q51" i="3" s="1"/>
  <c r="L52" i="3"/>
  <c r="Q52" i="3" s="1" a="1"/>
  <c r="Q52" i="3" s="1"/>
  <c r="L53" i="3"/>
  <c r="Q53" i="3" s="1" a="1"/>
  <c r="Q53" i="3" s="1"/>
  <c r="L54" i="3"/>
  <c r="Q54" i="3" s="1" a="1"/>
  <c r="Q54" i="3" s="1"/>
  <c r="L55" i="3"/>
  <c r="Q55" i="3" s="1" a="1"/>
  <c r="Q55" i="3" s="1"/>
  <c r="L56" i="3"/>
  <c r="Q56" i="3" s="1" a="1"/>
  <c r="Q56" i="3" s="1"/>
  <c r="L57" i="3"/>
  <c r="Q57" i="3" s="1" a="1"/>
  <c r="Q57" i="3" s="1"/>
  <c r="L58" i="3"/>
  <c r="Q58" i="3" s="1" a="1"/>
  <c r="Q58" i="3" s="1"/>
  <c r="L59" i="3"/>
  <c r="Q59" i="3" s="1" a="1"/>
  <c r="Q59" i="3" s="1"/>
  <c r="K11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J11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I11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G11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F11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T56" i="2" l="1" a="1"/>
  <c r="T5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<sst xmlns="http://schemas.openxmlformats.org/spreadsheetml/2006/main" count="2491" uniqueCount="693">
  <si>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</si>
  <si>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</si>
  <si>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</si>
  <si>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</si>
  <si>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</si>
  <si>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</si>
  <si>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</si>
  <si>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</si>
  <si>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</si>
  <si>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</si>
  <si>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</si>
  <si>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</si>
  <si>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</si>
  <si>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</si>
  <si>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</si>
  <si>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</si>
  <si>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</si>
  <si>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</si>
  <si>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</si>
  <si>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</si>
  <si>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</si>
  <si>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</si>
  <si>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</si>
  <si>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</si>
  <si>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</si>
  <si>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</si>
  <si>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</si>
  <si>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</si>
  <si>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</si>
  <si>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</si>
  <si>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</si>
  <si>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</si>
  <si>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</si>
  <si>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</si>
  <si>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</si>
  <si>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</si>
  <si>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</si>
  <si>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</si>
  <si>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</si>
  <si>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</si>
  <si>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</si>
  <si>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</si>
  <si>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</si>
  <si>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</si>
  <si>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</si>
  <si>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</si>
  <si>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</si>
  <si>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</si>
  <si>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</si>
  <si>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</si>
  <si>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</si>
  <si>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</si>
  <si>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</si>
  <si>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</si>
  <si>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</si>
  <si>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</si>
  <si>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</si>
  <si>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</si>
  <si>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</si>
  <si>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</si>
  <si>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</si>
  <si>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</si>
  <si>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</si>
  <si>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</si>
  <si>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</si>
  <si>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</si>
  <si>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</si>
  <si>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</si>
  <si>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</si>
  <si>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</si>
  <si>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</si>
  <si>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</si>
  <si>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</si>
  <si>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</si>
  <si>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</si>
  <si>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</si>
  <si>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</si>
  <si>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</si>
  <si>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</si>
  <si>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</si>
  <si>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</si>
  <si>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</si>
  <si>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</si>
  <si>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</si>
  <si>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</si>
  <si>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</si>
  <si>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</si>
  <si>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</si>
  <si>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</si>
  <si>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</si>
  <si>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</si>
  <si>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</si>
  <si>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</si>
  <si>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</si>
  <si>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</si>
  <si>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</si>
  <si>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</si>
  <si>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</si>
  <si>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</si>
  <si>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</si>
  <si>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</si>
  <si>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</si>
  <si>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</si>
  <si>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</si>
  <si>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</si>
  <si>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</si>
  <si>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</si>
  <si>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</si>
  <si>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</si>
  <si>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</si>
  <si>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</si>
  <si>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</si>
  <si>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</si>
  <si>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</si>
  <si>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</si>
  <si>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AORUS X W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</si>
  <si>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</si>
  <si>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</si>
  <si>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</si>
  <si>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</si>
  <si>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</si>
  <si>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</si>
  <si>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</si>
  <si>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</si>
  <si>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</si>
  <si>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</si>
  <si>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</si>
  <si>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</si>
  <si>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</si>
  <si>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</si>
  <si>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</si>
  <si>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</si>
  <si>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</si>
  <si>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</si>
  <si>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</si>
  <si>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</si>
  <si>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</si>
  <si>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</si>
  <si>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</si>
  <si>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</si>
  <si>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</si>
  <si>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</si>
  <si>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</si>
  <si>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</si>
  <si>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DP2.1a*2+HDMI2.1b*2</t>
    <phoneticPr fontId="6" type="noConversion"/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</si>
  <si>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</si>
  <si>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</si>
  <si>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</si>
  <si>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</si>
  <si>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</si>
  <si>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</si>
  <si>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</si>
  <si>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</si>
  <si>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</si>
  <si>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</si>
  <si>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</si>
  <si>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</si>
  <si>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</si>
  <si>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</si>
  <si>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</si>
  <si>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</si>
  <si>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</si>
  <si>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</si>
  <si>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</si>
  <si>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</si>
  <si>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</si>
  <si>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</si>
  <si>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</si>
  <si>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</si>
  <si>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</si>
  <si>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</si>
  <si>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</si>
  <si>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</si>
  <si>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</si>
  <si>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</si>
  <si>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</si>
  <si>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</si>
  <si>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</si>
  <si>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</si>
  <si>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</si>
  <si>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</si>
  <si>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</si>
  <si>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</si>
  <si>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</si>
  <si>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</si>
  <si>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</si>
  <si>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</si>
  <si>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</si>
  <si>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</si>
  <si>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</si>
  <si>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</si>
  <si>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</si>
  <si>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</si>
  <si>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</si>
  <si>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</si>
  <si>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</si>
  <si>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</si>
  <si>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</si>
  <si>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</si>
  <si>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</si>
  <si>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</si>
  <si>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</si>
  <si>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</si>
  <si>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</si>
  <si>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</si>
  <si>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</si>
  <si>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</si>
  <si>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</si>
  <si>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</si>
  <si>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</si>
  <si>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</si>
  <si>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</si>
  <si>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</si>
  <si>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</si>
  <si>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</si>
  <si>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</si>
  <si>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</si>
  <si>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</si>
  <si>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</si>
  <si>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</si>
  <si>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</si>
  <si>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</si>
  <si>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</si>
  <si>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</si>
  <si>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</si>
  <si>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</si>
  <si>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</si>
  <si>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</si>
  <si>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</si>
  <si>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</si>
  <si>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</si>
  <si>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</si>
  <si>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</si>
  <si>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</si>
  <si>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</si>
  <si>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</si>
  <si>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</si>
  <si>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</si>
  <si>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</si>
  <si>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</si>
  <si>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</si>
  <si>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</si>
  <si>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</si>
  <si>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</si>
  <si>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</si>
  <si>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</si>
  <si>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</si>
  <si>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</si>
  <si>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</si>
  <si>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</si>
  <si>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</si>
  <si>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</si>
  <si>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</si>
  <si>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</si>
  <si>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</si>
  <si>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</si>
  <si>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</si>
  <si>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</si>
  <si>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</si>
  <si>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</si>
  <si>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</si>
  <si>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</si>
  <si>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</si>
  <si>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</si>
  <si>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</si>
  <si>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</si>
  <si>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</si>
  <si>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</si>
  <si>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</si>
  <si>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</si>
  <si>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</si>
  <si>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</si>
  <si>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</si>
  <si>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</si>
  <si>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</si>
  <si>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</si>
  <si>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</si>
  <si>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</si>
  <si>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</si>
  <si>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</si>
  <si>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</si>
  <si>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</si>
  <si>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</si>
  <si>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白金雕1000PG5</t>
  </si>
  <si>
    <t>UD850GM</t>
  </si>
  <si>
    <t>P550SS 黑色(ATX3.1/银牌)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</si>
  <si>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</si>
  <si>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</si>
  <si>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</si>
  <si>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</si>
  <si>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</si>
  <si>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</si>
  <si>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</si>
  <si>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</si>
  <si>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</si>
  <si>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</si>
  <si>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</si>
  <si>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</si>
  <si>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</si>
  <si>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</si>
  <si>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</si>
  <si>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</si>
  <si>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</si>
  <si>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</si>
  <si>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8 pin*1 /500W</t>
    <phoneticPr fontId="6" type="noConversion"/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</si>
  <si>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</si>
  <si>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</si>
  <si>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</si>
  <si>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</si>
  <si>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</si>
  <si>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</si>
  <si>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</si>
  <si>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</si>
  <si>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</si>
  <si>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</si>
  <si>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</si>
  <si>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</si>
  <si>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</si>
  <si>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</si>
  <si>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</si>
  <si>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</si>
  <si>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</si>
  <si>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</si>
  <si>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</si>
  <si>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</si>
  <si>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</si>
  <si>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</si>
  <si>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</si>
  <si>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</si>
  <si>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</si>
  <si>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</si>
  <si>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</si>
  <si>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</si>
  <si>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</si>
  <si>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</si>
  <si>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</si>
  <si>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</si>
  <si>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</si>
  <si>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</si>
  <si>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</si>
  <si>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</si>
  <si>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</si>
  <si>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</si>
  <si>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</si>
  <si>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</si>
  <si>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</si>
  <si>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</si>
  <si>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</si>
  <si>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</si>
  <si>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</si>
  <si>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</si>
  <si>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</si>
  <si>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</si>
  <si>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</si>
  <si>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</si>
  <si>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</si>
  <si>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</si>
  <si>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</si>
  <si>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</si>
  <si>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</si>
  <si>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</si>
  <si>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</si>
  <si>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</si>
  <si>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</si>
  <si>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</si>
  <si>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</si>
  <si>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</si>
  <si>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</si>
  <si>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</si>
  <si>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</si>
  <si>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</si>
  <si>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</si>
  <si>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</si>
  <si>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</si>
  <si>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</si>
  <si>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</si>
  <si>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</si>
  <si>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</si>
  <si>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</si>
  <si>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</si>
  <si>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</si>
  <si>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</si>
  <si>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</si>
  <si>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</si>
  <si>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</si>
  <si>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</si>
  <si>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</si>
  <si>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</si>
  <si>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</si>
  <si>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</si>
  <si>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</si>
  <si>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</si>
  <si>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</si>
  <si>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</si>
  <si>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</si>
  <si>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</si>
  <si>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</si>
  <si>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</si>
  <si>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</si>
  <si>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</si>
  <si>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</si>
  <si>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</si>
  <si>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</si>
  <si>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</si>
  <si>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</si>
  <si>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</si>
  <si>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</si>
  <si>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</si>
  <si>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</si>
  <si>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</si>
  <si>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</si>
  <si>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</si>
  <si>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</si>
  <si>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</si>
  <si>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</si>
  <si>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</si>
  <si>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</si>
  <si>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</si>
  <si>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</si>
  <si>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</si>
  <si>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</si>
  <si>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</si>
  <si>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</si>
  <si>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</si>
  <si>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</si>
  <si>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</si>
  <si>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</si>
  <si>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</si>
  <si>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</si>
  <si>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</si>
  <si>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</si>
  <si>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</si>
  <si>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</si>
  <si>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</si>
  <si>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</si>
  <si>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</si>
  <si>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</si>
  <si>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</si>
  <si>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</si>
  <si>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</si>
  <si>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</si>
  <si>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</si>
  <si>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</si>
  <si>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</si>
  <si>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</si>
  <si>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</si>
  <si>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</si>
  <si>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</si>
  <si>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</si>
  <si>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</si>
  <si>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</si>
  <si>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</si>
  <si>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</si>
  <si>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</si>
  <si>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</si>
  <si>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>16G 小雕</t>
    <phoneticPr fontId="6" type="noConversion"/>
  </si>
  <si>
    <t>服务器级导热凝胶</t>
  </si>
  <si>
    <t>正逆转仿生风扇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</si>
  <si>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</si>
  <si>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</si>
  <si>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</si>
  <si>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</si>
  <si>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</si>
  <si>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</si>
  <si>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</si>
  <si>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</si>
  <si>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</si>
  <si>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</si>
  <si>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</si>
  <si>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</si>
  <si>
    <t>32</t>
    <phoneticPr fontId="6" type="noConversion"/>
  </si>
  <si>
    <t>2048</t>
    <phoneticPr fontId="6" type="noConversion"/>
  </si>
  <si>
    <t>48</t>
    <phoneticPr fontId="6" type="noConversion"/>
  </si>
  <si>
    <t>3072</t>
    <phoneticPr fontId="6" type="noConversion"/>
  </si>
  <si>
    <t>3584</t>
    <phoneticPr fontId="6" type="noConversion"/>
  </si>
  <si>
    <t>4096</t>
    <phoneticPr fontId="6" type="noConversion"/>
  </si>
  <si>
    <t>56</t>
    <phoneticPr fontId="6" type="noConversion"/>
  </si>
  <si>
    <t>64</t>
    <phoneticPr fontId="6" type="noConversion"/>
  </si>
  <si>
    <t>5060 OC-8GL半高卡</t>
  </si>
  <si>
    <t>5060 WF2-8GD风魔</t>
  </si>
  <si>
    <t>5060 EAGLE OC-8GD猎鹰</t>
  </si>
  <si>
    <t>5060 EAGLEOC ICE-8GD冰猎鹰</t>
  </si>
  <si>
    <t>5060 GAMING OC-8GD魔鹰</t>
  </si>
  <si>
    <t>5060 AERO OC-8GD雪鹰</t>
  </si>
  <si>
    <t>5060 AORUS E-8GD小雕</t>
  </si>
  <si>
    <t>5060 WF2OC-8GD风魔</t>
  </si>
  <si>
    <t>无</t>
  </si>
  <si>
    <t>P550SS 黑色(ATX3.1/银牌)</t>
  </si>
  <si>
    <t>小雕 8G</t>
    <phoneticPr fontId="6" type="noConversion"/>
  </si>
  <si>
    <t>24期</t>
    <phoneticPr fontId="6" type="noConversion"/>
  </si>
  <si>
    <t>GV-R9060XTGAMING-8GD</t>
  </si>
  <si>
    <t>GV-R9060XTGAMING-8GD</t>
    <phoneticPr fontId="6" type="noConversion"/>
  </si>
  <si>
    <t>GV-R9060XTGAMING-16GD</t>
  </si>
  <si>
    <t>GV-R9060XTGAMING-16GD</t>
    <phoneticPr fontId="6" type="noConversion"/>
  </si>
  <si>
    <t>RX9060XT</t>
    <phoneticPr fontId="6" type="noConversion"/>
  </si>
  <si>
    <t>RX9060 XT 16G</t>
    <phoneticPr fontId="6" type="noConversion"/>
  </si>
  <si>
    <t>RX9060 XT 8G</t>
    <phoneticPr fontId="6" type="noConversion"/>
  </si>
  <si>
    <t>20 Gbps /128bit</t>
    <phoneticPr fontId="6" type="noConversion"/>
  </si>
  <si>
    <t>281*118*40 mm</t>
    <phoneticPr fontId="6" type="noConversion"/>
  </si>
  <si>
    <t>8 pin*l /450W</t>
    <phoneticPr fontId="6" type="noConversion"/>
  </si>
  <si>
    <t>TBD</t>
    <phoneticPr fontId="6" type="noConversion"/>
  </si>
  <si>
    <t>DP2.1a*2+HDMI2.1b*1</t>
    <phoneticPr fontId="6" type="noConversion"/>
  </si>
  <si>
    <t>RX 9060XT GAMING OC-8GD魔鹰</t>
  </si>
  <si>
    <t>RX 9060XT GAMING OC-16GD魔鹰</t>
  </si>
  <si>
    <t>RGB滑动侧板丨30</t>
    <phoneticPr fontId="6" type="noConversion"/>
  </si>
  <si>
    <t>12期</t>
    <phoneticPr fontId="6" type="noConversion"/>
  </si>
  <si>
    <t>GV-N5050GAMING OC-8GD</t>
    <phoneticPr fontId="6" type="noConversion"/>
  </si>
  <si>
    <t>GV-N5050OC-8GL</t>
    <phoneticPr fontId="6" type="noConversion"/>
  </si>
  <si>
    <t>GV-N5050WF2OC-8GD</t>
    <phoneticPr fontId="6" type="noConversion"/>
  </si>
  <si>
    <t>RTX5050 8G</t>
    <phoneticPr fontId="6" type="noConversion"/>
  </si>
  <si>
    <t>DP2.1bx2+HDM2.1bx2</t>
    <phoneticPr fontId="6" type="noConversion"/>
  </si>
  <si>
    <t>280*117*40 mm</t>
    <phoneticPr fontId="6" type="noConversion"/>
  </si>
  <si>
    <t>8GB / GDDR6</t>
    <phoneticPr fontId="6" type="noConversion"/>
  </si>
  <si>
    <t>2632 MHz</t>
    <phoneticPr fontId="6" type="noConversion"/>
  </si>
  <si>
    <t>2560</t>
    <phoneticPr fontId="6" type="noConversion"/>
  </si>
  <si>
    <t>421 AI TOPS</t>
    <phoneticPr fontId="6" type="noConversion"/>
  </si>
  <si>
    <t>RTX5050</t>
    <phoneticPr fontId="6" type="noConversion"/>
  </si>
  <si>
    <t>WF OC</t>
    <phoneticPr fontId="6" type="noConversion"/>
  </si>
  <si>
    <t>AI算力421 TOPS</t>
    <phoneticPr fontId="6" type="noConversion"/>
  </si>
  <si>
    <t>石墨烯润滑油</t>
  </si>
  <si>
    <t>精巧半高卡设计丨25</t>
    <phoneticPr fontId="6" type="noConversion"/>
  </si>
  <si>
    <t>3D智能启停</t>
    <phoneticPr fontId="6" type="noConversion"/>
  </si>
  <si>
    <t>5050 OC-8GL半高卡</t>
  </si>
  <si>
    <t>5050 WF2OC-8GD风魔</t>
  </si>
  <si>
    <t>5050 GAMING OC-8GD魔鹰</t>
  </si>
  <si>
    <t>5050 OC-8GL半高卡2</t>
    <phoneticPr fontId="6" type="noConversion"/>
  </si>
  <si>
    <t>5050 WF2OC-8GD风魔2</t>
    <phoneticPr fontId="6" type="noConversion"/>
  </si>
  <si>
    <t>5050 GAMING OC-8GD魔鹰</t>
    <phoneticPr fontId="6" type="noConversion"/>
  </si>
  <si>
    <t>5050 GAMING OC-8GD魔鹰2</t>
    <phoneticPr fontId="6" type="noConversion"/>
  </si>
  <si>
    <t>4060 OC-8GL 半高刀卡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</si>
  <si>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</si>
  <si>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</si>
  <si>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</si>
  <si>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</si>
  <si>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</si>
  <si>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4060Ti EAGLE OC-8GD 猎鹰OC</t>
  </si>
  <si>
    <t>4070S GAMING OC-12GD 魔鹰</t>
  </si>
  <si>
    <t>1030OC-2GI</t>
  </si>
  <si>
    <t>OC - 2GI</t>
    <phoneticPr fontId="6" type="noConversion"/>
  </si>
  <si>
    <t>耐久之选</t>
    <phoneticPr fontId="6" type="noConversion"/>
  </si>
  <si>
    <t>半高刀卡</t>
    <phoneticPr fontId="6" type="noConversion"/>
  </si>
  <si>
    <t>RTX4060</t>
    <phoneticPr fontId="6" type="noConversion"/>
  </si>
  <si>
    <t>GT1030 2GI</t>
    <phoneticPr fontId="6" type="noConversion"/>
  </si>
  <si>
    <t>OC - 8GL</t>
    <phoneticPr fontId="6" type="noConversion"/>
  </si>
  <si>
    <t>8G 风魔</t>
    <phoneticPr fontId="6" type="noConversion"/>
  </si>
  <si>
    <t>8G 雪鹰</t>
    <phoneticPr fontId="6" type="noConversion"/>
  </si>
  <si>
    <t>8G 冰猎鹰</t>
    <phoneticPr fontId="6" type="noConversion"/>
  </si>
  <si>
    <t>8G 猎鹰</t>
    <phoneticPr fontId="6" type="noConversion"/>
  </si>
  <si>
    <t>WF2OC</t>
    <phoneticPr fontId="6" type="noConversion"/>
  </si>
  <si>
    <t>EAGLE OC</t>
    <phoneticPr fontId="6" type="noConversion"/>
  </si>
  <si>
    <t>EAGLE ICE OC</t>
    <phoneticPr fontId="6" type="noConversion"/>
  </si>
  <si>
    <t>RTX4060Ti</t>
    <phoneticPr fontId="6" type="noConversion"/>
  </si>
  <si>
    <t>RTX4070 S</t>
    <phoneticPr fontId="6" type="noConversion"/>
  </si>
  <si>
    <t>12G魔鹰</t>
    <phoneticPr fontId="6" type="noConversion"/>
  </si>
  <si>
    <t>正逆转风扇</t>
    <phoneticPr fontId="6" type="noConversion"/>
  </si>
  <si>
    <t>白金雕 AE1000PM PG5 黑（ATX3.1）</t>
  </si>
  <si>
    <t>GV-N5060WF2MAX OC-8GD</t>
  </si>
  <si>
    <t>GV-N5060EAGLEMAX OC-8GD</t>
  </si>
  <si>
    <t>GV-N5060EAGLEMAX OC-8GD</t>
    <phoneticPr fontId="6" type="noConversion"/>
  </si>
  <si>
    <t>GV-N506TWF2MAX OC-8GD</t>
  </si>
  <si>
    <t>GV-N506TWF2MAX OC-8GD</t>
    <phoneticPr fontId="6" type="noConversion"/>
  </si>
  <si>
    <t>GV-N506TEAGLEMAX OC-8GD</t>
  </si>
  <si>
    <t>GV-N506TEAGLEMAX OC-8GD</t>
    <phoneticPr fontId="6" type="noConversion"/>
  </si>
  <si>
    <t>GV-N506TWF2MAX OC-16GD</t>
  </si>
  <si>
    <t>GV-N506TWF2MAX OC-16GD</t>
    <phoneticPr fontId="6" type="noConversion"/>
  </si>
  <si>
    <t>5060 WF2MAX OC-8GD风魔MAX</t>
  </si>
  <si>
    <t>5060 EAGLEMAX OC-8GD猎鹰MAX</t>
  </si>
  <si>
    <t>5060Ti EAGLEMAX OC-8GD猎鹰MAX</t>
  </si>
  <si>
    <t>5060Ti EAGLEMAX OC-16GD猎鹰MAX</t>
  </si>
  <si>
    <t>新上</t>
  </si>
  <si>
    <t>5060 AORUS E-8GD小雕</t>
    <phoneticPr fontId="6" type="noConversion"/>
  </si>
  <si>
    <t>正逆转三风扇</t>
    <phoneticPr fontId="6" type="noConversion"/>
  </si>
  <si>
    <t>GV-N506TEAGLEMAX OC-16GD</t>
  </si>
  <si>
    <t>GV-N506TWF2-8GD</t>
    <phoneticPr fontId="6" type="noConversion"/>
  </si>
  <si>
    <t>WF2 MAX OC</t>
    <phoneticPr fontId="6" type="noConversion"/>
  </si>
  <si>
    <t>EAGLE MAX</t>
    <phoneticPr fontId="6" type="noConversion"/>
  </si>
  <si>
    <t>16G大显存</t>
  </si>
  <si>
    <t>RTX5060Ti 8G</t>
  </si>
  <si>
    <t>759 AI TOPS</t>
  </si>
  <si>
    <t>4608</t>
  </si>
  <si>
    <t>8GB / GDDR7</t>
  </si>
  <si>
    <t>28 Gbps /128bit</t>
  </si>
  <si>
    <t>8 pin*1 /650W</t>
  </si>
  <si>
    <t>208*120*40 mm</t>
  </si>
  <si>
    <t>WF MAX OC风魔</t>
    <phoneticPr fontId="6" type="noConversion"/>
  </si>
  <si>
    <t>EAGLE MAX OC 猎鹰</t>
  </si>
  <si>
    <t>EAGLE MAX OC 猎鹰</t>
    <phoneticPr fontId="6" type="noConversion"/>
  </si>
  <si>
    <t>281*115*40 mm</t>
  </si>
  <si>
    <t>281*115*40 mm</t>
    <phoneticPr fontId="6" type="noConversion"/>
  </si>
  <si>
    <t>可显性丨CPU丨</t>
    <phoneticPr fontId="6" type="noConversion"/>
  </si>
  <si>
    <t>可显性丨主板丨</t>
    <phoneticPr fontId="6" type="noConversion"/>
  </si>
  <si>
    <t>5060Ti WF2MAX OC-8GD风魔MAX</t>
  </si>
  <si>
    <t>5060Ti WF2MAX OC-16GD风魔MAX</t>
  </si>
  <si>
    <t>Z790M双雕</t>
    <phoneticPr fontId="6" type="noConversion"/>
  </si>
  <si>
    <t>intel logo</t>
    <phoneticPr fontId="6" type="noConversion"/>
  </si>
  <si>
    <t>i5 14600KF</t>
  </si>
  <si>
    <t>板U卡</t>
    <phoneticPr fontId="6" type="noConversion"/>
  </si>
  <si>
    <t>5060Ti WF2MAX OC-16GD风魔MAX</t>
    <phoneticPr fontId="6" type="noConversion"/>
  </si>
  <si>
    <t>5060Ti WF2MAX OC-8GD风魔MAX</t>
    <phoneticPr fontId="6" type="noConversion"/>
  </si>
  <si>
    <t>板U卡专用</t>
    <phoneticPr fontId="6" type="noConversion"/>
  </si>
  <si>
    <t>RTX5060</t>
  </si>
  <si>
    <t>WF2 MAX OC</t>
  </si>
  <si>
    <t>雪鹰 8G</t>
  </si>
  <si>
    <t>雪鹰 16G</t>
  </si>
  <si>
    <t>RTX5070</t>
  </si>
  <si>
    <t>正逆转三风扇</t>
  </si>
  <si>
    <t>5060 风魔</t>
  </si>
  <si>
    <t>5060 风魔</t>
    <phoneticPr fontId="6" type="noConversion"/>
  </si>
  <si>
    <t>5060 魔鹰</t>
  </si>
  <si>
    <t>5060 魔鹰</t>
    <phoneticPr fontId="6" type="noConversion"/>
  </si>
  <si>
    <t>5060 雪鹰</t>
  </si>
  <si>
    <t>5060 Ti 风魔</t>
  </si>
  <si>
    <t>5060 Ti 魔鹰</t>
  </si>
  <si>
    <t>5060 Ti 雪鹰</t>
  </si>
  <si>
    <t>5070 猎鹰</t>
  </si>
  <si>
    <t>5070 猎鹰</t>
    <phoneticPr fontId="6" type="noConversion"/>
  </si>
  <si>
    <t>5070 冰猎鹰</t>
  </si>
  <si>
    <t>5070 魔鹰</t>
  </si>
  <si>
    <t>5070 雪鹰</t>
  </si>
  <si>
    <t>5070Ti 猎鹰</t>
  </si>
  <si>
    <t>5070Ti 冰猎鹰</t>
  </si>
  <si>
    <t>5070Ti 魔鹰</t>
  </si>
  <si>
    <t>5070Ti 雪鹰</t>
  </si>
  <si>
    <t>14600KF</t>
    <phoneticPr fontId="6" type="noConversion"/>
  </si>
  <si>
    <t>Z790M雕</t>
    <phoneticPr fontId="6" type="noConversion"/>
  </si>
  <si>
    <t>主板注册四年保</t>
    <phoneticPr fontId="6" type="noConversion"/>
  </si>
  <si>
    <t>14核20线程</t>
    <phoneticPr fontId="6" type="noConversion"/>
  </si>
  <si>
    <t>i7 14700KF</t>
    <phoneticPr fontId="6" type="noConversion"/>
  </si>
  <si>
    <t>20核28线程</t>
    <phoneticPr fontId="6" type="noConversion"/>
  </si>
  <si>
    <t>技嘉 Z890 AORUS ELITE WIFI7 (小雕)</t>
  </si>
  <si>
    <t>Ultra 9 285K</t>
  </si>
  <si>
    <t>24核心24线程</t>
    <phoneticPr fontId="6" type="noConversion"/>
  </si>
  <si>
    <t>5090D GAMING-32GD 魔鹰</t>
  </si>
  <si>
    <t>5070魔鹰</t>
  </si>
  <si>
    <t>5070魔鹰</t>
    <phoneticPr fontId="6" type="noConversion"/>
  </si>
  <si>
    <t>5070雪鹰</t>
  </si>
  <si>
    <t>5070超级雕</t>
  </si>
  <si>
    <t>5080魔鹰</t>
  </si>
  <si>
    <t>5080雪鹰</t>
  </si>
  <si>
    <t>5080超级雕</t>
  </si>
  <si>
    <t>5080超级雕白</t>
  </si>
  <si>
    <t>5070雪鹰</t>
    <phoneticPr fontId="6" type="noConversion"/>
  </si>
  <si>
    <t>U9 285K</t>
    <phoneticPr fontId="6" type="noConversion"/>
  </si>
  <si>
    <t>Z890小雕</t>
    <phoneticPr fontId="6" type="noConversion"/>
  </si>
  <si>
    <t>RGB幻彩光圈</t>
  </si>
  <si>
    <t>银白雪装显卡</t>
  </si>
  <si>
    <t>5090D魔鹰</t>
    <phoneticPr fontId="6" type="noConversion"/>
  </si>
  <si>
    <t>5090D超级雕</t>
    <phoneticPr fontId="6" type="noConversion"/>
  </si>
  <si>
    <t>5090D超级雕白丨40</t>
    <phoneticPr fontId="6" type="noConversion"/>
  </si>
  <si>
    <t>白金雕</t>
    <phoneticPr fontId="6" type="noConversion"/>
  </si>
  <si>
    <t>AE1000PM</t>
    <phoneticPr fontId="6" type="noConversion"/>
  </si>
  <si>
    <t>PG5</t>
    <phoneticPr fontId="6" type="noConversion"/>
  </si>
  <si>
    <t>PG5 ICE</t>
    <phoneticPr fontId="6" type="noConversion"/>
  </si>
  <si>
    <t>AE850PM</t>
    <phoneticPr fontId="6" type="noConversion"/>
  </si>
  <si>
    <t>全日系电容</t>
    <phoneticPr fontId="6" type="noConversion"/>
  </si>
  <si>
    <t>10年质保</t>
    <phoneticPr fontId="6" type="noConversion"/>
  </si>
  <si>
    <t>文本丨利益点丨利益点4</t>
  </si>
  <si>
    <t>GP-AE850PM PG5</t>
  </si>
  <si>
    <t>GP-AE850PM PG5</t>
    <phoneticPr fontId="6" type="noConversion"/>
  </si>
  <si>
    <t>GP-AE850PM PG5 ICE</t>
  </si>
  <si>
    <t>GP-AE1000PM PG5</t>
  </si>
  <si>
    <t>GP-AE1000PM PG5 ICE</t>
  </si>
  <si>
    <t>GP-AE850PM PG5 ICE</t>
    <phoneticPr fontId="6" type="noConversion"/>
  </si>
  <si>
    <t>GP-AE1000PM PG5</t>
    <phoneticPr fontId="6" type="noConversion"/>
  </si>
  <si>
    <t>电源</t>
    <phoneticPr fontId="6" type="noConversion"/>
  </si>
  <si>
    <t>AORUS磁吸板设计丨27</t>
    <phoneticPr fontId="6" type="noConversion"/>
  </si>
  <si>
    <t>80PLUS白金认证丨27</t>
    <phoneticPr fontId="6" type="noConversion"/>
  </si>
  <si>
    <t>可显性丨机电散丨</t>
    <phoneticPr fontId="6" type="noConversion"/>
  </si>
  <si>
    <t>M27UP</t>
  </si>
  <si>
    <t>M27UP</t>
    <phoneticPr fontId="6" type="noConversion"/>
  </si>
  <si>
    <t>SS IPS 1ms</t>
    <phoneticPr fontId="6" type="noConversion"/>
  </si>
  <si>
    <t>KVM支持</t>
    <phoneticPr fontId="6" type="noConversion"/>
  </si>
  <si>
    <t>战术键2.0</t>
    <phoneticPr fontId="6" type="noConversion"/>
  </si>
  <si>
    <t>一键双模显示器</t>
    <phoneticPr fontId="6" type="noConversion"/>
  </si>
  <si>
    <t xml:space="preserve"> </t>
    <phoneticPr fontId="6" type="noConversion"/>
  </si>
  <si>
    <t>4k/160Hz/FHD 320Hz 丨21</t>
    <phoneticPr fontId="6" type="noConversion"/>
  </si>
  <si>
    <t>FO27Q5P</t>
  </si>
  <si>
    <t>FO27Q5P</t>
    <phoneticPr fontId="6" type="noConversion"/>
  </si>
  <si>
    <t>DP2.1 UHBR20</t>
    <phoneticPr fontId="6" type="noConversion"/>
  </si>
  <si>
    <t>OLED 0.03ms</t>
    <phoneticPr fontId="6" type="noConversion"/>
  </si>
  <si>
    <t>菊花链技术</t>
    <phoneticPr fontId="6" type="noConversion"/>
  </si>
  <si>
    <t>FO27Q2</t>
  </si>
  <si>
    <t>FO27Q3</t>
  </si>
  <si>
    <t>FO27Q3</t>
    <phoneticPr fontId="6" type="noConversion"/>
  </si>
  <si>
    <t>KVM支持 +战术键</t>
    <phoneticPr fontId="6" type="noConversion"/>
  </si>
  <si>
    <t>技嘉 OLED Care</t>
  </si>
  <si>
    <t>游戏辅助</t>
    <phoneticPr fontId="6" type="noConversion"/>
  </si>
  <si>
    <t>OSD仪表盘</t>
    <phoneticPr fontId="6" type="noConversion"/>
  </si>
  <si>
    <t>240Hz / 0.03ms</t>
    <phoneticPr fontId="6" type="noConversion"/>
  </si>
  <si>
    <t>360Hz / 0.03ms</t>
    <phoneticPr fontId="6" type="noConversion"/>
  </si>
  <si>
    <t>500Hz / 0.03ms</t>
    <phoneticPr fontId="6" type="noConversion"/>
  </si>
  <si>
    <t>机电散</t>
    <phoneticPr fontId="6" type="noConversion"/>
  </si>
  <si>
    <t>显卡日常优化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</si>
</sst>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9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  <font>
      <strike/>
      <sz val="11"/>
      <color theme="1"/>
      <name val="等线"/>
      <family val="2"/>
      <scheme val="minor"/>
    </font>
    <font>
      <strike/>
      <sz val="11"/>
      <color theme="1"/>
      <name val="等线"/>
      <family val="3"/>
      <charset val="134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  <xf numFmtId="0" fontId="18" fillId="0" borderId="0" applyNumberFormat="0" applyFont="0" applyFill="0" applyBorder="0" applyAlignment="0" applyProtection="0"/>
  </cellStyleXfs>
  <cellXfs count="48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6" fillId="0" borderId="0" xfId="0" applyFont="1"/>
    <xf numFmtId="0" fontId="17" fillId="0" borderId="0" xfId="0" applyFont="1"/>
    <xf numFmtId="176" fontId="0" fillId="6" borderId="0" xfId="0" applyNumberFormat="1" applyFill="1" applyAlignment="1">
      <alignment horizontal="left" vertical="center"/>
    </xf>
    <xf numFmtId="0" fontId="0" fillId="6" borderId="0" xfId="0" applyFill="1"/>
    <xf numFmtId="0" fontId="12" fillId="5" borderId="0" xfId="4" applyFont="1" applyBorder="1" applyAlignment="1">
      <alignment horizontal="center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  <xf numFmtId="0" fontId="13" fillId="4" borderId="15" xfId="3" applyFont="1" applyBorder="1" applyAlignment="1">
      <alignment horizontal="center" vertical="center"/>
    </xf>
    <xf numFmtId="0" fontId="13" fillId="4" borderId="16" xfId="3" applyFont="1" applyBorder="1" applyAlignment="1">
      <alignment horizontal="center" vertical="center"/>
    </xf>
    <xf numFmtId="0" fontId="0" fillId="0" borderId="0" xfId="0" applyFill="1"/>
    <xf numFmtId="0" fontId="0" fillId="0" borderId="0" xfId="0" applyNumberFormat="1"/>
  </cellXfs>
  <cellStyles count="6">
    <cellStyle name="差" xfId="1" builtinId="27"/>
    <cellStyle name="常规" xfId="0" builtinId="0"/>
    <cellStyle name="常规 2" xfId="5" xr:uid="{5C043CE2-1BBA-4FDD-B695-A985B9C1A0D0}"/>
    <cellStyle name="计算" xfId="3" builtinId="22"/>
    <cellStyle name="检查单元格" xfId="4" builtinId="23"/>
    <cellStyle name="适中" xfId="2" builtinId="28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7A4F8ABA-B058-4591-A884-B02F40A61722}"/>
            </a:ext>
          </a:extLst>
        </xdr:cNvPr>
        <xdr:cNvSpPr/>
      </xdr:nvSpPr>
      <xdr:spPr>
        <a:xfrm>
          <a:off x="993710" y="1089544"/>
          <a:ext cx="2181030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B5239608-6619-4685-9176-1BAA9067720C}"/>
            </a:ext>
          </a:extLst>
        </xdr:cNvPr>
        <xdr:cNvSpPr/>
      </xdr:nvSpPr>
      <xdr:spPr>
        <a:xfrm>
          <a:off x="993710" y="1089544"/>
          <a:ext cx="3028755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51" totalsRowShown="0" headerRowDxfId="36" headerRowCellStyle="适中">
  <autoFilter ref="B10:Q151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35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109" totalsRowShown="0">
  <autoFilter ref="B10:Q109" xr:uid="{D9FBC9CF-DD71-4D47-94C8-26F120FEC075}"/>
  <tableColumns count="16">
    <tableColumn id="1" xr3:uid="{33A2108F-08B4-4410-AAC7-60E4FAE2F9AD}" name="导出文件名" dataDxfId="34"/>
    <tableColumn id="11" xr3:uid="{8C4838D7-9093-4773-823C-778961433A17}" name="配件1" dataDxfId="33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32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31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30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29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28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27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26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25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4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23">
      <calculatedColumnFormula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calculatedColumnFormula>
    </tableColumn>
    <tableColumn id="13" xr3:uid="{CFC4DA47-25A5-49FA-B938-68820266B9D7}" name="可显性丨LOGO丨2"/>
    <tableColumn id="8" xr3:uid="{F721178D-6921-467E-95D1-67509BA00BBD}" name="可显性丨丨" dataDxfId="22">
      <calculatedColumnFormula array="1">_xlfn.IFS(表1_53[[#This Row],[配件1]]="","",表1_53[[#This Row],[文本丨算力丨算力值]]=0,"",表1_53[[#This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C1F275-908B-4E75-896C-CD4EB85062B1}" name="表1_536" displayName="表1_536" ref="B10:N49" totalsRowShown="0">
  <autoFilter ref="B10:N49" xr:uid="{D9FBC9CF-DD71-4D47-94C8-26F120FEC075}"/>
  <tableColumns count="13">
    <tableColumn id="1" xr3:uid="{1DC9F10E-CDD2-466E-95E2-4FD2E838B155}" name="导出文件名" dataDxfId="21"/>
    <tableColumn id="11" xr3:uid="{BB4E02FC-960A-41C2-BD6B-AB52FFA0C149}" name="配件1" dataDxfId="20"/>
    <tableColumn id="5" xr3:uid="{49319763-E04B-4B45-86D3-D99B34842BE3}" name="配件2"/>
    <tableColumn id="2" xr3:uid="{7A93B8EA-E5D2-46C8-BB71-F23F1EEDC7B0}" name="文本丨标题丨标题1" dataDxfId="19"/>
    <tableColumn id="7" xr3:uid="{4747A9AC-5393-41E4-A360-BD688336D703}" name="文本丨标题丨标题2" dataDxfId="18"/>
    <tableColumn id="6" xr3:uid="{04E3F3AF-118F-417B-8702-DAAEE555B410}" name="文本丨标题丨标题3" dataDxfId="17"/>
    <tableColumn id="4" xr3:uid="{B28C0532-670D-417C-837A-A5EF878522B9}" name="文本丨利益点丨利益点1" dataDxfId="16"/>
    <tableColumn id="9" xr3:uid="{A05D6996-F3B4-464F-B01E-82102B8B64A8}" name="文本丨利益点丨利益点2" dataDxfId="15"/>
    <tableColumn id="3" xr3:uid="{2A696869-068C-4E36-A8A0-FE24D59EA8D1}" name="文本丨利益点丨利益点3" dataDxfId="14"/>
    <tableColumn id="14" xr3:uid="{9009E3FA-7409-422E-85F6-94A4385C3F40}" name="可显性丨显卡丨" dataDxfId="13">
      <calculatedColumnFormula>IF(表1_536[[#This Row],[配件1]]&lt;&gt;"",_xlfn.XLOOKUP(表1_536[[#This Row],[配件1]],显卡利益点对照表[型号],显卡利益点对照表[可显性],"ERROR"),"")</calculatedColumnFormula>
    </tableColumn>
    <tableColumn id="16" xr3:uid="{28CE557A-5114-4A53-910B-E48ED3B52E8D}" name="可显性丨CPU丨"/>
    <tableColumn id="19" xr3:uid="{5F6284EF-8E57-4034-9FE5-5CDBA9C71F5D}" name="可显性丨主板丨" dataDxfId="12"/>
    <tableColumn id="15" xr3:uid="{E53D64E5-CB76-4EB2-A5A7-1D100DB35330}" name="可显性丨LOGO丨" dataDxfId="11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5FC32-5017-4577-9C31-8DF1C9187648}" name="表1_5367" displayName="表1_5367" ref="B10:L49" totalsRowShown="0">
  <autoFilter ref="B10:L49" xr:uid="{D9FBC9CF-DD71-4D47-94C8-26F120FEC075}"/>
  <tableColumns count="11">
    <tableColumn id="1" xr3:uid="{E8A53033-749B-40B1-88CC-8F1ABCF2BF01}" name="导出文件名" dataDxfId="10"/>
    <tableColumn id="11" xr3:uid="{6EA0E9A7-7A44-4E34-9769-DD3CF4AEE0B3}" name="配件1" dataDxfId="9"/>
    <tableColumn id="5" xr3:uid="{A88BACD1-3BAD-4E1B-89D5-3C4973F6D952}" name="配件2"/>
    <tableColumn id="2" xr3:uid="{F0D7F80B-3DCD-4DDD-B5DC-CB70E4C2DF2D}" name="文本丨标题丨标题1" dataDxfId="8"/>
    <tableColumn id="7" xr3:uid="{70AACDEE-3544-44DD-910A-4AE281D0DBA9}" name="文本丨标题丨标题2" dataDxfId="7"/>
    <tableColumn id="6" xr3:uid="{D8452014-BF0B-46C5-90D0-EABEFDB0D902}" name="文本丨标题丨标题3" dataDxfId="6"/>
    <tableColumn id="4" xr3:uid="{2893A5B6-105F-42BD-9658-9A83CC49315A}" name="文本丨利益点丨利益点1" dataDxfId="5"/>
    <tableColumn id="9" xr3:uid="{42E1D206-DD94-4E2A-9EF4-CBCA1A68ADD1}" name="文本丨利益点丨利益点2" dataDxfId="4"/>
    <tableColumn id="3" xr3:uid="{2B35D84D-0DE8-4814-89AE-89E5F05241FB}" name="文本丨利益点丨利益点3" dataDxfId="3"/>
    <tableColumn id="8" xr3:uid="{C986A183-FD74-4882-93D5-B4D61C1FA7E0}" name="文本丨利益点丨利益点4"/>
    <tableColumn id="14" xr3:uid="{E42C4ED1-8FAC-473B-BACF-170AD40E5BAC}" name="可显性丨机电散丨" dataDxfId="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108" totalsRowShown="0">
  <autoFilter ref="B8:L108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61:D174" totalsRowShown="0">
  <autoFilter ref="B161:D174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45"/>
  <sheetViews>
    <sheetView zoomScale="98" zoomScaleNormal="98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E32" sqref="E31:E32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288</v>
      </c>
    </row>
    <row r="2" spans="1:17" x14ac:dyDescent="0.2">
      <c r="A2" t="s">
        <v>1</v>
      </c>
      <c r="B2" s="2" t="s">
        <v>324</v>
      </c>
    </row>
    <row r="3" spans="1:17" x14ac:dyDescent="0.2">
      <c r="A3" t="s">
        <v>2</v>
      </c>
      <c r="B3" s="2" t="s">
        <v>324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173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174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507</v>
      </c>
      <c r="E12" t="s">
        <v>509</v>
      </c>
      <c r="F12" t="s">
        <v>299</v>
      </c>
      <c r="G12" t="s">
        <v>515</v>
      </c>
      <c r="H12" s="11" t="s">
        <v>514</v>
      </c>
      <c r="I12" t="s">
        <v>43</v>
      </c>
      <c r="J12" t="s">
        <v>512</v>
      </c>
      <c r="K12" t="s">
        <v>497</v>
      </c>
      <c r="L12" t="s">
        <v>304</v>
      </c>
      <c r="M12" t="s">
        <v>307</v>
      </c>
      <c r="N12" t="s">
        <v>326</v>
      </c>
      <c r="O12" s="2" t="s">
        <v>507</v>
      </c>
      <c r="P12" t="s">
        <v>314</v>
      </c>
    </row>
    <row r="13" spans="1:17" x14ac:dyDescent="0.2">
      <c r="B13" s="2" t="s">
        <v>508</v>
      </c>
      <c r="E13" t="s">
        <v>509</v>
      </c>
      <c r="F13" t="s">
        <v>301</v>
      </c>
      <c r="G13" t="s">
        <v>515</v>
      </c>
      <c r="H13" s="11" t="s">
        <v>514</v>
      </c>
      <c r="I13" t="s">
        <v>43</v>
      </c>
      <c r="J13" t="s">
        <v>512</v>
      </c>
      <c r="K13" t="s">
        <v>497</v>
      </c>
      <c r="L13" t="s">
        <v>304</v>
      </c>
      <c r="M13" t="s">
        <v>322</v>
      </c>
      <c r="N13" t="s">
        <v>510</v>
      </c>
      <c r="O13" s="2" t="s">
        <v>508</v>
      </c>
      <c r="P13" t="s">
        <v>314</v>
      </c>
    </row>
    <row r="14" spans="1:17" x14ac:dyDescent="0.2">
      <c r="B14" s="2" t="s">
        <v>506</v>
      </c>
      <c r="E14" t="s">
        <v>509</v>
      </c>
      <c r="F14" t="s">
        <v>73</v>
      </c>
      <c r="G14" t="s">
        <v>515</v>
      </c>
      <c r="H14" s="11" t="s">
        <v>514</v>
      </c>
      <c r="I14" t="s">
        <v>513</v>
      </c>
      <c r="J14" t="s">
        <v>512</v>
      </c>
      <c r="K14" t="s">
        <v>497</v>
      </c>
      <c r="L14" t="s">
        <v>304</v>
      </c>
      <c r="M14" t="s">
        <v>511</v>
      </c>
      <c r="N14" t="s">
        <v>510</v>
      </c>
      <c r="O14" s="2" t="s">
        <v>506</v>
      </c>
      <c r="P14" t="s">
        <v>314</v>
      </c>
    </row>
    <row r="16" spans="1:17" x14ac:dyDescent="0.2">
      <c r="B16" s="2" t="s">
        <v>297</v>
      </c>
      <c r="E16" t="s">
        <v>298</v>
      </c>
      <c r="F16" t="s">
        <v>299</v>
      </c>
      <c r="G16" t="s">
        <v>312</v>
      </c>
      <c r="H16" s="20" t="s">
        <v>325</v>
      </c>
      <c r="I16" t="s">
        <v>310</v>
      </c>
      <c r="J16" t="s">
        <v>36</v>
      </c>
      <c r="K16" t="s">
        <v>37</v>
      </c>
      <c r="L16" t="s">
        <v>304</v>
      </c>
      <c r="M16" t="s">
        <v>307</v>
      </c>
      <c r="N16" t="s">
        <v>326</v>
      </c>
      <c r="O16" s="2" t="s">
        <v>297</v>
      </c>
      <c r="P16" t="s">
        <v>314</v>
      </c>
    </row>
    <row r="17" spans="2:16" x14ac:dyDescent="0.2">
      <c r="B17" s="2" t="s">
        <v>295</v>
      </c>
      <c r="E17" t="s">
        <v>298</v>
      </c>
      <c r="F17" t="s">
        <v>300</v>
      </c>
      <c r="G17" t="s">
        <v>312</v>
      </c>
      <c r="H17" s="20" t="s">
        <v>325</v>
      </c>
      <c r="I17" t="s">
        <v>311</v>
      </c>
      <c r="J17" t="s">
        <v>36</v>
      </c>
      <c r="K17" t="s">
        <v>37</v>
      </c>
      <c r="L17" t="s">
        <v>304</v>
      </c>
      <c r="M17" t="s">
        <v>322</v>
      </c>
      <c r="N17" t="s">
        <v>40</v>
      </c>
      <c r="O17" s="2" t="s">
        <v>295</v>
      </c>
      <c r="P17" t="s">
        <v>313</v>
      </c>
    </row>
    <row r="18" spans="2:16" x14ac:dyDescent="0.2">
      <c r="B18" s="2" t="s">
        <v>296</v>
      </c>
      <c r="E18" t="s">
        <v>298</v>
      </c>
      <c r="F18" t="s">
        <v>301</v>
      </c>
      <c r="G18" t="s">
        <v>312</v>
      </c>
      <c r="H18" s="20" t="s">
        <v>325</v>
      </c>
      <c r="I18" t="s">
        <v>309</v>
      </c>
      <c r="J18" t="s">
        <v>36</v>
      </c>
      <c r="K18" t="s">
        <v>37</v>
      </c>
      <c r="L18" t="s">
        <v>304</v>
      </c>
      <c r="M18" t="s">
        <v>322</v>
      </c>
      <c r="N18" t="s">
        <v>40</v>
      </c>
      <c r="O18" s="2" t="s">
        <v>296</v>
      </c>
      <c r="P18" t="s">
        <v>314</v>
      </c>
    </row>
    <row r="19" spans="2:16" x14ac:dyDescent="0.2">
      <c r="B19" s="2" t="s">
        <v>556</v>
      </c>
      <c r="E19" t="s">
        <v>298</v>
      </c>
      <c r="F19" t="s">
        <v>584</v>
      </c>
      <c r="G19" t="s">
        <v>312</v>
      </c>
      <c r="H19" s="20" t="s">
        <v>325</v>
      </c>
      <c r="I19" t="s">
        <v>309</v>
      </c>
      <c r="J19" t="s">
        <v>36</v>
      </c>
      <c r="K19" t="s">
        <v>37</v>
      </c>
      <c r="L19" t="s">
        <v>304</v>
      </c>
      <c r="M19" t="s">
        <v>322</v>
      </c>
      <c r="N19" t="s">
        <v>40</v>
      </c>
      <c r="O19" s="2" t="s">
        <v>556</v>
      </c>
      <c r="P19" t="s">
        <v>314</v>
      </c>
    </row>
    <row r="20" spans="2:16" x14ac:dyDescent="0.2">
      <c r="B20" s="2" t="s">
        <v>294</v>
      </c>
      <c r="E20" t="s">
        <v>298</v>
      </c>
      <c r="F20" t="s">
        <v>302</v>
      </c>
      <c r="G20" t="s">
        <v>312</v>
      </c>
      <c r="H20" s="20" t="s">
        <v>325</v>
      </c>
      <c r="I20" t="s">
        <v>125</v>
      </c>
      <c r="J20" t="s">
        <v>36</v>
      </c>
      <c r="K20" t="s">
        <v>37</v>
      </c>
      <c r="L20" t="s">
        <v>304</v>
      </c>
      <c r="M20" t="s">
        <v>39</v>
      </c>
      <c r="N20" t="s">
        <v>40</v>
      </c>
      <c r="O20" s="2" t="s">
        <v>294</v>
      </c>
      <c r="P20" t="s">
        <v>314</v>
      </c>
    </row>
    <row r="21" spans="2:16" x14ac:dyDescent="0.2">
      <c r="B21" s="2" t="s">
        <v>557</v>
      </c>
      <c r="E21" t="s">
        <v>298</v>
      </c>
      <c r="F21" t="s">
        <v>585</v>
      </c>
      <c r="G21" t="s">
        <v>312</v>
      </c>
      <c r="H21" s="20" t="s">
        <v>325</v>
      </c>
      <c r="J21" t="s">
        <v>36</v>
      </c>
      <c r="K21" t="s">
        <v>37</v>
      </c>
      <c r="L21" t="s">
        <v>304</v>
      </c>
      <c r="M21" t="s">
        <v>588</v>
      </c>
      <c r="N21" t="s">
        <v>40</v>
      </c>
      <c r="O21" s="2" t="s">
        <v>557</v>
      </c>
      <c r="P21" t="s">
        <v>314</v>
      </c>
    </row>
    <row r="22" spans="2:16" x14ac:dyDescent="0.2">
      <c r="B22" s="2" t="s">
        <v>292</v>
      </c>
      <c r="E22" t="s">
        <v>298</v>
      </c>
      <c r="F22" t="s">
        <v>303</v>
      </c>
      <c r="G22" t="s">
        <v>312</v>
      </c>
      <c r="H22" s="20" t="s">
        <v>325</v>
      </c>
      <c r="I22" t="s">
        <v>125</v>
      </c>
      <c r="J22" t="s">
        <v>36</v>
      </c>
      <c r="K22" t="s">
        <v>37</v>
      </c>
      <c r="L22" t="s">
        <v>304</v>
      </c>
      <c r="M22" t="s">
        <v>39</v>
      </c>
      <c r="N22" t="s">
        <v>40</v>
      </c>
      <c r="O22" s="2" t="s">
        <v>292</v>
      </c>
      <c r="P22" t="s">
        <v>314</v>
      </c>
    </row>
    <row r="23" spans="2:16" x14ac:dyDescent="0.2">
      <c r="B23" s="2" t="s">
        <v>291</v>
      </c>
      <c r="E23" t="s">
        <v>298</v>
      </c>
      <c r="F23" t="s">
        <v>73</v>
      </c>
      <c r="G23" t="s">
        <v>312</v>
      </c>
      <c r="H23" s="20" t="s">
        <v>325</v>
      </c>
      <c r="I23" t="s">
        <v>308</v>
      </c>
      <c r="J23" t="s">
        <v>36</v>
      </c>
      <c r="K23" t="s">
        <v>37</v>
      </c>
      <c r="L23" t="s">
        <v>304</v>
      </c>
      <c r="M23" t="s">
        <v>305</v>
      </c>
      <c r="N23" t="s">
        <v>40</v>
      </c>
      <c r="O23" s="2" t="s">
        <v>291</v>
      </c>
      <c r="P23" t="s">
        <v>314</v>
      </c>
    </row>
    <row r="24" spans="2:16" x14ac:dyDescent="0.2">
      <c r="B24" s="2" t="s">
        <v>293</v>
      </c>
      <c r="E24" t="s">
        <v>298</v>
      </c>
      <c r="F24" t="s">
        <v>78</v>
      </c>
      <c r="G24" t="s">
        <v>312</v>
      </c>
      <c r="H24" s="20" t="s">
        <v>325</v>
      </c>
      <c r="I24" t="s">
        <v>308</v>
      </c>
      <c r="J24" t="s">
        <v>36</v>
      </c>
      <c r="K24" t="s">
        <v>37</v>
      </c>
      <c r="L24" t="s">
        <v>304</v>
      </c>
      <c r="M24" t="s">
        <v>306</v>
      </c>
      <c r="N24" t="s">
        <v>40</v>
      </c>
      <c r="O24" s="2" t="s">
        <v>293</v>
      </c>
      <c r="P24" t="s">
        <v>314</v>
      </c>
    </row>
    <row r="25" spans="2:16" x14ac:dyDescent="0.2">
      <c r="B25" s="2" t="s">
        <v>290</v>
      </c>
      <c r="E25" t="s">
        <v>298</v>
      </c>
      <c r="F25" t="s">
        <v>56</v>
      </c>
      <c r="G25" t="s">
        <v>312</v>
      </c>
      <c r="H25" s="20" t="s">
        <v>325</v>
      </c>
      <c r="I25" t="s">
        <v>57</v>
      </c>
      <c r="J25" t="s">
        <v>36</v>
      </c>
      <c r="K25" t="s">
        <v>37</v>
      </c>
      <c r="L25" t="s">
        <v>304</v>
      </c>
      <c r="M25" t="s">
        <v>323</v>
      </c>
      <c r="N25" t="s">
        <v>40</v>
      </c>
      <c r="O25" s="2" t="s">
        <v>290</v>
      </c>
      <c r="P25" t="s">
        <v>76</v>
      </c>
    </row>
    <row r="26" spans="2:16" x14ac:dyDescent="0.2">
      <c r="H26" s="11"/>
    </row>
    <row r="27" spans="2:16" x14ac:dyDescent="0.2">
      <c r="B27" s="2" t="s">
        <v>316</v>
      </c>
      <c r="E27" t="s">
        <v>31</v>
      </c>
      <c r="F27" t="s">
        <v>32</v>
      </c>
      <c r="G27" t="s">
        <v>33</v>
      </c>
      <c r="H27" s="11" t="s">
        <v>34</v>
      </c>
      <c r="I27" t="s">
        <v>35</v>
      </c>
      <c r="J27" t="s">
        <v>36</v>
      </c>
      <c r="K27" t="s">
        <v>37</v>
      </c>
      <c r="L27" t="s">
        <v>38</v>
      </c>
      <c r="M27" t="s">
        <v>39</v>
      </c>
      <c r="N27" t="s">
        <v>40</v>
      </c>
      <c r="O27" t="s">
        <v>315</v>
      </c>
      <c r="P27" t="s">
        <v>175</v>
      </c>
    </row>
    <row r="28" spans="2:16" x14ac:dyDescent="0.2">
      <c r="B28" s="2" t="s">
        <v>317</v>
      </c>
      <c r="E28" t="s">
        <v>31</v>
      </c>
      <c r="F28" t="s">
        <v>42</v>
      </c>
      <c r="G28" t="s">
        <v>33</v>
      </c>
      <c r="H28" s="11" t="s">
        <v>34</v>
      </c>
      <c r="I28" t="s">
        <v>43</v>
      </c>
      <c r="J28" t="s">
        <v>36</v>
      </c>
      <c r="K28" t="s">
        <v>37</v>
      </c>
      <c r="L28" t="s">
        <v>38</v>
      </c>
      <c r="M28" t="s">
        <v>39</v>
      </c>
      <c r="N28" t="s">
        <v>40</v>
      </c>
      <c r="O28" t="s">
        <v>177</v>
      </c>
      <c r="P28" t="s">
        <v>41</v>
      </c>
    </row>
    <row r="29" spans="2:16" x14ac:dyDescent="0.2">
      <c r="B29" s="2" t="s">
        <v>559</v>
      </c>
      <c r="E29" t="s">
        <v>577</v>
      </c>
      <c r="F29" t="s">
        <v>584</v>
      </c>
      <c r="G29" t="s">
        <v>578</v>
      </c>
      <c r="H29" s="11" t="s">
        <v>579</v>
      </c>
      <c r="I29" t="s">
        <v>69</v>
      </c>
      <c r="J29" t="s">
        <v>580</v>
      </c>
      <c r="K29" t="s">
        <v>581</v>
      </c>
      <c r="L29" t="s">
        <v>582</v>
      </c>
      <c r="M29" t="s">
        <v>583</v>
      </c>
      <c r="N29" t="s">
        <v>430</v>
      </c>
      <c r="O29" s="2" t="s">
        <v>559</v>
      </c>
      <c r="P29" t="s">
        <v>314</v>
      </c>
    </row>
    <row r="30" spans="2:16" x14ac:dyDescent="0.2">
      <c r="B30" s="2" t="s">
        <v>318</v>
      </c>
      <c r="E30" t="s">
        <v>31</v>
      </c>
      <c r="F30" t="s">
        <v>44</v>
      </c>
      <c r="G30" t="s">
        <v>33</v>
      </c>
      <c r="H30" s="11" t="s">
        <v>34</v>
      </c>
      <c r="I30" t="s">
        <v>45</v>
      </c>
      <c r="J30" t="s">
        <v>36</v>
      </c>
      <c r="K30" t="s">
        <v>37</v>
      </c>
      <c r="L30" t="s">
        <v>38</v>
      </c>
      <c r="M30" t="s">
        <v>46</v>
      </c>
      <c r="N30" t="s">
        <v>40</v>
      </c>
      <c r="O30" t="s">
        <v>179</v>
      </c>
      <c r="P30" t="s">
        <v>41</v>
      </c>
    </row>
    <row r="31" spans="2:16" x14ac:dyDescent="0.2">
      <c r="B31" s="2" t="s">
        <v>561</v>
      </c>
      <c r="E31" t="s">
        <v>31</v>
      </c>
      <c r="F31" t="s">
        <v>586</v>
      </c>
      <c r="G31" t="s">
        <v>33</v>
      </c>
      <c r="H31" s="11" t="s">
        <v>34</v>
      </c>
      <c r="I31" t="s">
        <v>45</v>
      </c>
      <c r="J31" t="s">
        <v>36</v>
      </c>
      <c r="K31" t="s">
        <v>37</v>
      </c>
      <c r="L31" t="s">
        <v>38</v>
      </c>
      <c r="M31" t="s">
        <v>587</v>
      </c>
      <c r="N31" t="s">
        <v>40</v>
      </c>
      <c r="O31" s="2" t="s">
        <v>561</v>
      </c>
      <c r="P31" t="s">
        <v>41</v>
      </c>
    </row>
    <row r="32" spans="2:16" x14ac:dyDescent="0.2">
      <c r="B32" s="2" t="s">
        <v>319</v>
      </c>
      <c r="E32" t="s">
        <v>31</v>
      </c>
      <c r="F32" t="s">
        <v>47</v>
      </c>
      <c r="G32" t="s">
        <v>33</v>
      </c>
      <c r="H32" s="11" t="s">
        <v>34</v>
      </c>
      <c r="I32" t="s">
        <v>45</v>
      </c>
      <c r="J32" t="s">
        <v>36</v>
      </c>
      <c r="K32" t="s">
        <v>37</v>
      </c>
      <c r="L32" t="s">
        <v>38</v>
      </c>
      <c r="M32" t="s">
        <v>46</v>
      </c>
      <c r="N32" t="s">
        <v>40</v>
      </c>
      <c r="O32" t="s">
        <v>181</v>
      </c>
      <c r="P32" t="s">
        <v>41</v>
      </c>
    </row>
    <row r="33" spans="2:16" x14ac:dyDescent="0.2">
      <c r="B33" s="2" t="s">
        <v>320</v>
      </c>
      <c r="E33" t="s">
        <v>31</v>
      </c>
      <c r="F33" t="s">
        <v>48</v>
      </c>
      <c r="G33" t="s">
        <v>33</v>
      </c>
      <c r="H33" s="11" t="s">
        <v>34</v>
      </c>
      <c r="I33" t="s">
        <v>49</v>
      </c>
      <c r="J33" t="s">
        <v>36</v>
      </c>
      <c r="K33" t="s">
        <v>37</v>
      </c>
      <c r="L33" t="s">
        <v>38</v>
      </c>
      <c r="M33" t="s">
        <v>50</v>
      </c>
      <c r="N33" t="s">
        <v>40</v>
      </c>
      <c r="O33" t="s">
        <v>183</v>
      </c>
      <c r="P33" t="s">
        <v>41</v>
      </c>
    </row>
    <row r="34" spans="2:16" x14ac:dyDescent="0.2">
      <c r="B34" s="2" t="s">
        <v>321</v>
      </c>
      <c r="E34" t="s">
        <v>31</v>
      </c>
      <c r="F34" t="s">
        <v>51</v>
      </c>
      <c r="G34" t="s">
        <v>33</v>
      </c>
      <c r="H34" s="11" t="s">
        <v>34</v>
      </c>
      <c r="I34" t="s">
        <v>49</v>
      </c>
      <c r="J34" t="s">
        <v>36</v>
      </c>
      <c r="K34" t="s">
        <v>37</v>
      </c>
      <c r="L34" t="s">
        <v>38</v>
      </c>
      <c r="M34" t="s">
        <v>52</v>
      </c>
      <c r="N34" t="s">
        <v>40</v>
      </c>
      <c r="O34" t="s">
        <v>186</v>
      </c>
      <c r="P34" t="s">
        <v>41</v>
      </c>
    </row>
    <row r="36" spans="2:16" x14ac:dyDescent="0.2">
      <c r="B36" s="2" t="s">
        <v>315</v>
      </c>
      <c r="E36" t="s">
        <v>53</v>
      </c>
      <c r="F36" t="s">
        <v>32</v>
      </c>
      <c r="G36" t="s">
        <v>33</v>
      </c>
      <c r="H36" s="11" t="s">
        <v>34</v>
      </c>
      <c r="I36" t="s">
        <v>35</v>
      </c>
      <c r="J36" t="s">
        <v>54</v>
      </c>
      <c r="K36" t="s">
        <v>37</v>
      </c>
      <c r="L36" t="s">
        <v>38</v>
      </c>
      <c r="M36" t="s">
        <v>39</v>
      </c>
      <c r="N36" t="s">
        <v>40</v>
      </c>
      <c r="O36" t="s">
        <v>315</v>
      </c>
      <c r="P36" t="s">
        <v>175</v>
      </c>
    </row>
    <row r="37" spans="2:16" x14ac:dyDescent="0.2">
      <c r="B37" s="2" t="s">
        <v>176</v>
      </c>
      <c r="E37" t="s">
        <v>53</v>
      </c>
      <c r="F37" t="s">
        <v>42</v>
      </c>
      <c r="G37" t="s">
        <v>33</v>
      </c>
      <c r="H37" s="11" t="s">
        <v>34</v>
      </c>
      <c r="I37" t="s">
        <v>43</v>
      </c>
      <c r="J37" t="s">
        <v>54</v>
      </c>
      <c r="K37" t="s">
        <v>37</v>
      </c>
      <c r="L37" t="s">
        <v>38</v>
      </c>
      <c r="M37" t="s">
        <v>39</v>
      </c>
      <c r="N37" t="s">
        <v>40</v>
      </c>
      <c r="O37" t="s">
        <v>177</v>
      </c>
      <c r="P37" t="s">
        <v>41</v>
      </c>
    </row>
    <row r="38" spans="2:16" x14ac:dyDescent="0.2">
      <c r="B38" s="2" t="s">
        <v>563</v>
      </c>
      <c r="E38" t="s">
        <v>53</v>
      </c>
      <c r="F38" t="s">
        <v>584</v>
      </c>
      <c r="G38" t="s">
        <v>33</v>
      </c>
      <c r="H38" s="11" t="s">
        <v>34</v>
      </c>
      <c r="J38" t="s">
        <v>54</v>
      </c>
      <c r="K38" t="s">
        <v>37</v>
      </c>
      <c r="L38" t="s">
        <v>38</v>
      </c>
      <c r="M38" t="s">
        <v>583</v>
      </c>
      <c r="N38" t="s">
        <v>40</v>
      </c>
      <c r="O38" t="s">
        <v>563</v>
      </c>
      <c r="P38" t="s">
        <v>41</v>
      </c>
    </row>
    <row r="39" spans="2:16" x14ac:dyDescent="0.2">
      <c r="B39" s="2" t="s">
        <v>178</v>
      </c>
      <c r="E39" t="s">
        <v>53</v>
      </c>
      <c r="F39" t="s">
        <v>44</v>
      </c>
      <c r="G39" t="s">
        <v>33</v>
      </c>
      <c r="H39" s="11" t="s">
        <v>34</v>
      </c>
      <c r="I39" t="s">
        <v>45</v>
      </c>
      <c r="J39" t="s">
        <v>54</v>
      </c>
      <c r="K39" t="s">
        <v>37</v>
      </c>
      <c r="L39" t="s">
        <v>38</v>
      </c>
      <c r="M39" t="s">
        <v>46</v>
      </c>
      <c r="N39" t="s">
        <v>40</v>
      </c>
      <c r="O39" t="s">
        <v>179</v>
      </c>
      <c r="P39" t="s">
        <v>41</v>
      </c>
    </row>
    <row r="40" spans="2:16" x14ac:dyDescent="0.2">
      <c r="B40" s="2" t="s">
        <v>572</v>
      </c>
      <c r="E40" t="s">
        <v>53</v>
      </c>
      <c r="F40" t="s">
        <v>585</v>
      </c>
      <c r="G40" t="s">
        <v>33</v>
      </c>
      <c r="H40" s="11" t="s">
        <v>34</v>
      </c>
      <c r="J40" t="s">
        <v>54</v>
      </c>
      <c r="K40" t="s">
        <v>37</v>
      </c>
      <c r="L40" t="s">
        <v>38</v>
      </c>
      <c r="M40" t="s">
        <v>587</v>
      </c>
      <c r="N40" t="s">
        <v>40</v>
      </c>
      <c r="O40" t="s">
        <v>572</v>
      </c>
      <c r="P40" t="s">
        <v>41</v>
      </c>
    </row>
    <row r="41" spans="2:16" x14ac:dyDescent="0.2">
      <c r="B41" s="2" t="s">
        <v>180</v>
      </c>
      <c r="E41" t="s">
        <v>53</v>
      </c>
      <c r="F41" t="s">
        <v>47</v>
      </c>
      <c r="G41" t="s">
        <v>33</v>
      </c>
      <c r="H41" s="11" t="s">
        <v>34</v>
      </c>
      <c r="I41" t="s">
        <v>45</v>
      </c>
      <c r="J41" t="s">
        <v>54</v>
      </c>
      <c r="K41" t="s">
        <v>37</v>
      </c>
      <c r="L41" t="s">
        <v>38</v>
      </c>
      <c r="M41" t="s">
        <v>46</v>
      </c>
      <c r="N41" t="s">
        <v>40</v>
      </c>
      <c r="O41" t="s">
        <v>181</v>
      </c>
      <c r="P41" t="s">
        <v>41</v>
      </c>
    </row>
    <row r="42" spans="2:16" x14ac:dyDescent="0.2">
      <c r="B42" s="2" t="s">
        <v>182</v>
      </c>
      <c r="E42" t="s">
        <v>53</v>
      </c>
      <c r="F42" t="s">
        <v>48</v>
      </c>
      <c r="G42" t="s">
        <v>33</v>
      </c>
      <c r="H42" s="11" t="s">
        <v>34</v>
      </c>
      <c r="I42" t="s">
        <v>49</v>
      </c>
      <c r="J42" t="s">
        <v>54</v>
      </c>
      <c r="K42" t="s">
        <v>37</v>
      </c>
      <c r="L42" t="s">
        <v>38</v>
      </c>
      <c r="M42" t="s">
        <v>50</v>
      </c>
      <c r="N42" t="s">
        <v>40</v>
      </c>
      <c r="O42" t="s">
        <v>183</v>
      </c>
      <c r="P42" t="s">
        <v>41</v>
      </c>
    </row>
    <row r="43" spans="2:16" x14ac:dyDescent="0.2">
      <c r="B43" s="2" t="s">
        <v>184</v>
      </c>
      <c r="E43" t="s">
        <v>53</v>
      </c>
      <c r="F43" t="s">
        <v>55</v>
      </c>
      <c r="G43" t="s">
        <v>33</v>
      </c>
      <c r="H43" s="11" t="s">
        <v>34</v>
      </c>
      <c r="I43" t="s">
        <v>49</v>
      </c>
      <c r="J43" t="s">
        <v>54</v>
      </c>
      <c r="K43" t="s">
        <v>37</v>
      </c>
      <c r="L43" t="s">
        <v>38</v>
      </c>
      <c r="M43" t="s">
        <v>52</v>
      </c>
      <c r="N43" t="s">
        <v>40</v>
      </c>
      <c r="O43" t="s">
        <v>186</v>
      </c>
      <c r="P43" t="s">
        <v>41</v>
      </c>
    </row>
    <row r="44" spans="2:16" x14ac:dyDescent="0.2">
      <c r="B44" s="2" t="s">
        <v>185</v>
      </c>
      <c r="E44" t="s">
        <v>53</v>
      </c>
      <c r="F44" t="s">
        <v>56</v>
      </c>
      <c r="G44" t="s">
        <v>33</v>
      </c>
      <c r="H44" s="11" t="s">
        <v>34</v>
      </c>
      <c r="I44" t="s">
        <v>57</v>
      </c>
      <c r="J44" t="s">
        <v>54</v>
      </c>
      <c r="K44" t="s">
        <v>37</v>
      </c>
      <c r="L44" t="s">
        <v>38</v>
      </c>
      <c r="M44" t="s">
        <v>58</v>
      </c>
      <c r="N44" t="s">
        <v>40</v>
      </c>
      <c r="O44" t="s">
        <v>187</v>
      </c>
      <c r="P44" t="s">
        <v>76</v>
      </c>
    </row>
    <row r="45" spans="2:16" x14ac:dyDescent="0.2">
      <c r="H45" s="11"/>
    </row>
    <row r="46" spans="2:16" x14ac:dyDescent="0.2">
      <c r="B46" s="2" t="s">
        <v>381</v>
      </c>
      <c r="E46" t="s">
        <v>60</v>
      </c>
      <c r="F46" t="s">
        <v>431</v>
      </c>
      <c r="G46" t="s">
        <v>62</v>
      </c>
      <c r="H46" s="3">
        <v>6144</v>
      </c>
      <c r="I46" t="s">
        <v>310</v>
      </c>
      <c r="J46" t="s">
        <v>64</v>
      </c>
      <c r="K46" t="s">
        <v>65</v>
      </c>
      <c r="L46" t="s">
        <v>428</v>
      </c>
      <c r="M46" t="s">
        <v>67</v>
      </c>
      <c r="N46" t="s">
        <v>430</v>
      </c>
      <c r="O46" t="s">
        <v>381</v>
      </c>
      <c r="P46" t="s">
        <v>175</v>
      </c>
    </row>
    <row r="47" spans="2:16" x14ac:dyDescent="0.2">
      <c r="B47" s="2" t="s">
        <v>382</v>
      </c>
      <c r="E47" t="s">
        <v>60</v>
      </c>
      <c r="F47" t="s">
        <v>61</v>
      </c>
      <c r="G47" t="s">
        <v>62</v>
      </c>
      <c r="H47" s="3">
        <v>6144</v>
      </c>
      <c r="I47" t="s">
        <v>63</v>
      </c>
      <c r="J47" t="s">
        <v>64</v>
      </c>
      <c r="K47" t="s">
        <v>65</v>
      </c>
      <c r="L47" t="s">
        <v>66</v>
      </c>
      <c r="M47" t="s">
        <v>67</v>
      </c>
      <c r="N47" t="s">
        <v>40</v>
      </c>
      <c r="O47" t="s">
        <v>382</v>
      </c>
      <c r="P47" t="s">
        <v>41</v>
      </c>
    </row>
    <row r="48" spans="2:16" x14ac:dyDescent="0.2">
      <c r="B48" s="2" t="s">
        <v>383</v>
      </c>
      <c r="E48" t="s">
        <v>60</v>
      </c>
      <c r="F48" t="s">
        <v>44</v>
      </c>
      <c r="G48" t="s">
        <v>62</v>
      </c>
      <c r="H48" s="3">
        <v>6144</v>
      </c>
      <c r="I48" t="s">
        <v>69</v>
      </c>
      <c r="J48" t="s">
        <v>64</v>
      </c>
      <c r="K48" t="s">
        <v>65</v>
      </c>
      <c r="L48" t="s">
        <v>66</v>
      </c>
      <c r="M48" t="s">
        <v>70</v>
      </c>
      <c r="N48" t="s">
        <v>40</v>
      </c>
      <c r="O48" t="s">
        <v>383</v>
      </c>
      <c r="P48" t="s">
        <v>41</v>
      </c>
    </row>
    <row r="49" spans="2:20" x14ac:dyDescent="0.2">
      <c r="B49" s="2" t="s">
        <v>384</v>
      </c>
      <c r="E49" t="s">
        <v>60</v>
      </c>
      <c r="F49" t="s">
        <v>47</v>
      </c>
      <c r="G49" t="s">
        <v>62</v>
      </c>
      <c r="H49" s="3">
        <v>6144</v>
      </c>
      <c r="I49" t="s">
        <v>69</v>
      </c>
      <c r="J49" t="s">
        <v>64</v>
      </c>
      <c r="K49" t="s">
        <v>65</v>
      </c>
      <c r="L49" t="s">
        <v>66</v>
      </c>
      <c r="M49" t="s">
        <v>70</v>
      </c>
      <c r="N49" t="s">
        <v>40</v>
      </c>
      <c r="O49" t="s">
        <v>384</v>
      </c>
      <c r="P49" t="s">
        <v>41</v>
      </c>
    </row>
    <row r="50" spans="2:20" x14ac:dyDescent="0.2">
      <c r="B50" s="2" t="s">
        <v>385</v>
      </c>
      <c r="E50" t="s">
        <v>60</v>
      </c>
      <c r="F50" t="s">
        <v>73</v>
      </c>
      <c r="G50" t="s">
        <v>62</v>
      </c>
      <c r="H50" s="3">
        <v>6144</v>
      </c>
      <c r="I50" t="s">
        <v>74</v>
      </c>
      <c r="J50" t="s">
        <v>64</v>
      </c>
      <c r="K50" t="s">
        <v>65</v>
      </c>
      <c r="L50" t="s">
        <v>66</v>
      </c>
      <c r="M50" t="s">
        <v>75</v>
      </c>
      <c r="N50" t="s">
        <v>40</v>
      </c>
      <c r="O50" t="s">
        <v>385</v>
      </c>
      <c r="P50" t="s">
        <v>76</v>
      </c>
    </row>
    <row r="51" spans="2:20" x14ac:dyDescent="0.2">
      <c r="B51" s="2" t="s">
        <v>386</v>
      </c>
      <c r="E51" t="s">
        <v>60</v>
      </c>
      <c r="F51" t="s">
        <v>78</v>
      </c>
      <c r="G51" t="s">
        <v>62</v>
      </c>
      <c r="H51" s="3">
        <v>6144</v>
      </c>
      <c r="I51" t="s">
        <v>74</v>
      </c>
      <c r="J51" t="s">
        <v>64</v>
      </c>
      <c r="K51" t="s">
        <v>65</v>
      </c>
      <c r="L51" t="s">
        <v>66</v>
      </c>
      <c r="M51" t="s">
        <v>79</v>
      </c>
      <c r="N51" t="s">
        <v>40</v>
      </c>
      <c r="O51" t="s">
        <v>386</v>
      </c>
      <c r="P51" t="s">
        <v>76</v>
      </c>
    </row>
    <row r="52" spans="2:20" x14ac:dyDescent="0.2">
      <c r="B52" s="2" t="s">
        <v>387</v>
      </c>
      <c r="E52" t="s">
        <v>60</v>
      </c>
      <c r="F52" t="s">
        <v>81</v>
      </c>
      <c r="G52" t="s">
        <v>62</v>
      </c>
      <c r="H52" s="3">
        <v>6144</v>
      </c>
      <c r="I52" t="s">
        <v>82</v>
      </c>
      <c r="J52" t="s">
        <v>64</v>
      </c>
      <c r="K52" t="s">
        <v>65</v>
      </c>
      <c r="L52" t="s">
        <v>66</v>
      </c>
      <c r="M52" t="s">
        <v>433</v>
      </c>
      <c r="N52" t="s">
        <v>40</v>
      </c>
      <c r="O52" t="s">
        <v>387</v>
      </c>
      <c r="P52" t="s">
        <v>76</v>
      </c>
    </row>
    <row r="54" spans="2:20" x14ac:dyDescent="0.2">
      <c r="B54" s="2" t="s">
        <v>390</v>
      </c>
      <c r="E54" t="s">
        <v>424</v>
      </c>
      <c r="F54" t="s">
        <v>431</v>
      </c>
      <c r="G54" t="s">
        <v>425</v>
      </c>
      <c r="H54" s="3" t="s">
        <v>86</v>
      </c>
      <c r="I54" t="s">
        <v>432</v>
      </c>
      <c r="J54" t="s">
        <v>426</v>
      </c>
      <c r="K54" t="s">
        <v>427</v>
      </c>
      <c r="L54" t="s">
        <v>428</v>
      </c>
      <c r="M54" t="s">
        <v>429</v>
      </c>
      <c r="N54" t="s">
        <v>430</v>
      </c>
      <c r="O54" t="s">
        <v>390</v>
      </c>
      <c r="P54" t="s">
        <v>175</v>
      </c>
    </row>
    <row r="55" spans="2:20" x14ac:dyDescent="0.2">
      <c r="B55" s="2" t="s">
        <v>392</v>
      </c>
      <c r="E55" t="s">
        <v>84</v>
      </c>
      <c r="F55" t="s">
        <v>61</v>
      </c>
      <c r="G55" t="s">
        <v>85</v>
      </c>
      <c r="H55" s="3" t="s">
        <v>86</v>
      </c>
      <c r="I55" t="s">
        <v>87</v>
      </c>
      <c r="J55" s="11" t="s">
        <v>54</v>
      </c>
      <c r="K55" t="s">
        <v>88</v>
      </c>
      <c r="L55" t="s">
        <v>66</v>
      </c>
      <c r="M55" t="s">
        <v>89</v>
      </c>
      <c r="N55" t="s">
        <v>40</v>
      </c>
      <c r="O55" t="s">
        <v>392</v>
      </c>
      <c r="P55" t="s">
        <v>41</v>
      </c>
    </row>
    <row r="56" spans="2:20" x14ac:dyDescent="0.2">
      <c r="B56" s="2" t="s">
        <v>394</v>
      </c>
      <c r="E56" t="s">
        <v>84</v>
      </c>
      <c r="F56" t="s">
        <v>44</v>
      </c>
      <c r="G56" t="s">
        <v>85</v>
      </c>
      <c r="H56" s="3" t="s">
        <v>86</v>
      </c>
      <c r="I56" t="s">
        <v>63</v>
      </c>
      <c r="J56" s="11" t="s">
        <v>54</v>
      </c>
      <c r="K56" t="s">
        <v>88</v>
      </c>
      <c r="L56" t="s">
        <v>66</v>
      </c>
      <c r="M56" t="s">
        <v>89</v>
      </c>
      <c r="N56" t="s">
        <v>40</v>
      </c>
      <c r="O56" t="s">
        <v>394</v>
      </c>
      <c r="P56" t="s">
        <v>41</v>
      </c>
      <c r="T56" cm="1">
        <f t="array" ref="T56:T63">_xlfn.UNIQUE(表1_11[文本丨规格丨规格8])</f>
        <v>0</v>
      </c>
    </row>
    <row r="57" spans="2:20" x14ac:dyDescent="0.2">
      <c r="B57" s="2" t="s">
        <v>396</v>
      </c>
      <c r="E57" t="s">
        <v>84</v>
      </c>
      <c r="F57" t="s">
        <v>47</v>
      </c>
      <c r="G57" t="s">
        <v>85</v>
      </c>
      <c r="H57" s="3" t="s">
        <v>86</v>
      </c>
      <c r="I57" t="s">
        <v>92</v>
      </c>
      <c r="J57" s="11" t="s">
        <v>54</v>
      </c>
      <c r="K57" t="s">
        <v>88</v>
      </c>
      <c r="L57" t="s">
        <v>66</v>
      </c>
      <c r="M57" t="s">
        <v>89</v>
      </c>
      <c r="N57" t="s">
        <v>40</v>
      </c>
      <c r="O57" t="s">
        <v>396</v>
      </c>
      <c r="P57" t="s">
        <v>41</v>
      </c>
      <c r="T57" t="str">
        <v>DP2.1bx2+DP1.4ax1+HDM2.1bx1丨15</v>
      </c>
    </row>
    <row r="58" spans="2:20" x14ac:dyDescent="0.2">
      <c r="B58" s="2" t="s">
        <v>398</v>
      </c>
      <c r="E58" t="s">
        <v>84</v>
      </c>
      <c r="F58" t="s">
        <v>73</v>
      </c>
      <c r="G58" t="s">
        <v>85</v>
      </c>
      <c r="H58" s="3" t="s">
        <v>86</v>
      </c>
      <c r="I58" t="s">
        <v>94</v>
      </c>
      <c r="J58" s="11" t="s">
        <v>54</v>
      </c>
      <c r="K58" t="s">
        <v>88</v>
      </c>
      <c r="L58" t="s">
        <v>66</v>
      </c>
      <c r="M58" t="s">
        <v>95</v>
      </c>
      <c r="N58" t="s">
        <v>40</v>
      </c>
      <c r="O58" t="s">
        <v>398</v>
      </c>
      <c r="P58" t="s">
        <v>76</v>
      </c>
      <c r="T58" t="str">
        <v>DP2.1bx2+HDM2.1bx2</v>
      </c>
    </row>
    <row r="59" spans="2:20" x14ac:dyDescent="0.2">
      <c r="B59" s="2" t="s">
        <v>400</v>
      </c>
      <c r="E59" t="s">
        <v>84</v>
      </c>
      <c r="F59" t="s">
        <v>78</v>
      </c>
      <c r="G59" t="s">
        <v>85</v>
      </c>
      <c r="H59" s="3" t="s">
        <v>86</v>
      </c>
      <c r="I59" t="s">
        <v>94</v>
      </c>
      <c r="J59" s="11" t="s">
        <v>54</v>
      </c>
      <c r="K59" t="s">
        <v>88</v>
      </c>
      <c r="L59" t="s">
        <v>66</v>
      </c>
      <c r="M59" t="s">
        <v>95</v>
      </c>
      <c r="N59" t="s">
        <v>40</v>
      </c>
      <c r="O59" t="s">
        <v>400</v>
      </c>
      <c r="P59" t="s">
        <v>76</v>
      </c>
      <c r="T59" t="str">
        <v>DP2.1bx3+HDM2.1bx1</v>
      </c>
    </row>
    <row r="60" spans="2:20" x14ac:dyDescent="0.2">
      <c r="B60" s="2" t="s">
        <v>402</v>
      </c>
      <c r="E60" t="s">
        <v>84</v>
      </c>
      <c r="F60" t="s">
        <v>81</v>
      </c>
      <c r="G60" t="s">
        <v>85</v>
      </c>
      <c r="H60" s="3" t="s">
        <v>86</v>
      </c>
      <c r="I60" t="s">
        <v>98</v>
      </c>
      <c r="J60" s="11" t="s">
        <v>54</v>
      </c>
      <c r="K60" t="s">
        <v>88</v>
      </c>
      <c r="L60" t="s">
        <v>66</v>
      </c>
      <c r="M60" t="s">
        <v>99</v>
      </c>
      <c r="N60" t="s">
        <v>40</v>
      </c>
      <c r="O60" t="s">
        <v>402</v>
      </c>
      <c r="P60" t="s">
        <v>76</v>
      </c>
      <c r="T60" t="str">
        <v>DP1.4a*2+HDMI2.1a*2</v>
      </c>
    </row>
    <row r="61" spans="2:20" x14ac:dyDescent="0.2">
      <c r="T61" t="str">
        <v>DP2.1a*2+HDMI2.1b*1</v>
      </c>
    </row>
    <row r="62" spans="2:20" x14ac:dyDescent="0.2">
      <c r="B62" s="2" t="s">
        <v>404</v>
      </c>
      <c r="E62" t="s">
        <v>101</v>
      </c>
      <c r="F62" t="s">
        <v>61</v>
      </c>
      <c r="G62" t="s">
        <v>102</v>
      </c>
      <c r="H62" s="3" t="s">
        <v>103</v>
      </c>
      <c r="I62" t="s">
        <v>104</v>
      </c>
      <c r="J62" s="11" t="s">
        <v>54</v>
      </c>
      <c r="K62" t="s">
        <v>105</v>
      </c>
      <c r="L62" t="s">
        <v>106</v>
      </c>
      <c r="M62" t="s">
        <v>89</v>
      </c>
      <c r="N62" t="s">
        <v>40</v>
      </c>
      <c r="O62" t="s">
        <v>404</v>
      </c>
      <c r="P62" t="s">
        <v>41</v>
      </c>
      <c r="T62" t="str">
        <v>DP2.1a*2+HDMI2.1b*2</v>
      </c>
    </row>
    <row r="63" spans="2:20" x14ac:dyDescent="0.2">
      <c r="B63" s="2" t="s">
        <v>406</v>
      </c>
      <c r="E63" t="s">
        <v>101</v>
      </c>
      <c r="F63" t="s">
        <v>73</v>
      </c>
      <c r="G63" t="s">
        <v>102</v>
      </c>
      <c r="H63" s="3" t="s">
        <v>103</v>
      </c>
      <c r="I63" t="s">
        <v>108</v>
      </c>
      <c r="J63" s="11" t="s">
        <v>54</v>
      </c>
      <c r="K63" t="s">
        <v>105</v>
      </c>
      <c r="L63" t="s">
        <v>106</v>
      </c>
      <c r="M63" t="s">
        <v>95</v>
      </c>
      <c r="N63" t="s">
        <v>40</v>
      </c>
      <c r="O63" t="s">
        <v>406</v>
      </c>
      <c r="P63" t="s">
        <v>76</v>
      </c>
      <c r="T63" t="str">
        <v>DP1.4a * 3+HDM2.1ax1</v>
      </c>
    </row>
    <row r="64" spans="2:20" x14ac:dyDescent="0.2">
      <c r="B64" s="2" t="s">
        <v>408</v>
      </c>
      <c r="E64" t="s">
        <v>101</v>
      </c>
      <c r="F64" t="s">
        <v>78</v>
      </c>
      <c r="G64" t="s">
        <v>102</v>
      </c>
      <c r="H64" s="3" t="s">
        <v>103</v>
      </c>
      <c r="I64" t="s">
        <v>108</v>
      </c>
      <c r="J64" s="11" t="s">
        <v>54</v>
      </c>
      <c r="K64" t="s">
        <v>105</v>
      </c>
      <c r="L64" t="s">
        <v>106</v>
      </c>
      <c r="M64" t="s">
        <v>89</v>
      </c>
      <c r="N64" t="s">
        <v>40</v>
      </c>
      <c r="O64" t="s">
        <v>408</v>
      </c>
      <c r="P64" t="s">
        <v>76</v>
      </c>
    </row>
    <row r="65" spans="2:16" x14ac:dyDescent="0.2">
      <c r="B65" s="2" t="s">
        <v>410</v>
      </c>
      <c r="E65" t="s">
        <v>101</v>
      </c>
      <c r="F65" t="s">
        <v>81</v>
      </c>
      <c r="G65" t="s">
        <v>102</v>
      </c>
      <c r="H65" s="3" t="s">
        <v>103</v>
      </c>
      <c r="I65" t="s">
        <v>111</v>
      </c>
      <c r="J65" s="11" t="s">
        <v>54</v>
      </c>
      <c r="K65" t="s">
        <v>105</v>
      </c>
      <c r="L65" t="s">
        <v>106</v>
      </c>
      <c r="M65" t="s">
        <v>99</v>
      </c>
      <c r="N65" t="s">
        <v>40</v>
      </c>
      <c r="O65" t="s">
        <v>410</v>
      </c>
      <c r="P65" t="s">
        <v>76</v>
      </c>
    </row>
    <row r="66" spans="2:16" x14ac:dyDescent="0.2">
      <c r="B66" s="2" t="s">
        <v>412</v>
      </c>
      <c r="E66" t="s">
        <v>101</v>
      </c>
      <c r="F66" t="s">
        <v>113</v>
      </c>
      <c r="G66" t="s">
        <v>102</v>
      </c>
      <c r="H66" s="3" t="s">
        <v>103</v>
      </c>
      <c r="I66" t="s">
        <v>111</v>
      </c>
      <c r="J66" s="11" t="s">
        <v>54</v>
      </c>
      <c r="K66" t="s">
        <v>105</v>
      </c>
      <c r="L66" t="s">
        <v>106</v>
      </c>
      <c r="M66" t="s">
        <v>99</v>
      </c>
      <c r="N66" t="s">
        <v>40</v>
      </c>
      <c r="O66" t="s">
        <v>412</v>
      </c>
      <c r="P66" t="s">
        <v>76</v>
      </c>
    </row>
    <row r="67" spans="2:16" x14ac:dyDescent="0.2">
      <c r="B67" s="2" t="s">
        <v>414</v>
      </c>
      <c r="E67" t="s">
        <v>101</v>
      </c>
      <c r="F67" t="s">
        <v>115</v>
      </c>
      <c r="G67" t="s">
        <v>102</v>
      </c>
      <c r="H67" s="3" t="s">
        <v>103</v>
      </c>
      <c r="I67" t="s">
        <v>111</v>
      </c>
      <c r="J67" s="11" t="s">
        <v>54</v>
      </c>
      <c r="K67" t="s">
        <v>105</v>
      </c>
      <c r="L67" t="s">
        <v>106</v>
      </c>
      <c r="M67" t="s">
        <v>116</v>
      </c>
      <c r="N67" t="s">
        <v>40</v>
      </c>
      <c r="O67" t="s">
        <v>414</v>
      </c>
      <c r="P67" t="s">
        <v>76</v>
      </c>
    </row>
    <row r="70" spans="2:16" x14ac:dyDescent="0.2">
      <c r="B70" t="s">
        <v>416</v>
      </c>
      <c r="E70" t="s">
        <v>117</v>
      </c>
      <c r="F70" t="s">
        <v>61</v>
      </c>
      <c r="G70" t="s">
        <v>118</v>
      </c>
      <c r="H70" s="3" t="s">
        <v>119</v>
      </c>
      <c r="I70" t="s">
        <v>120</v>
      </c>
      <c r="J70" s="11" t="s">
        <v>121</v>
      </c>
      <c r="K70" t="s">
        <v>122</v>
      </c>
      <c r="L70" t="s">
        <v>123</v>
      </c>
      <c r="M70" t="s">
        <v>124</v>
      </c>
      <c r="N70" t="s">
        <v>40</v>
      </c>
      <c r="O70" t="s">
        <v>416</v>
      </c>
      <c r="P70" t="s">
        <v>41</v>
      </c>
    </row>
    <row r="71" spans="2:16" x14ac:dyDescent="0.2">
      <c r="B71" t="s">
        <v>418</v>
      </c>
      <c r="E71" t="s">
        <v>117</v>
      </c>
      <c r="F71" t="s">
        <v>48</v>
      </c>
      <c r="G71" t="s">
        <v>118</v>
      </c>
      <c r="H71" s="3" t="s">
        <v>119</v>
      </c>
      <c r="I71" t="s">
        <v>125</v>
      </c>
      <c r="J71" s="11" t="s">
        <v>121</v>
      </c>
      <c r="K71" t="s">
        <v>122</v>
      </c>
      <c r="L71" t="s">
        <v>123</v>
      </c>
      <c r="M71" t="s">
        <v>126</v>
      </c>
      <c r="N71" t="s">
        <v>40</v>
      </c>
      <c r="O71" t="s">
        <v>418</v>
      </c>
      <c r="P71" t="s">
        <v>76</v>
      </c>
    </row>
    <row r="72" spans="2:16" x14ac:dyDescent="0.2">
      <c r="B72" t="s">
        <v>420</v>
      </c>
      <c r="E72" t="s">
        <v>117</v>
      </c>
      <c r="F72" t="s">
        <v>81</v>
      </c>
      <c r="G72" t="s">
        <v>118</v>
      </c>
      <c r="H72" s="3" t="s">
        <v>119</v>
      </c>
      <c r="I72" t="s">
        <v>128</v>
      </c>
      <c r="J72" s="11" t="s">
        <v>121</v>
      </c>
      <c r="K72" t="s">
        <v>122</v>
      </c>
      <c r="L72" t="s">
        <v>123</v>
      </c>
      <c r="M72" t="s">
        <v>99</v>
      </c>
      <c r="N72" t="s">
        <v>40</v>
      </c>
      <c r="O72" t="s">
        <v>420</v>
      </c>
      <c r="P72" t="s">
        <v>76</v>
      </c>
    </row>
    <row r="73" spans="2:16" x14ac:dyDescent="0.2">
      <c r="B73" t="s">
        <v>422</v>
      </c>
      <c r="C73" s="12"/>
      <c r="E73" t="s">
        <v>117</v>
      </c>
      <c r="F73" t="s">
        <v>113</v>
      </c>
      <c r="G73" t="s">
        <v>118</v>
      </c>
      <c r="H73" s="3" t="s">
        <v>119</v>
      </c>
      <c r="I73" t="s">
        <v>128</v>
      </c>
      <c r="J73" s="11" t="s">
        <v>121</v>
      </c>
      <c r="K73" t="s">
        <v>122</v>
      </c>
      <c r="L73" t="s">
        <v>123</v>
      </c>
      <c r="M73" t="s">
        <v>99</v>
      </c>
      <c r="N73" t="s">
        <v>40</v>
      </c>
      <c r="O73" t="s">
        <v>422</v>
      </c>
      <c r="P73" t="s">
        <v>76</v>
      </c>
    </row>
    <row r="74" spans="2:16" x14ac:dyDescent="0.2">
      <c r="C74" s="13"/>
      <c r="E74" s="14"/>
      <c r="H74" s="14"/>
      <c r="J74" s="11"/>
    </row>
    <row r="75" spans="2:16" x14ac:dyDescent="0.2">
      <c r="B75" s="14" t="s">
        <v>442</v>
      </c>
      <c r="C75" s="13"/>
      <c r="E75" s="14" t="s">
        <v>130</v>
      </c>
      <c r="F75" t="s">
        <v>131</v>
      </c>
      <c r="G75" t="s">
        <v>470</v>
      </c>
      <c r="H75" t="s">
        <v>471</v>
      </c>
      <c r="I75" t="s">
        <v>463</v>
      </c>
      <c r="J75" s="11" t="s">
        <v>132</v>
      </c>
      <c r="K75" t="s">
        <v>133</v>
      </c>
      <c r="L75" t="s">
        <v>134</v>
      </c>
      <c r="M75" t="s">
        <v>135</v>
      </c>
      <c r="N75" t="s">
        <v>136</v>
      </c>
      <c r="O75" s="14" t="s">
        <v>443</v>
      </c>
      <c r="P75" t="s">
        <v>137</v>
      </c>
    </row>
    <row r="76" spans="2:16" x14ac:dyDescent="0.2">
      <c r="B76" s="14" t="s">
        <v>490</v>
      </c>
      <c r="C76" s="13"/>
      <c r="E76" t="s">
        <v>496</v>
      </c>
      <c r="F76" t="s">
        <v>131</v>
      </c>
      <c r="G76" t="s">
        <v>470</v>
      </c>
      <c r="H76" t="s">
        <v>471</v>
      </c>
      <c r="I76" t="s">
        <v>500</v>
      </c>
      <c r="J76" t="s">
        <v>140</v>
      </c>
      <c r="K76" t="s">
        <v>497</v>
      </c>
      <c r="L76" t="s">
        <v>499</v>
      </c>
      <c r="M76" t="s">
        <v>498</v>
      </c>
      <c r="N76" t="s">
        <v>501</v>
      </c>
      <c r="O76" s="14" t="s">
        <v>490</v>
      </c>
      <c r="P76" t="s">
        <v>137</v>
      </c>
    </row>
    <row r="77" spans="2:16" x14ac:dyDescent="0.2">
      <c r="B77" s="14" t="s">
        <v>492</v>
      </c>
      <c r="C77" s="13"/>
      <c r="E77" t="s">
        <v>495</v>
      </c>
      <c r="F77" t="s">
        <v>131</v>
      </c>
      <c r="G77" t="s">
        <v>470</v>
      </c>
      <c r="H77" t="s">
        <v>471</v>
      </c>
      <c r="I77" t="s">
        <v>500</v>
      </c>
      <c r="J77" t="s">
        <v>140</v>
      </c>
      <c r="K77" t="s">
        <v>497</v>
      </c>
      <c r="L77" t="s">
        <v>499</v>
      </c>
      <c r="M77" t="s">
        <v>498</v>
      </c>
      <c r="N77" t="s">
        <v>501</v>
      </c>
      <c r="O77" s="14" t="s">
        <v>492</v>
      </c>
      <c r="P77" t="s">
        <v>137</v>
      </c>
    </row>
    <row r="78" spans="2:16" x14ac:dyDescent="0.2">
      <c r="B78" s="15" t="s">
        <v>440</v>
      </c>
      <c r="C78" s="13"/>
      <c r="E78" t="s">
        <v>138</v>
      </c>
      <c r="F78" t="s">
        <v>131</v>
      </c>
      <c r="G78" t="s">
        <v>472</v>
      </c>
      <c r="H78" s="11" t="s">
        <v>473</v>
      </c>
      <c r="I78" t="s">
        <v>139</v>
      </c>
      <c r="J78" t="s">
        <v>140</v>
      </c>
      <c r="K78" t="s">
        <v>141</v>
      </c>
      <c r="L78" t="s">
        <v>142</v>
      </c>
      <c r="M78" t="s">
        <v>143</v>
      </c>
      <c r="N78" t="s">
        <v>144</v>
      </c>
      <c r="O78" s="2" t="s">
        <v>441</v>
      </c>
      <c r="P78" t="s">
        <v>137</v>
      </c>
    </row>
    <row r="79" spans="2:16" x14ac:dyDescent="0.2">
      <c r="B79" s="2" t="s">
        <v>438</v>
      </c>
      <c r="E79" t="s">
        <v>145</v>
      </c>
      <c r="F79" t="s">
        <v>131</v>
      </c>
      <c r="G79" s="11" t="s">
        <v>476</v>
      </c>
      <c r="H79" s="11" t="s">
        <v>474</v>
      </c>
      <c r="I79" t="s">
        <v>146</v>
      </c>
      <c r="J79" t="s">
        <v>140</v>
      </c>
      <c r="K79" t="s">
        <v>147</v>
      </c>
      <c r="L79" t="s">
        <v>142</v>
      </c>
      <c r="M79" t="s">
        <v>143</v>
      </c>
      <c r="N79" t="s">
        <v>144</v>
      </c>
      <c r="O79" s="2" t="s">
        <v>439</v>
      </c>
      <c r="P79" t="s">
        <v>137</v>
      </c>
    </row>
    <row r="80" spans="2:16" x14ac:dyDescent="0.2">
      <c r="B80" s="2" t="s">
        <v>436</v>
      </c>
      <c r="E80" t="s">
        <v>148</v>
      </c>
      <c r="F80" t="s">
        <v>131</v>
      </c>
      <c r="G80" s="11" t="s">
        <v>477</v>
      </c>
      <c r="H80" s="11" t="s">
        <v>475</v>
      </c>
      <c r="I80" t="s">
        <v>149</v>
      </c>
      <c r="J80" s="11" t="s">
        <v>140</v>
      </c>
      <c r="K80" t="s">
        <v>147</v>
      </c>
      <c r="L80" t="s">
        <v>150</v>
      </c>
      <c r="M80" t="s">
        <v>151</v>
      </c>
      <c r="N80" t="s">
        <v>144</v>
      </c>
      <c r="O80" s="2" t="s">
        <v>437</v>
      </c>
      <c r="P80" t="s">
        <v>137</v>
      </c>
    </row>
    <row r="81" spans="2:16" x14ac:dyDescent="0.2">
      <c r="B81" s="2" t="s">
        <v>434</v>
      </c>
      <c r="E81" t="s">
        <v>148</v>
      </c>
      <c r="F81" t="s">
        <v>152</v>
      </c>
      <c r="G81" s="11" t="s">
        <v>477</v>
      </c>
      <c r="H81" s="11" t="s">
        <v>475</v>
      </c>
      <c r="I81" t="s">
        <v>153</v>
      </c>
      <c r="J81" s="11" t="s">
        <v>140</v>
      </c>
      <c r="K81" t="s">
        <v>147</v>
      </c>
      <c r="L81" t="s">
        <v>150</v>
      </c>
      <c r="M81" t="s">
        <v>154</v>
      </c>
      <c r="N81" t="s">
        <v>144</v>
      </c>
      <c r="O81" s="2" t="s">
        <v>435</v>
      </c>
      <c r="P81" t="s">
        <v>155</v>
      </c>
    </row>
    <row r="82" spans="2:16" x14ac:dyDescent="0.2">
      <c r="J82" s="11"/>
    </row>
    <row r="83" spans="2:16" x14ac:dyDescent="0.2">
      <c r="J83" s="11"/>
    </row>
    <row r="84" spans="2:16" x14ac:dyDescent="0.2">
      <c r="J84" s="11"/>
    </row>
    <row r="85" spans="2:16" x14ac:dyDescent="0.2">
      <c r="B85" s="2" t="s">
        <v>156</v>
      </c>
      <c r="E85" t="s">
        <v>157</v>
      </c>
      <c r="F85" t="s">
        <v>61</v>
      </c>
      <c r="G85" t="s">
        <v>158</v>
      </c>
      <c r="H85" s="16" t="s">
        <v>159</v>
      </c>
      <c r="I85" t="s">
        <v>160</v>
      </c>
      <c r="J85" s="11" t="s">
        <v>161</v>
      </c>
      <c r="K85" t="s">
        <v>162</v>
      </c>
      <c r="L85" t="s">
        <v>163</v>
      </c>
      <c r="M85" t="s">
        <v>164</v>
      </c>
      <c r="N85" t="s">
        <v>165</v>
      </c>
      <c r="O85" t="s">
        <v>156</v>
      </c>
      <c r="P85" t="s">
        <v>41</v>
      </c>
    </row>
    <row r="86" spans="2:16" x14ac:dyDescent="0.2">
      <c r="B86" s="2" t="s">
        <v>166</v>
      </c>
      <c r="E86" t="s">
        <v>167</v>
      </c>
      <c r="F86" t="s">
        <v>61</v>
      </c>
      <c r="G86" t="s">
        <v>168</v>
      </c>
      <c r="H86" s="16" t="s">
        <v>169</v>
      </c>
      <c r="I86" t="s">
        <v>170</v>
      </c>
      <c r="J86" s="11" t="s">
        <v>171</v>
      </c>
      <c r="K86" t="s">
        <v>162</v>
      </c>
      <c r="L86" t="s">
        <v>172</v>
      </c>
      <c r="M86" t="s">
        <v>164</v>
      </c>
      <c r="N86" t="s">
        <v>165</v>
      </c>
      <c r="O86" t="s">
        <v>166</v>
      </c>
      <c r="P86" t="s">
        <v>41</v>
      </c>
    </row>
    <row r="87" spans="2:16" x14ac:dyDescent="0.2">
      <c r="J87" s="11"/>
    </row>
    <row r="88" spans="2:16" x14ac:dyDescent="0.2">
      <c r="J88" s="11"/>
    </row>
    <row r="89" spans="2:16" x14ac:dyDescent="0.2">
      <c r="J89" s="11"/>
    </row>
    <row r="90" spans="2:16" x14ac:dyDescent="0.2">
      <c r="J90" s="11"/>
    </row>
    <row r="91" spans="2:16" x14ac:dyDescent="0.2">
      <c r="B91"/>
      <c r="J91" s="11"/>
      <c r="K91" s="11"/>
    </row>
    <row r="92" spans="2:16" x14ac:dyDescent="0.2">
      <c r="L92" s="11"/>
    </row>
    <row r="95" spans="2:16" x14ac:dyDescent="0.2">
      <c r="J95" s="11"/>
    </row>
    <row r="96" spans="2:16" x14ac:dyDescent="0.2">
      <c r="J96" s="11"/>
    </row>
    <row r="97" spans="10:10" x14ac:dyDescent="0.2">
      <c r="J97" s="11"/>
    </row>
    <row r="99" spans="10:10" x14ac:dyDescent="0.2">
      <c r="J99" s="11"/>
    </row>
    <row r="100" spans="10:10" x14ac:dyDescent="0.2">
      <c r="J100" s="11"/>
    </row>
    <row r="102" spans="10:10" x14ac:dyDescent="0.2">
      <c r="J102" s="11"/>
    </row>
    <row r="103" spans="10:10" x14ac:dyDescent="0.2">
      <c r="J103" s="11"/>
    </row>
    <row r="104" spans="10:10" x14ac:dyDescent="0.2">
      <c r="J104" s="11"/>
    </row>
    <row r="105" spans="10:10" x14ac:dyDescent="0.2">
      <c r="J105" s="11"/>
    </row>
    <row r="106" spans="10:10" x14ac:dyDescent="0.2">
      <c r="J106" s="11"/>
    </row>
    <row r="107" spans="10:10" x14ac:dyDescent="0.2">
      <c r="J107" s="11"/>
    </row>
    <row r="108" spans="10:10" x14ac:dyDescent="0.2">
      <c r="J108" s="11"/>
    </row>
    <row r="109" spans="10:10" x14ac:dyDescent="0.2">
      <c r="J109" s="11"/>
    </row>
    <row r="110" spans="10:10" x14ac:dyDescent="0.2">
      <c r="J110" s="11"/>
    </row>
    <row r="112" spans="10:10" x14ac:dyDescent="0.2">
      <c r="J112" s="11"/>
    </row>
    <row r="113" spans="2:14" x14ac:dyDescent="0.2">
      <c r="J113" s="11"/>
    </row>
    <row r="117" spans="2:14" x14ac:dyDescent="0.2">
      <c r="B117"/>
      <c r="L117" s="11"/>
    </row>
    <row r="118" spans="2:14" x14ac:dyDescent="0.2">
      <c r="L118" s="11"/>
    </row>
    <row r="119" spans="2:14" x14ac:dyDescent="0.2">
      <c r="B119"/>
    </row>
    <row r="120" spans="2:14" x14ac:dyDescent="0.2">
      <c r="B120" s="14"/>
      <c r="E120" s="14"/>
      <c r="H120" s="14"/>
      <c r="J120" s="11"/>
      <c r="N120" s="14"/>
    </row>
    <row r="121" spans="2:14" x14ac:dyDescent="0.2">
      <c r="B121"/>
      <c r="J121" s="11"/>
    </row>
    <row r="122" spans="2:14" x14ac:dyDescent="0.2">
      <c r="B122"/>
      <c r="J122" s="11"/>
    </row>
    <row r="127" spans="2:14" x14ac:dyDescent="0.2">
      <c r="C127" s="2"/>
      <c r="J127" s="11"/>
    </row>
    <row r="128" spans="2:14" x14ac:dyDescent="0.2">
      <c r="C128" s="2"/>
      <c r="J128" s="11"/>
    </row>
    <row r="129" spans="2:10" x14ac:dyDescent="0.2">
      <c r="C129" s="2"/>
      <c r="J129" s="11"/>
    </row>
    <row r="130" spans="2:10" x14ac:dyDescent="0.2">
      <c r="C130" s="2"/>
      <c r="J130" s="11"/>
    </row>
    <row r="131" spans="2:10" x14ac:dyDescent="0.2">
      <c r="C131" s="2"/>
      <c r="J131" s="11"/>
    </row>
    <row r="132" spans="2:10" x14ac:dyDescent="0.2">
      <c r="B132"/>
      <c r="J132" s="11"/>
    </row>
    <row r="135" spans="2:10" x14ac:dyDescent="0.2">
      <c r="C135" s="2"/>
      <c r="J135" s="11"/>
    </row>
    <row r="136" spans="2:10" x14ac:dyDescent="0.2">
      <c r="C136" s="2"/>
      <c r="J136" s="11"/>
    </row>
    <row r="137" spans="2:10" x14ac:dyDescent="0.2">
      <c r="C137" s="2"/>
      <c r="J137" s="11"/>
    </row>
    <row r="138" spans="2:10" x14ac:dyDescent="0.2">
      <c r="C138" s="2"/>
      <c r="J138" s="11"/>
    </row>
    <row r="139" spans="2:10" x14ac:dyDescent="0.2">
      <c r="C139" s="2"/>
      <c r="J139" s="11"/>
    </row>
    <row r="140" spans="2:10" x14ac:dyDescent="0.2">
      <c r="C140" s="2"/>
      <c r="J140" s="11"/>
    </row>
    <row r="141" spans="2:10" x14ac:dyDescent="0.2">
      <c r="C141" s="2"/>
      <c r="J141" s="11"/>
    </row>
    <row r="142" spans="2:10" x14ac:dyDescent="0.2">
      <c r="C142" s="2"/>
      <c r="J142" s="11"/>
    </row>
    <row r="145" spans="10:10" x14ac:dyDescent="0.2">
      <c r="J145" s="11"/>
    </row>
  </sheetData>
  <phoneticPr fontId="6" type="noConversion"/>
  <conditionalFormatting sqref="B11:B151">
    <cfRule type="containsText" dxfId="1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109"/>
  <sheetViews>
    <sheetView tabSelected="1" zoomScale="85" zoomScaleNormal="85" workbookViewId="0">
      <pane xSplit="1" ySplit="10" topLeftCell="B64" activePane="bottomRight" state="frozen"/>
      <selection pane="topRight" activeCell="B1" sqref="B1"/>
      <selection pane="bottomLeft" activeCell="A11" sqref="A11"/>
      <selection pane="bottomRight" activeCell="B66" sqref="B66"/>
    </sheetView>
  </sheetViews>
  <sheetFormatPr defaultRowHeight="14.25" outlineLevelCol="1" x14ac:dyDescent="0.2"/>
  <cols>
    <col min="1" max="1" width="11" bestFit="1" customWidth="1"/>
    <col min="2" max="2" width="22.5" style="22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188</v>
      </c>
      <c r="B1" s="22" t="s">
        <v>288</v>
      </c>
    </row>
    <row r="2" spans="1:17" x14ac:dyDescent="0.2">
      <c r="A2" t="s">
        <v>1</v>
      </c>
      <c r="B2" s="22" t="s">
        <v>692</v>
      </c>
    </row>
    <row r="3" spans="1:17" x14ac:dyDescent="0.2">
      <c r="A3" t="s">
        <v>2</v>
      </c>
      <c r="B3" s="22" t="s">
        <v>189</v>
      </c>
    </row>
    <row r="4" spans="1:17" x14ac:dyDescent="0.2">
      <c r="A4" t="s">
        <v>3</v>
      </c>
      <c r="B4" s="22" t="s">
        <v>4</v>
      </c>
    </row>
    <row r="5" spans="1:17" x14ac:dyDescent="0.2">
      <c r="A5" t="s">
        <v>5</v>
      </c>
      <c r="B5" s="23" t="s">
        <v>190</v>
      </c>
    </row>
    <row r="6" spans="1:17" ht="15" thickBot="1" x14ac:dyDescent="0.25"/>
    <row r="7" spans="1:17" ht="19.5" customHeight="1" thickTop="1" x14ac:dyDescent="0.2">
      <c r="F7" s="29" t="s">
        <v>191</v>
      </c>
      <c r="G7" s="30"/>
      <c r="H7" s="31"/>
      <c r="I7" s="41" t="s">
        <v>192</v>
      </c>
      <c r="J7" s="42"/>
      <c r="K7" s="42"/>
      <c r="L7" s="43"/>
      <c r="M7" s="35" t="s">
        <v>193</v>
      </c>
      <c r="N7" s="36"/>
      <c r="O7" s="39" t="s">
        <v>194</v>
      </c>
      <c r="P7" s="39" t="s">
        <v>279</v>
      </c>
      <c r="Q7" s="39" t="s">
        <v>205</v>
      </c>
    </row>
    <row r="8" spans="1:17" ht="19.5" customHeight="1" thickBot="1" x14ac:dyDescent="0.25">
      <c r="F8" s="32"/>
      <c r="G8" s="33"/>
      <c r="H8" s="34"/>
      <c r="I8" s="41"/>
      <c r="J8" s="42"/>
      <c r="K8" s="42"/>
      <c r="L8" s="43"/>
      <c r="M8" s="37"/>
      <c r="N8" s="38"/>
      <c r="O8" s="40"/>
      <c r="P8" s="40"/>
      <c r="Q8" s="40"/>
    </row>
    <row r="9" spans="1:17" ht="15.75" thickTop="1" thickBot="1" x14ac:dyDescent="0.25"/>
    <row r="10" spans="1:17" ht="61.5" customHeight="1" thickTop="1" thickBot="1" x14ac:dyDescent="0.25">
      <c r="B10" s="21" t="s">
        <v>16</v>
      </c>
      <c r="C10" s="17" t="s">
        <v>263</v>
      </c>
      <c r="D10" s="17" t="s">
        <v>264</v>
      </c>
      <c r="E10" s="17" t="s">
        <v>194</v>
      </c>
      <c r="F10" s="18" t="s">
        <v>18</v>
      </c>
      <c r="G10" s="19" t="s">
        <v>195</v>
      </c>
      <c r="H10" s="19" t="s">
        <v>196</v>
      </c>
      <c r="I10" s="19" t="s">
        <v>197</v>
      </c>
      <c r="J10" s="19" t="s">
        <v>198</v>
      </c>
      <c r="K10" s="19" t="s">
        <v>199</v>
      </c>
      <c r="L10" s="19" t="s">
        <v>289</v>
      </c>
      <c r="M10" s="10" t="s">
        <v>200</v>
      </c>
      <c r="N10" s="10" t="s">
        <v>201</v>
      </c>
      <c r="O10" s="10" t="s">
        <v>202</v>
      </c>
      <c r="P10" s="10" t="s">
        <v>30</v>
      </c>
      <c r="Q10" s="10" t="s">
        <v>280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" t="str" cm="1">
        <f t="array" ref="Q11">_xlfn.IFS(表1_53[[#This Row],[配件1]]="","",表1_53[[#This Row],[文本丨算力丨算力值]]=0,"",表1_53[[#This Row],[文本丨算力丨算力值]]&lt;&gt;"","算力")</f>
        <v/>
      </c>
    </row>
    <row r="12" spans="1:17" x14ac:dyDescent="0.2">
      <c r="B12" s="22" t="s">
        <v>522</v>
      </c>
      <c r="C12" t="s">
        <v>522</v>
      </c>
      <c r="D12" t="s">
        <v>486</v>
      </c>
      <c r="F12" t="str">
        <f>IF(表1_53[[#This Row],[配件1]]&lt;&gt;"",_xlfn.XLOOKUP(表1_53[[#This Row],[配件1]],显卡利益点对照表[型号],显卡利益点对照表[标题1],"ERROR"),"")</f>
        <v>RTX5050</v>
      </c>
      <c r="G12" t="str">
        <f>IF(表1_53[[#This Row],[配件1]]&lt;&gt;"",_xlfn.XLOOKUP(表1_53[[#This Row],[配件1]],显卡利益点对照表[型号],显卡利益点对照表[标题2],"ERROR"),"")</f>
        <v>半高 8G</v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12" t="str">
        <f>IF(表1_53[[#This Row],[配件1]]&lt;&gt;"",_xlfn.XLOOKUP(表1_53[[#This Row],[配件1]],显卡利益点对照表[型号],显卡利益点对照表[利益点1],"ERROR"),"")</f>
        <v>石墨烯润滑油</v>
      </c>
      <c r="J12" t="str">
        <f>IF(表1_53[[#This Row],[配件1]]&lt;&gt;"",_xlfn.XLOOKUP(表1_53[[#This Row],[配件1]],显卡利益点对照表[型号],显卡利益点对照表[利益点2],"ERROR"),"")</f>
        <v>精巧半高卡设计丨25</v>
      </c>
      <c r="K12" t="str">
        <f>IF(表1_53[[#This Row],[配件1]]&lt;&gt;"",_xlfn.XLOOKUP(表1_53[[#This Row],[配件1]],显卡利益点对照表[型号],显卡利益点对照表[利益点3],"ERROR"),"")</f>
        <v>仿生降噪风扇</v>
      </c>
      <c r="L12" t="str">
        <f>IF(表1_53[[#This Row],[配件1]]&lt;&gt;"",_xlfn.XLOOKUP(表1_53[[#This Row],[配件1]],显卡利益点对照表[型号],显卡利益点对照表[算力],"ERROR"),"")</f>
        <v>AI算力421 TOPS</v>
      </c>
      <c r="M12" t="str">
        <f>IF(表1_53[[#This Row],[配件1]]&lt;&gt;"",_xlfn.XLOOKUP(表1_53[[#This Row],[配件1]],显卡利益点对照表[型号],显卡利益点对照表[可显性],"ERROR"),"")</f>
        <v>GV-N5050OC-8GL</v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" t="str" cm="1">
        <f t="array" ref="Q12">_xlfn.IFS(表1_53[[#This Row],[配件1]]="","",表1_53[[#This Row],[文本丨算力丨算力值]]=0,"",表1_53[[#This Row],[文本丨算力丨算力值]]&lt;&gt;"","算力")</f>
        <v>算力</v>
      </c>
    </row>
    <row r="13" spans="1:17" x14ac:dyDescent="0.2">
      <c r="B13" s="22" t="s">
        <v>525</v>
      </c>
      <c r="C13" t="s">
        <v>522</v>
      </c>
      <c r="D13" t="s">
        <v>487</v>
      </c>
      <c r="F13" t="str">
        <f>IF(表1_53[[#This Row],[配件1]]&lt;&gt;"",_xlfn.XLOOKUP(表1_53[[#This Row],[配件1]],显卡利益点对照表[型号],显卡利益点对照表[标题1],"ERROR"),"")</f>
        <v>RTX5050</v>
      </c>
      <c r="G13" t="str">
        <f>IF(表1_53[[#This Row],[配件1]]&lt;&gt;"",_xlfn.XLOOKUP(表1_53[[#This Row],[配件1]],显卡利益点对照表[型号],显卡利益点对照表[标题2],"ERROR"),"")</f>
        <v>半高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3" t="str">
        <f>IF(表1_53[[#This Row],[配件1]]&lt;&gt;"",_xlfn.XLOOKUP(表1_53[[#This Row],[配件1]],显卡利益点对照表[型号],显卡利益点对照表[利益点1],"ERROR"),"")</f>
        <v>石墨烯润滑油</v>
      </c>
      <c r="J13" t="str">
        <f>IF(表1_53[[#This Row],[配件1]]&lt;&gt;"",_xlfn.XLOOKUP(表1_53[[#This Row],[配件1]],显卡利益点对照表[型号],显卡利益点对照表[利益点2],"ERROR"),"")</f>
        <v>精巧半高卡设计丨25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AI算力421 TOPS</v>
      </c>
      <c r="M13" t="str">
        <f>IF(表1_53[[#This Row],[配件1]]&lt;&gt;"",_xlfn.XLOOKUP(表1_53[[#This Row],[配件1]],显卡利益点对照表[型号],显卡利益点对照表[可显性],"ERROR"),"")</f>
        <v>GV-N5050OC-8GL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3" t="str" cm="1">
        <f t="array" ref="Q13">_xlfn.IFS(表1_53[[#This Row],[配件1]]="","",表1_53[[#This Row],[文本丨算力丨算力值]]=0,"",表1_53[[#This Row],[文本丨算力丨算力值]]&lt;&gt;"","算力")</f>
        <v>算力</v>
      </c>
    </row>
    <row r="14" spans="1:17" x14ac:dyDescent="0.2">
      <c r="B14" s="22" t="s">
        <v>523</v>
      </c>
      <c r="C14" t="s">
        <v>523</v>
      </c>
      <c r="D14" t="s">
        <v>486</v>
      </c>
      <c r="F14" t="str">
        <f>IF(表1_53[[#This Row],[配件1]]&lt;&gt;"",_xlfn.XLOOKUP(表1_53[[#This Row],[配件1]],显卡利益点对照表[型号],显卡利益点对照表[标题1],"ERROR"),"")</f>
        <v>RTX5050</v>
      </c>
      <c r="G14" t="str">
        <f>IF(表1_53[[#This Row],[配件1]]&lt;&gt;"",_xlfn.XLOOKUP(表1_53[[#This Row],[配件1]],显卡利益点对照表[型号],显卡利益点对照表[标题2],"ERROR"),"")</f>
        <v>风魔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 OC</v>
      </c>
      <c r="I14" t="str">
        <f>IF(表1_53[[#This Row],[配件1]]&lt;&gt;"",_xlfn.XLOOKUP(表1_53[[#This Row],[配件1]],显卡利益点对照表[型号],显卡利益点对照表[利益点1],"ERROR"),"")</f>
        <v>石墨烯润滑油</v>
      </c>
      <c r="J14" t="str">
        <f>IF(表1_53[[#This Row],[配件1]]&lt;&gt;"",_xlfn.XLOOKUP(表1_53[[#This Row],[配件1]],显卡利益点对照表[型号],显卡利益点对照表[利益点2],"ERROR"),"")</f>
        <v>精巧双风扇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AI算力421 TOPS</v>
      </c>
      <c r="M14" t="str">
        <f>IF(表1_53[[#This Row],[配件1]]&lt;&gt;"",_xlfn.XLOOKUP(表1_53[[#This Row],[配件1]],显卡利益点对照表[型号],显卡利益点对照表[可显性],"ERROR"),"")</f>
        <v>GV-N5050WF2OC-8GD</v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4" t="str" cm="1">
        <f t="array" ref="Q14">_xlfn.IFS(表1_53[[#This Row],[配件1]]="","",表1_53[[#This Row],[文本丨算力丨算力值]]=0,"",表1_53[[#This Row],[文本丨算力丨算力值]]&lt;&gt;"","算力")</f>
        <v>算力</v>
      </c>
    </row>
    <row r="15" spans="1:17" x14ac:dyDescent="0.2">
      <c r="B15" s="22" t="s">
        <v>526</v>
      </c>
      <c r="C15" t="s">
        <v>523</v>
      </c>
      <c r="D15" t="s">
        <v>487</v>
      </c>
      <c r="F15" t="str">
        <f>IF(表1_53[[#This Row],[配件1]]&lt;&gt;"",_xlfn.XLOOKUP(表1_53[[#This Row],[配件1]],显卡利益点对照表[型号],显卡利益点对照表[标题1],"ERROR"),"")</f>
        <v>RTX5050</v>
      </c>
      <c r="G15" t="str">
        <f>IF(表1_53[[#This Row],[配件1]]&lt;&gt;"",_xlfn.XLOOKUP(表1_53[[#This Row],[配件1]],显卡利益点对照表[型号],显卡利益点对照表[标题2],"ERROR"),"")</f>
        <v>风魔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5" t="str">
        <f>IF(表1_53[[#This Row],[配件1]]&lt;&gt;"",_xlfn.XLOOKUP(表1_53[[#This Row],[配件1]],显卡利益点对照表[型号],显卡利益点对照表[利益点1],"ERROR"),"")</f>
        <v>石墨烯润滑油</v>
      </c>
      <c r="J15" t="str">
        <f>IF(表1_53[[#This Row],[配件1]]&lt;&gt;"",_xlfn.XLOOKUP(表1_53[[#This Row],[配件1]],显卡利益点对照表[型号],显卡利益点对照表[利益点2],"ERROR"),"")</f>
        <v>精巧双风扇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AI算力421 TOPS</v>
      </c>
      <c r="M15" t="str">
        <f>IF(表1_53[[#This Row],[配件1]]&lt;&gt;"",_xlfn.XLOOKUP(表1_53[[#This Row],[配件1]],显卡利益点对照表[型号],显卡利益点对照表[可显性],"ERROR"),"")</f>
        <v>GV-N5050WF2OC-8GD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5" t="str" cm="1">
        <f t="array" ref="Q15">_xlfn.IFS(表1_53[[#This Row],[配件1]]="","",表1_53[[#This Row],[文本丨算力丨算力值]]=0,"",表1_53[[#This Row],[文本丨算力丨算力值]]&lt;&gt;"","算力")</f>
        <v>算力</v>
      </c>
    </row>
    <row r="16" spans="1:17" x14ac:dyDescent="0.2">
      <c r="B16" s="22" t="s">
        <v>527</v>
      </c>
      <c r="C16" t="s">
        <v>524</v>
      </c>
      <c r="D16" t="s">
        <v>486</v>
      </c>
      <c r="F16" t="str">
        <f>IF(表1_53[[#This Row],[配件1]]&lt;&gt;"",_xlfn.XLOOKUP(表1_53[[#This Row],[配件1]],显卡利益点对照表[型号],显卡利益点对照表[标题1],"ERROR"),"")</f>
        <v>RTX5050</v>
      </c>
      <c r="G16" t="str">
        <f>IF(表1_53[[#This Row],[配件1]]&lt;&gt;"",_xlfn.XLOOKUP(表1_53[[#This Row],[配件1]],显卡利益点对照表[型号],显卡利益点对照表[标题2],"ERROR"),"")</f>
        <v>魔鹰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16" t="str">
        <f>IF(表1_53[[#This Row],[配件1]]&lt;&gt;"",_xlfn.XLOOKUP(表1_53[[#This Row],[配件1]],显卡利益点对照表[型号],显卡利益点对照表[利益点1],"ERROR"),"")</f>
        <v>石墨烯润滑油</v>
      </c>
      <c r="J16" t="str">
        <f>IF(表1_53[[#This Row],[配件1]]&lt;&gt;"",_xlfn.XLOOKUP(表1_53[[#This Row],[配件1]],显卡利益点对照表[型号],显卡利益点对照表[利益点2],"ERROR"),"")</f>
        <v>3D智能启停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AI算力421 TOPS</v>
      </c>
      <c r="M16" t="str">
        <f>IF(表1_53[[#This Row],[配件1]]&lt;&gt;"",_xlfn.XLOOKUP(表1_53[[#This Row],[配件1]],显卡利益点对照表[型号],显卡利益点对照表[可显性],"ERROR"),"")</f>
        <v>GV-N5050GAMING OC-8GD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6" t="str" cm="1">
        <f t="array" ref="Q16">_xlfn.IFS(表1_53[[#This Row],[配件1]]="","",表1_53[[#This Row],[文本丨算力丨算力值]]=0,"",表1_53[[#This Row],[文本丨算力丨算力值]]&lt;&gt;"","算力")</f>
        <v>算力</v>
      </c>
    </row>
    <row r="17" spans="2:17" x14ac:dyDescent="0.2">
      <c r="B17" s="22" t="s">
        <v>528</v>
      </c>
      <c r="C17" t="s">
        <v>524</v>
      </c>
      <c r="D17" t="s">
        <v>487</v>
      </c>
      <c r="F17" t="str">
        <f>IF(表1_53[[#This Row],[配件1]]&lt;&gt;"",_xlfn.XLOOKUP(表1_53[[#This Row],[配件1]],显卡利益点对照表[型号],显卡利益点对照表[标题1],"ERROR"),"")</f>
        <v>RTX5050</v>
      </c>
      <c r="G17" t="str">
        <f>IF(表1_53[[#This Row],[配件1]]&lt;&gt;"",_xlfn.XLOOKUP(表1_53[[#This Row],[配件1]],显卡利益点对照表[型号],显卡利益点对照表[标题2],"ERROR"),"")</f>
        <v>魔鹰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7" t="str">
        <f>IF(表1_53[[#This Row],[配件1]]&lt;&gt;"",_xlfn.XLOOKUP(表1_53[[#This Row],[配件1]],显卡利益点对照表[型号],显卡利益点对照表[利益点1],"ERROR"),"")</f>
        <v>石墨烯润滑油</v>
      </c>
      <c r="J17" t="str">
        <f>IF(表1_53[[#This Row],[配件1]]&lt;&gt;"",_xlfn.XLOOKUP(表1_53[[#This Row],[配件1]],显卡利益点对照表[型号],显卡利益点对照表[利益点2],"ERROR"),"")</f>
        <v>3D智能启停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AI算力421 TOPS</v>
      </c>
      <c r="M17" t="str">
        <f>IF(表1_53[[#This Row],[配件1]]&lt;&gt;"",_xlfn.XLOOKUP(表1_53[[#This Row],[配件1]],显卡利益点对照表[型号],显卡利益点对照表[可显性],"ERROR"),"")</f>
        <v>GV-N5050GAMING OC-8GD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7" t="str" cm="1">
        <f t="array" ref="Q17">_xlfn.IFS(表1_53[[#This Row],[配件1]]="","",表1_53[[#This Row],[文本丨算力丨算力值]]=0,"",表1_53[[#This Row],[文本丨算力丨算力值]]&lt;&gt;"","算力")</f>
        <v>算力</v>
      </c>
    </row>
    <row r="18" spans="2:17" x14ac:dyDescent="0.2">
      <c r="F18" t="str">
        <f>IF(表1_53[[#This Row],[配件1]]&lt;&gt;"",_xlfn.XLOOKUP(表1_53[[#This Row],[配件1]],显卡利益点对照表[型号],显卡利益点对照表[标题1],"ERROR"),"")</f>
        <v/>
      </c>
      <c r="G18" t="str">
        <f>IF(表1_53[[#This Row],[配件1]]&lt;&gt;"",_xlfn.XLOOKUP(表1_53[[#This Row],[配件1]],显卡利益点对照表[型号],显卡利益点对照表[标题2],"ERROR"),"")</f>
        <v/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8" t="str">
        <f>IF(表1_53[[#This Row],[配件1]]&lt;&gt;"",_xlfn.XLOOKUP(表1_53[[#This Row],[配件1]],显卡利益点对照表[型号],显卡利益点对照表[利益点1],"ERROR"),"")</f>
        <v/>
      </c>
      <c r="J18" t="str">
        <f>IF(表1_53[[#This Row],[配件1]]&lt;&gt;"",_xlfn.XLOOKUP(表1_53[[#This Row],[配件1]],显卡利益点对照表[型号],显卡利益点对照表[利益点2],"ERROR"),"")</f>
        <v/>
      </c>
      <c r="K18" t="str">
        <f>IF(表1_53[[#This Row],[配件1]]&lt;&gt;"",_xlfn.XLOOKUP(表1_53[[#This Row],[配件1]],显卡利益点对照表[型号],显卡利益点对照表[利益点3],"ERROR"),"")</f>
        <v/>
      </c>
      <c r="L18" t="str">
        <f>IF(表1_53[[#This Row],[配件1]]&lt;&gt;"",_xlfn.XLOOKUP(表1_53[[#This Row],[配件1]],显卡利益点对照表[型号],显卡利益点对照表[算力],"ERROR"),"")</f>
        <v/>
      </c>
      <c r="M18" t="str">
        <f>IF(表1_53[[#This Row],[配件1]]&lt;&gt;"",_xlfn.XLOOKUP(表1_53[[#This Row],[配件1]],显卡利益点对照表[型号],显卡利益点对照表[可显性],"ERROR"),"")</f>
        <v/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8" t="str" cm="1">
        <f t="array" ref="Q18">_xlfn.IFS(表1_53[[#This Row],[配件1]]="","",表1_53[[#This Row],[文本丨算力丨算力值]]=0,"",表1_53[[#This Row],[文本丨算力丨算力值]]&lt;&gt;"","算力")</f>
        <v/>
      </c>
    </row>
    <row r="19" spans="2:17" x14ac:dyDescent="0.2">
      <c r="B19" s="22">
        <v>10079004855423</v>
      </c>
      <c r="C19" t="s">
        <v>478</v>
      </c>
      <c r="D19" t="s">
        <v>486</v>
      </c>
      <c r="F19" t="str">
        <f>IF(表1_53[[#This Row],[配件1]]&lt;&gt;"",_xlfn.XLOOKUP(表1_53[[#This Row],[配件1]],显卡利益点对照表[型号],显卡利益点对照表[标题1],"ERROR"),"")</f>
        <v>RTX5060</v>
      </c>
      <c r="G19" t="str">
        <f>IF(表1_53[[#This Row],[配件1]]&lt;&gt;"",_xlfn.XLOOKUP(表1_53[[#This Row],[配件1]],显卡利益点对照表[型号],显卡利益点对照表[标题2],"ERROR"),"")</f>
        <v>半高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19" t="str">
        <f>IF(表1_53[[#This Row],[配件1]]&lt;&gt;"",_xlfn.XLOOKUP(表1_53[[#This Row],[配件1]],显卡利益点对照表[型号],显卡利益点对照表[利益点1],"ERROR"),"")</f>
        <v>铜板+复合式热管</v>
      </c>
      <c r="J19" t="str">
        <f>IF(表1_53[[#This Row],[配件1]]&lt;&gt;"",_xlfn.XLOOKUP(表1_53[[#This Row],[配件1]],显卡利益点对照表[型号],显卡利益点对照表[利益点2],"ERROR"),"")</f>
        <v>182mm半高卡设计丨25</v>
      </c>
      <c r="K19" t="str">
        <f>IF(表1_53[[#This Row],[配件1]]&lt;&gt;"",_xlfn.XLOOKUP(表1_53[[#This Row],[配件1]],显卡利益点对照表[型号],显卡利益点对照表[利益点3],"ERROR"),"")</f>
        <v>仿生降噪风扇</v>
      </c>
      <c r="L19" t="str">
        <f>IF(表1_53[[#This Row],[配件1]]&lt;&gt;"",_xlfn.XLOOKUP(表1_53[[#This Row],[配件1]],显卡利益点对照表[型号],显卡利益点对照表[算力],"ERROR"),"")</f>
        <v>AI算力614 TOPS</v>
      </c>
      <c r="M19" t="str">
        <f>IF(表1_53[[#This Row],[配件1]]&lt;&gt;"",_xlfn.XLOOKUP(表1_53[[#This Row],[配件1]],显卡利益点对照表[型号],显卡利益点对照表[可显性],"ERROR"),"")</f>
        <v>GV-N5060OC-8GL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9" t="str" cm="1">
        <f t="array" ref="Q19">_xlfn.IFS(表1_53[[#This Row],[配件1]]="","",表1_53[[#This Row],[文本丨算力丨算力值]]=0,"",表1_53[[#This Row],[文本丨算力丨算力值]]&lt;&gt;"","算力")</f>
        <v>算力</v>
      </c>
    </row>
    <row r="20" spans="2:17" x14ac:dyDescent="0.2">
      <c r="B20" s="22">
        <v>10079004855424</v>
      </c>
      <c r="C20" t="s">
        <v>478</v>
      </c>
      <c r="D20" t="s">
        <v>487</v>
      </c>
      <c r="F20" t="str">
        <f>IF(表1_53[[#This Row],[配件1]]&lt;&gt;"",_xlfn.XLOOKUP(表1_53[[#This Row],[配件1]],显卡利益点对照表[型号],显卡利益点对照表[标题1],"ERROR"),"")</f>
        <v>RTX5060</v>
      </c>
      <c r="G20" t="str">
        <f>IF(表1_53[[#This Row],[配件1]]&lt;&gt;"",_xlfn.XLOOKUP(表1_53[[#This Row],[配件1]],显卡利益点对照表[型号],显卡利益点对照表[标题2],"ERROR"),"")</f>
        <v>半高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182mm半高卡设计丨25</v>
      </c>
      <c r="K20" t="str">
        <f>IF(表1_53[[#This Row],[配件1]]&lt;&gt;"",_xlfn.XLOOKUP(表1_53[[#This Row],[配件1]],显卡利益点对照表[型号],显卡利益点对照表[利益点3],"ERROR"),"")</f>
        <v>仿生降噪风扇</v>
      </c>
      <c r="L20" t="str">
        <f>IF(表1_53[[#This Row],[配件1]]&lt;&gt;"",_xlfn.XLOOKUP(表1_53[[#This Row],[配件1]],显卡利益点对照表[型号],显卡利益点对照表[算力],"ERROR"),"")</f>
        <v>AI算力614 TOPS</v>
      </c>
      <c r="M20" t="str">
        <f>IF(表1_53[[#This Row],[配件1]]&lt;&gt;"",_xlfn.XLOOKUP(表1_53[[#This Row],[配件1]],显卡利益点对照表[型号],显卡利益点对照表[可显性],"ERROR"),"")</f>
        <v>GV-N5060OC-8GL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0" t="str" cm="1">
        <f t="array" ref="Q20">_xlfn.IFS(表1_53[[#This Row],[配件1]]="","",表1_53[[#This Row],[文本丨算力丨算力值]]=0,"",表1_53[[#This Row],[文本丨算力丨算力值]]&lt;&gt;"","算力")</f>
        <v>算力</v>
      </c>
    </row>
    <row r="21" spans="2:17" x14ac:dyDescent="0.2">
      <c r="B21" s="22">
        <v>10155071515452</v>
      </c>
      <c r="C21" s="27" t="s">
        <v>479</v>
      </c>
      <c r="D21" t="s">
        <v>486</v>
      </c>
      <c r="F21" t="str">
        <f>IF(表1_53[[#This Row],[配件1]]&lt;&gt;"",_xlfn.XLOOKUP(表1_53[[#This Row],[配件1]],显卡利益点对照表[型号],显卡利益点对照表[标题1],"ERROR"),"")</f>
        <v>RTX5060</v>
      </c>
      <c r="G21" t="str">
        <f>IF(表1_53[[#This Row],[配件1]]&lt;&gt;"",_xlfn.XLOOKUP(表1_53[[#This Row],[配件1]],显卡利益点对照表[型号],显卡利益点对照表[标题2],"ERROR"),"")</f>
        <v>风魔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精巧双风扇</v>
      </c>
      <c r="K21" t="str">
        <f>IF(表1_53[[#This Row],[配件1]]&lt;&gt;"",_xlfn.XLOOKUP(表1_53[[#This Row],[配件1]],显卡利益点对照表[型号],显卡利益点对照表[利益点3],"ERROR"),"")</f>
        <v>仿生降噪风扇</v>
      </c>
      <c r="L21" t="str">
        <f>IF(表1_53[[#This Row],[配件1]]&lt;&gt;"",_xlfn.XLOOKUP(表1_53[[#This Row],[配件1]],显卡利益点对照表[型号],显卡利益点对照表[算力],"ERROR"),"")</f>
        <v>AI算力614 TOPS</v>
      </c>
      <c r="M21" t="str">
        <f>IF(表1_53[[#This Row],[配件1]]&lt;&gt;"",_xlfn.XLOOKUP(表1_53[[#This Row],[配件1]],显卡利益点对照表[型号],显卡利益点对照表[可显性],"ERROR"),"")</f>
        <v>GV-N5060WF2-8GD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1" t="str" cm="1">
        <f t="array" ref="Q21">_xlfn.IFS(表1_53[[#This Row],[配件1]]="","",表1_53[[#This Row],[文本丨算力丨算力值]]=0,"",表1_53[[#This Row],[文本丨算力丨算力值]]&lt;&gt;"","算力")</f>
        <v>算力</v>
      </c>
    </row>
    <row r="22" spans="2:17" x14ac:dyDescent="0.2">
      <c r="B22" s="22">
        <v>10156669859368</v>
      </c>
      <c r="C22" s="27" t="s">
        <v>479</v>
      </c>
      <c r="D22" t="s">
        <v>487</v>
      </c>
      <c r="F22" t="str">
        <f>IF(表1_53[[#This Row],[配件1]]&lt;&gt;"",_xlfn.XLOOKUP(表1_53[[#This Row],[配件1]],显卡利益点对照表[型号],显卡利益点对照表[标题1],"ERROR"),"")</f>
        <v>RTX5060</v>
      </c>
      <c r="G22" t="str">
        <f>IF(表1_53[[#This Row],[配件1]]&lt;&gt;"",_xlfn.XLOOKUP(表1_53[[#This Row],[配件1]],显卡利益点对照表[型号],显卡利益点对照表[标题2],"ERROR"),"")</f>
        <v>风魔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精巧双风扇</v>
      </c>
      <c r="K22" t="str">
        <f>IF(表1_53[[#This Row],[配件1]]&lt;&gt;"",_xlfn.XLOOKUP(表1_53[[#This Row],[配件1]],显卡利益点对照表[型号],显卡利益点对照表[利益点3],"ERROR"),"")</f>
        <v>仿生降噪风扇</v>
      </c>
      <c r="L22" t="str">
        <f>IF(表1_53[[#This Row],[配件1]]&lt;&gt;"",_xlfn.XLOOKUP(表1_53[[#This Row],[配件1]],显卡利益点对照表[型号],显卡利益点对照表[算力],"ERROR"),"")</f>
        <v>AI算力614 TOPS</v>
      </c>
      <c r="M22" t="str">
        <f>IF(表1_53[[#This Row],[配件1]]&lt;&gt;"",_xlfn.XLOOKUP(表1_53[[#This Row],[配件1]],显卡利益点对照表[型号],显卡利益点对照表[可显性],"ERROR"),"")</f>
        <v>GV-N5060WF2-8GD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2" t="str" cm="1">
        <f t="array" ref="Q22">_xlfn.IFS(表1_53[[#This Row],[配件1]]="","",表1_53[[#This Row],[文本丨算力丨算力值]]=0,"",表1_53[[#This Row],[文本丨算力丨算力值]]&lt;&gt;"","算力")</f>
        <v>算力</v>
      </c>
    </row>
    <row r="23" spans="2:17" x14ac:dyDescent="0.2">
      <c r="B23" s="22">
        <v>10079005338526</v>
      </c>
      <c r="C23" t="s">
        <v>480</v>
      </c>
      <c r="D23" t="s">
        <v>486</v>
      </c>
      <c r="F23" t="str">
        <f>IF(表1_53[[#This Row],[配件1]]&lt;&gt;"",_xlfn.XLOOKUP(表1_53[[#This Row],[配件1]],显卡利益点对照表[型号],显卡利益点对照表[标题1],"ERROR"),"")</f>
        <v>RTX5060</v>
      </c>
      <c r="G23" t="str">
        <f>IF(表1_53[[#This Row],[配件1]]&lt;&gt;"",_xlfn.XLOOKUP(表1_53[[#This Row],[配件1]],显卡利益点对照表[型号],显卡利益点对照表[标题2],"ERROR"),"")</f>
        <v>猎鹰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精巧双风扇</v>
      </c>
      <c r="K23" t="str">
        <f>IF(表1_53[[#This Row],[配件1]]&lt;&gt;"",_xlfn.XLOOKUP(表1_53[[#This Row],[配件1]],显卡利益点对照表[型号],显卡利益点对照表[利益点3],"ERROR"),"")</f>
        <v>仿生降噪风扇</v>
      </c>
      <c r="L23" t="str">
        <f>IF(表1_53[[#This Row],[配件1]]&lt;&gt;"",_xlfn.XLOOKUP(表1_53[[#This Row],[配件1]],显卡利益点对照表[型号],显卡利益点对照表[算力],"ERROR"),"")</f>
        <v>AI算力614 TOPS</v>
      </c>
      <c r="M23" t="str">
        <f>IF(表1_53[[#This Row],[配件1]]&lt;&gt;"",_xlfn.XLOOKUP(表1_53[[#This Row],[配件1]],显卡利益点对照表[型号],显卡利益点对照表[可显性],"ERROR"),"")</f>
        <v>GV-N5060EAGLE OC-8GD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3" t="str" cm="1">
        <f t="array" ref="Q23">_xlfn.IFS(表1_53[[#This Row],[配件1]]="","",表1_53[[#This Row],[文本丨算力丨算力值]]=0,"",表1_53[[#This Row],[文本丨算力丨算力值]]&lt;&gt;"","算力")</f>
        <v>算力</v>
      </c>
    </row>
    <row r="24" spans="2:17" x14ac:dyDescent="0.2">
      <c r="B24" s="22">
        <v>10079005338527</v>
      </c>
      <c r="C24" t="s">
        <v>480</v>
      </c>
      <c r="D24" t="s">
        <v>487</v>
      </c>
      <c r="F24" t="str">
        <f>IF(表1_53[[#This Row],[配件1]]&lt;&gt;"",_xlfn.XLOOKUP(表1_53[[#This Row],[配件1]],显卡利益点对照表[型号],显卡利益点对照表[标题1],"ERROR"),"")</f>
        <v>RTX5060</v>
      </c>
      <c r="G24" t="str">
        <f>IF(表1_53[[#This Row],[配件1]]&lt;&gt;"",_xlfn.XLOOKUP(表1_53[[#This Row],[配件1]],显卡利益点对照表[型号],显卡利益点对照表[标题2],"ERROR"),"")</f>
        <v>猎鹰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精巧双风扇</v>
      </c>
      <c r="K24" t="str">
        <f>IF(表1_53[[#This Row],[配件1]]&lt;&gt;"",_xlfn.XLOOKUP(表1_53[[#This Row],[配件1]],显卡利益点对照表[型号],显卡利益点对照表[利益点3],"ERROR"),"")</f>
        <v>仿生降噪风扇</v>
      </c>
      <c r="L24" t="str">
        <f>IF(表1_53[[#This Row],[配件1]]&lt;&gt;"",_xlfn.XLOOKUP(表1_53[[#This Row],[配件1]],显卡利益点对照表[型号],显卡利益点对照表[算力],"ERROR"),"")</f>
        <v>AI算力614 TOPS</v>
      </c>
      <c r="M24" t="str">
        <f>IF(表1_53[[#This Row],[配件1]]&lt;&gt;"",_xlfn.XLOOKUP(表1_53[[#This Row],[配件1]],显卡利益点对照表[型号],显卡利益点对照表[可显性],"ERROR"),"")</f>
        <v>GV-N5060EAGLE OC-8GD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4" t="str" cm="1">
        <f t="array" ref="Q24">_xlfn.IFS(表1_53[[#This Row],[配件1]]="","",表1_53[[#This Row],[文本丨算力丨算力值]]=0,"",表1_53[[#This Row],[文本丨算力丨算力值]]&lt;&gt;"","算力")</f>
        <v>算力</v>
      </c>
    </row>
    <row r="25" spans="2:17" x14ac:dyDescent="0.2">
      <c r="B25" s="22">
        <v>10164253233946</v>
      </c>
      <c r="C25" s="27" t="s">
        <v>566</v>
      </c>
      <c r="D25" t="s">
        <v>486</v>
      </c>
      <c r="F25" t="str">
        <f>IF(表1_53[[#This Row],[配件1]]&lt;&gt;"",_xlfn.XLOOKUP(表1_53[[#This Row],[配件1]],显卡利益点对照表[型号],显卡利益点对照表[标题1],"ERROR"),"")</f>
        <v>RTX5060</v>
      </c>
      <c r="G25" t="str">
        <f>IF(表1_53[[#This Row],[配件1]]&lt;&gt;"",_xlfn.XLOOKUP(表1_53[[#This Row],[配件1]],显卡利益点对照表[型号],显卡利益点对照表[标题2],"ERROR"),"")</f>
        <v>猎鹰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正逆转三风扇</v>
      </c>
      <c r="K25" t="str">
        <f>IF(表1_53[[#This Row],[配件1]]&lt;&gt;"",_xlfn.XLOOKUP(表1_53[[#This Row],[配件1]],显卡利益点对照表[型号],显卡利益点对照表[利益点3],"ERROR"),"")</f>
        <v>仿生降噪风扇</v>
      </c>
      <c r="L25" t="str">
        <f>IF(表1_53[[#This Row],[配件1]]&lt;&gt;"",_xlfn.XLOOKUP(表1_53[[#This Row],[配件1]],显卡利益点对照表[型号],显卡利益点对照表[算力],"ERROR"),"")</f>
        <v>AI算力614 TOPS</v>
      </c>
      <c r="M25" t="str">
        <f>IF(表1_53[[#This Row],[配件1]]&lt;&gt;"",_xlfn.XLOOKUP(表1_53[[#This Row],[配件1]],显卡利益点对照表[型号],显卡利益点对照表[可显性],"ERROR"),"")</f>
        <v>GV-N5060EAGLEMAX OC-8GD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5" t="str" cm="1">
        <f t="array" ref="Q25">_xlfn.IFS(表1_53[[#This Row],[配件1]]="","",表1_53[[#This Row],[文本丨算力丨算力值]]=0,"",表1_53[[#This Row],[文本丨算力丨算力值]]&lt;&gt;"","算力")</f>
        <v>算力</v>
      </c>
    </row>
    <row r="26" spans="2:17" x14ac:dyDescent="0.2">
      <c r="B26" s="22">
        <v>10164253233947</v>
      </c>
      <c r="C26" s="27" t="s">
        <v>566</v>
      </c>
      <c r="D26" t="s">
        <v>487</v>
      </c>
      <c r="F26" t="str">
        <f>IF(表1_53[[#This Row],[配件1]]&lt;&gt;"",_xlfn.XLOOKUP(表1_53[[#This Row],[配件1]],显卡利益点对照表[型号],显卡利益点对照表[标题1],"ERROR"),"")</f>
        <v>RTX5060</v>
      </c>
      <c r="G26" t="str">
        <f>IF(表1_53[[#This Row],[配件1]]&lt;&gt;"",_xlfn.XLOOKUP(表1_53[[#This Row],[配件1]],显卡利益点对照表[型号],显卡利益点对照表[标题2],"ERROR"),"")</f>
        <v>猎鹰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正逆转三风扇</v>
      </c>
      <c r="K26" t="str">
        <f>IF(表1_53[[#This Row],[配件1]]&lt;&gt;"",_xlfn.XLOOKUP(表1_53[[#This Row],[配件1]],显卡利益点对照表[型号],显卡利益点对照表[利益点3],"ERROR"),"")</f>
        <v>仿生降噪风扇</v>
      </c>
      <c r="L26" t="str">
        <f>IF(表1_53[[#This Row],[配件1]]&lt;&gt;"",_xlfn.XLOOKUP(表1_53[[#This Row],[配件1]],显卡利益点对照表[型号],显卡利益点对照表[算力],"ERROR"),"")</f>
        <v>AI算力614 TOPS</v>
      </c>
      <c r="M26" t="str">
        <f>IF(表1_53[[#This Row],[配件1]]&lt;&gt;"",_xlfn.XLOOKUP(表1_53[[#This Row],[配件1]],显卡利益点对照表[型号],显卡利益点对照表[可显性],"ERROR"),"")</f>
        <v>GV-N5060EAGLEMAX OC-8GD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6" t="str" cm="1">
        <f t="array" ref="Q26">_xlfn.IFS(表1_53[[#This Row],[配件1]]="","",表1_53[[#This Row],[文本丨算力丨算力值]]=0,"",表1_53[[#This Row],[文本丨算力丨算力值]]&lt;&gt;"","算力")</f>
        <v>算力</v>
      </c>
    </row>
    <row r="27" spans="2:17" x14ac:dyDescent="0.2">
      <c r="B27" s="22">
        <v>10096423596457</v>
      </c>
      <c r="C27" t="s">
        <v>481</v>
      </c>
      <c r="D27" t="s">
        <v>486</v>
      </c>
      <c r="F27" t="str">
        <f>IF(表1_53[[#This Row],[配件1]]&lt;&gt;"",_xlfn.XLOOKUP(表1_53[[#This Row],[配件1]],显卡利益点对照表[型号],显卡利益点对照表[标题1],"ERROR"),"")</f>
        <v>RTX5060</v>
      </c>
      <c r="G27" t="str">
        <f>IF(表1_53[[#This Row],[配件1]]&lt;&gt;"",_xlfn.XLOOKUP(表1_53[[#This Row],[配件1]],显卡利益点对照表[型号],显卡利益点对照表[标题2],"ERROR"),"")</f>
        <v>冰猎鹰 8G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精巧双风扇</v>
      </c>
      <c r="K27" t="str">
        <f>IF(表1_53[[#This Row],[配件1]]&lt;&gt;"",_xlfn.XLOOKUP(表1_53[[#This Row],[配件1]],显卡利益点对照表[型号],显卡利益点对照表[利益点3],"ERROR"),"")</f>
        <v>仿生降噪风扇</v>
      </c>
      <c r="L27" t="str">
        <f>IF(表1_53[[#This Row],[配件1]]&lt;&gt;"",_xlfn.XLOOKUP(表1_53[[#This Row],[配件1]],显卡利益点对照表[型号],显卡利益点对照表[算力],"ERROR"),"")</f>
        <v>AI算力614 TOPS</v>
      </c>
      <c r="M27" t="str">
        <f>IF(表1_53[[#This Row],[配件1]]&lt;&gt;"",_xlfn.XLOOKUP(表1_53[[#This Row],[配件1]],显卡利益点对照表[型号],显卡利益点对照表[可显性],"ERROR"),"")</f>
        <v>GV-N5060EAGLEOC ICE-8GD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7" t="str" cm="1">
        <f t="array" ref="Q27">_xlfn.IFS(表1_53[[#This Row],[配件1]]="","",表1_53[[#This Row],[文本丨算力丨算力值]]=0,"",表1_53[[#This Row],[文本丨算力丨算力值]]&lt;&gt;"","算力")</f>
        <v>算力</v>
      </c>
    </row>
    <row r="28" spans="2:17" x14ac:dyDescent="0.2">
      <c r="B28" s="22">
        <v>10096423596458</v>
      </c>
      <c r="C28" t="s">
        <v>481</v>
      </c>
      <c r="D28" t="s">
        <v>206</v>
      </c>
      <c r="F28" t="str">
        <f>IF(表1_53[[#This Row],[配件1]]&lt;&gt;"",_xlfn.XLOOKUP(表1_53[[#This Row],[配件1]],显卡利益点对照表[型号],显卡利益点对照表[标题1],"ERROR"),"")</f>
        <v>RTX5060</v>
      </c>
      <c r="G28" t="str">
        <f>IF(表1_53[[#This Row],[配件1]]&lt;&gt;"",_xlfn.XLOOKUP(表1_53[[#This Row],[配件1]],显卡利益点对照表[型号],显卡利益点对照表[标题2],"ERROR"),"")</f>
        <v>冰猎鹰 8G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精巧双风扇</v>
      </c>
      <c r="K28" t="str">
        <f>IF(表1_53[[#This Row],[配件1]]&lt;&gt;"",_xlfn.XLOOKUP(表1_53[[#This Row],[配件1]],显卡利益点对照表[型号],显卡利益点对照表[利益点3],"ERROR"),"")</f>
        <v>仿生降噪风扇</v>
      </c>
      <c r="L28" t="str">
        <f>IF(表1_53[[#This Row],[配件1]]&lt;&gt;"",_xlfn.XLOOKUP(表1_53[[#This Row],[配件1]],显卡利益点对照表[型号],显卡利益点对照表[算力],"ERROR"),"")</f>
        <v>AI算力614 TOPS</v>
      </c>
      <c r="M28" t="str">
        <f>IF(表1_53[[#This Row],[配件1]]&lt;&gt;"",_xlfn.XLOOKUP(表1_53[[#This Row],[配件1]],显卡利益点对照表[型号],显卡利益点对照表[可显性],"ERROR"),"")</f>
        <v>GV-N5060EAGLEOC ICE-8GD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2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8" t="str" cm="1">
        <f t="array" ref="Q28">_xlfn.IFS(表1_53[[#This Row],[配件1]]="","",表1_53[[#This Row],[文本丨算力丨算力值]]=0,"",表1_53[[#This Row],[文本丨算力丨算力值]]&lt;&gt;"","算力")</f>
        <v>算力</v>
      </c>
    </row>
    <row r="29" spans="2:17" x14ac:dyDescent="0.2">
      <c r="B29" s="22">
        <v>10079004855425</v>
      </c>
      <c r="C29" t="s">
        <v>482</v>
      </c>
      <c r="D29" t="s">
        <v>486</v>
      </c>
      <c r="F29" t="str">
        <f>IF(表1_53[[#This Row],[配件1]]&lt;&gt;"",_xlfn.XLOOKUP(表1_53[[#This Row],[配件1]],显卡利益点对照表[型号],显卡利益点对照表[标题1],"ERROR"),"")</f>
        <v>RTX5060</v>
      </c>
      <c r="G29" t="str">
        <f>IF(表1_53[[#This Row],[配件1]]&lt;&gt;"",_xlfn.XLOOKUP(表1_53[[#This Row],[配件1]],显卡利益点对照表[型号],显卡利益点对照表[标题2],"ERROR"),"")</f>
        <v>魔鹰 8G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RGB滑动侧板</v>
      </c>
      <c r="K29" t="str">
        <f>IF(表1_53[[#This Row],[配件1]]&lt;&gt;"",_xlfn.XLOOKUP(表1_53[[#This Row],[配件1]],显卡利益点对照表[型号],显卡利益点对照表[利益点3],"ERROR"),"")</f>
        <v>强化金属背板</v>
      </c>
      <c r="L29" t="str">
        <f>IF(表1_53[[#This Row],[配件1]]&lt;&gt;"",_xlfn.XLOOKUP(表1_53[[#This Row],[配件1]],显卡利益点对照表[型号],显卡利益点对照表[算力],"ERROR"),"")</f>
        <v>AI算力614 TOPS</v>
      </c>
      <c r="M29" t="str">
        <f>IF(表1_53[[#This Row],[配件1]]&lt;&gt;"",_xlfn.XLOOKUP(表1_53[[#This Row],[配件1]],显卡利益点对照表[型号],显卡利益点对照表[可显性],"ERROR"),"")</f>
        <v>GV-N5060GAMING OC-8GD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9" t="str" cm="1">
        <f t="array" ref="Q29">_xlfn.IFS(表1_53[[#This Row],[配件1]]="","",表1_53[[#This Row],[文本丨算力丨算力值]]=0,"",表1_53[[#This Row],[文本丨算力丨算力值]]&lt;&gt;"","算力")</f>
        <v>算力</v>
      </c>
    </row>
    <row r="30" spans="2:17" x14ac:dyDescent="0.2">
      <c r="B30" s="22">
        <v>10079004855426</v>
      </c>
      <c r="C30" t="s">
        <v>482</v>
      </c>
      <c r="D30" t="s">
        <v>487</v>
      </c>
      <c r="F30" t="str">
        <f>IF(表1_53[[#This Row],[配件1]]&lt;&gt;"",_xlfn.XLOOKUP(表1_53[[#This Row],[配件1]],显卡利益点对照表[型号],显卡利益点对照表[标题1],"ERROR"),"")</f>
        <v>RTX5060</v>
      </c>
      <c r="G30" t="str">
        <f>IF(表1_53[[#This Row],[配件1]]&lt;&gt;"",_xlfn.XLOOKUP(表1_53[[#This Row],[配件1]],显卡利益点对照表[型号],显卡利益点对照表[标题2],"ERROR"),"")</f>
        <v>魔鹰 8G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RGB滑动侧板</v>
      </c>
      <c r="K30" t="str">
        <f>IF(表1_53[[#This Row],[配件1]]&lt;&gt;"",_xlfn.XLOOKUP(表1_53[[#This Row],[配件1]],显卡利益点对照表[型号],显卡利益点对照表[利益点3],"ERROR"),"")</f>
        <v>强化金属背板</v>
      </c>
      <c r="L30" t="str">
        <f>IF(表1_53[[#This Row],[配件1]]&lt;&gt;"",_xlfn.XLOOKUP(表1_53[[#This Row],[配件1]],显卡利益点对照表[型号],显卡利益点对照表[算力],"ERROR"),"")</f>
        <v>AI算力614 TOPS</v>
      </c>
      <c r="M30" t="str">
        <f>IF(表1_53[[#This Row],[配件1]]&lt;&gt;"",_xlfn.XLOOKUP(表1_53[[#This Row],[配件1]],显卡利益点对照表[型号],显卡利益点对照表[可显性],"ERROR"),"")</f>
        <v>GV-N5060GAMING OC-8GD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3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0" t="str" cm="1">
        <f t="array" ref="Q30">_xlfn.IFS(表1_53[[#This Row],[配件1]]="","",表1_53[[#This Row],[文本丨算力丨算力值]]=0,"",表1_53[[#This Row],[文本丨算力丨算力值]]&lt;&gt;"","算力")</f>
        <v>算力</v>
      </c>
    </row>
    <row r="31" spans="2:17" x14ac:dyDescent="0.2">
      <c r="B31" s="22">
        <v>10079004855427</v>
      </c>
      <c r="C31" t="s">
        <v>483</v>
      </c>
      <c r="D31" t="s">
        <v>486</v>
      </c>
      <c r="F31" t="str">
        <f>IF(表1_53[[#This Row],[配件1]]&lt;&gt;"",_xlfn.XLOOKUP(表1_53[[#This Row],[配件1]],显卡利益点对照表[型号],显卡利益点对照表[标题1],"ERROR"),"")</f>
        <v>RTX5060</v>
      </c>
      <c r="G31" t="str">
        <f>IF(表1_53[[#This Row],[配件1]]&lt;&gt;"",_xlfn.XLOOKUP(表1_53[[#This Row],[配件1]],显卡利益点对照表[型号],显卡利益点对照表[标题2],"ERROR"),"")</f>
        <v>雪鹰 8G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银白雪装外观</v>
      </c>
      <c r="K31" t="str">
        <f>IF(表1_53[[#This Row],[配件1]]&lt;&gt;"",_xlfn.XLOOKUP(表1_53[[#This Row],[配件1]],显卡利益点对照表[型号],显卡利益点对照表[利益点3],"ERROR"),"")</f>
        <v>强化金属背板</v>
      </c>
      <c r="L31" t="str">
        <f>IF(表1_53[[#This Row],[配件1]]&lt;&gt;"",_xlfn.XLOOKUP(表1_53[[#This Row],[配件1]],显卡利益点对照表[型号],显卡利益点对照表[算力],"ERROR"),"")</f>
        <v>AI算力614 TOPS</v>
      </c>
      <c r="M31" t="str">
        <f>IF(表1_53[[#This Row],[配件1]]&lt;&gt;"",_xlfn.XLOOKUP(表1_53[[#This Row],[配件1]],显卡利益点对照表[型号],显卡利益点对照表[可显性],"ERROR"),"")</f>
        <v>GV-N5060AERO OC-8GD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1" t="str" cm="1">
        <f t="array" ref="Q31">_xlfn.IFS(表1_53[[#This Row],[配件1]]="","",表1_53[[#This Row],[文本丨算力丨算力值]]=0,"",表1_53[[#This Row],[文本丨算力丨算力值]]&lt;&gt;"","算力")</f>
        <v>算力</v>
      </c>
    </row>
    <row r="32" spans="2:17" x14ac:dyDescent="0.2">
      <c r="B32" s="22">
        <v>10079004855428</v>
      </c>
      <c r="C32" t="s">
        <v>483</v>
      </c>
      <c r="D32" t="s">
        <v>206</v>
      </c>
      <c r="F32" t="str">
        <f>IF(表1_53[[#This Row],[配件1]]&lt;&gt;"",_xlfn.XLOOKUP(表1_53[[#This Row],[配件1]],显卡利益点对照表[型号],显卡利益点对照表[标题1],"ERROR"),"")</f>
        <v>RTX5060</v>
      </c>
      <c r="G32" t="str">
        <f>IF(表1_53[[#This Row],[配件1]]&lt;&gt;"",_xlfn.XLOOKUP(表1_53[[#This Row],[配件1]],显卡利益点对照表[型号],显卡利益点对照表[标题2],"ERROR"),"")</f>
        <v>雪鹰 8G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银白雪装外观</v>
      </c>
      <c r="K32" t="str">
        <f>IF(表1_53[[#This Row],[配件1]]&lt;&gt;"",_xlfn.XLOOKUP(表1_53[[#This Row],[配件1]],显卡利益点对照表[型号],显卡利益点对照表[利益点3],"ERROR"),"")</f>
        <v>强化金属背板</v>
      </c>
      <c r="L32" t="str">
        <f>IF(表1_53[[#This Row],[配件1]]&lt;&gt;"",_xlfn.XLOOKUP(表1_53[[#This Row],[配件1]],显卡利益点对照表[型号],显卡利益点对照表[算力],"ERROR"),"")</f>
        <v>AI算力614 TOPS</v>
      </c>
      <c r="M32" t="str">
        <f>IF(表1_53[[#This Row],[配件1]]&lt;&gt;"",_xlfn.XLOOKUP(表1_53[[#This Row],[配件1]],显卡利益点对照表[型号],显卡利益点对照表[可显性],"ERROR"),"")</f>
        <v>GV-N5060AERO OC-8GD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3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2" t="str" cm="1">
        <f t="array" ref="Q32">_xlfn.IFS(表1_53[[#This Row],[配件1]]="","",表1_53[[#This Row],[文本丨算力丨算力值]]=0,"",表1_53[[#This Row],[文本丨算力丨算力值]]&lt;&gt;"","算力")</f>
        <v>算力</v>
      </c>
    </row>
    <row r="33" spans="2:17" x14ac:dyDescent="0.2">
      <c r="B33" s="22">
        <v>10079004855429</v>
      </c>
      <c r="C33" t="s">
        <v>570</v>
      </c>
      <c r="D33" t="s">
        <v>486</v>
      </c>
      <c r="F33" t="str">
        <f>IF(表1_53[[#This Row],[配件1]]&lt;&gt;"",_xlfn.XLOOKUP(表1_53[[#This Row],[配件1]],显卡利益点对照表[型号],显卡利益点对照表[标题1],"ERROR"),"")</f>
        <v>RTX5060</v>
      </c>
      <c r="G33" t="str">
        <f>IF(表1_53[[#This Row],[配件1]]&lt;&gt;"",_xlfn.XLOOKUP(表1_53[[#This Row],[配件1]],显卡利益点对照表[型号],显卡利益点对照表[标题2],"ERROR"),"")</f>
        <v>小雕 8G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33" t="str">
        <f>IF(表1_53[[#This Row],[配件1]]&lt;&gt;"",_xlfn.XLOOKUP(表1_53[[#This Row],[配件1]],显卡利益点对照表[型号],显卡利益点对照表[利益点1],"ERROR"),"")</f>
        <v>注册4年保/个人送保丨25</v>
      </c>
      <c r="J33" t="str">
        <f>IF(表1_53[[#This Row],[配件1]]&lt;&gt;"",_xlfn.XLOOKUP(表1_53[[#This Row],[配件1]],显卡利益点对照表[型号],显卡利益点对照表[利益点2],"ERROR"),"")</f>
        <v>RGB幻彩光轮</v>
      </c>
      <c r="K33" t="str">
        <f>IF(表1_53[[#This Row],[配件1]]&lt;&gt;"",_xlfn.XLOOKUP(表1_53[[#This Row],[配件1]],显卡利益点对照表[型号],显卡利益点对照表[利益点3],"ERROR"),"")</f>
        <v>五重高效散热</v>
      </c>
      <c r="L33" t="str">
        <f>IF(表1_53[[#This Row],[配件1]]&lt;&gt;"",_xlfn.XLOOKUP(表1_53[[#This Row],[配件1]],显卡利益点对照表[型号],显卡利益点对照表[算力],"ERROR"),"")</f>
        <v>AI算力614 TOPS</v>
      </c>
      <c r="M33" t="str">
        <f>IF(表1_53[[#This Row],[配件1]]&lt;&gt;"",_xlfn.XLOOKUP(表1_53[[#This Row],[配件1]],显卡利益点对照表[型号],显卡利益点对照表[可显性],"ERROR"),"")</f>
        <v>GV-N5060AORUS E-8GD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3" t="str" cm="1">
        <f t="array" ref="Q33">_xlfn.IFS(表1_53[[#This Row],[配件1]]="","",表1_53[[#This Row],[文本丨算力丨算力值]]=0,"",表1_53[[#This Row],[文本丨算力丨算力值]]&lt;&gt;"","算力")</f>
        <v>算力</v>
      </c>
    </row>
    <row r="34" spans="2:17" x14ac:dyDescent="0.2">
      <c r="B34" s="22">
        <v>10079004855430</v>
      </c>
      <c r="C34" t="s">
        <v>570</v>
      </c>
      <c r="D34" t="s">
        <v>487</v>
      </c>
      <c r="F34" t="str">
        <f>IF(表1_53[[#This Row],[配件1]]&lt;&gt;"",_xlfn.XLOOKUP(表1_53[[#This Row],[配件1]],显卡利益点对照表[型号],显卡利益点对照表[标题1],"ERROR"),"")</f>
        <v>RTX5060</v>
      </c>
      <c r="G34" t="str">
        <f>IF(表1_53[[#This Row],[配件1]]&lt;&gt;"",_xlfn.XLOOKUP(表1_53[[#This Row],[配件1]],显卡利益点对照表[型号],显卡利益点对照表[标题2],"ERROR"),"")</f>
        <v>小雕 8G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4" t="str">
        <f>IF(表1_53[[#This Row],[配件1]]&lt;&gt;"",_xlfn.XLOOKUP(表1_53[[#This Row],[配件1]],显卡利益点对照表[型号],显卡利益点对照表[利益点1],"ERROR"),"")</f>
        <v>注册4年保/个人送保丨25</v>
      </c>
      <c r="J34" t="str">
        <f>IF(表1_53[[#This Row],[配件1]]&lt;&gt;"",_xlfn.XLOOKUP(表1_53[[#This Row],[配件1]],显卡利益点对照表[型号],显卡利益点对照表[利益点2],"ERROR"),"")</f>
        <v>RGB幻彩光轮</v>
      </c>
      <c r="K34" t="str">
        <f>IF(表1_53[[#This Row],[配件1]]&lt;&gt;"",_xlfn.XLOOKUP(表1_53[[#This Row],[配件1]],显卡利益点对照表[型号],显卡利益点对照表[利益点3],"ERROR"),"")</f>
        <v>五重高效散热</v>
      </c>
      <c r="L34" t="str">
        <f>IF(表1_53[[#This Row],[配件1]]&lt;&gt;"",_xlfn.XLOOKUP(表1_53[[#This Row],[配件1]],显卡利益点对照表[型号],显卡利益点对照表[算力],"ERROR"),"")</f>
        <v>AI算力614 TOPS</v>
      </c>
      <c r="M34" t="str">
        <f>IF(表1_53[[#This Row],[配件1]]&lt;&gt;"",_xlfn.XLOOKUP(表1_53[[#This Row],[配件1]],显卡利益点对照表[型号],显卡利益点对照表[可显性],"ERROR"),"")</f>
        <v>GV-N5060AORUS E-8GD</v>
      </c>
      <c r="N3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3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4" t="str" cm="1">
        <f t="array" ref="Q34">_xlfn.IFS(表1_53[[#This Row],[配件1]]="","",表1_53[[#This Row],[文本丨算力丨算力值]]=0,"",表1_53[[#This Row],[文本丨算力丨算力值]]&lt;&gt;"","算力")</f>
        <v>算力</v>
      </c>
    </row>
    <row r="35" spans="2:17" x14ac:dyDescent="0.2">
      <c r="F35" t="str">
        <f>IF(表1_53[[#This Row],[配件1]]&lt;&gt;"",_xlfn.XLOOKUP(表1_53[[#This Row],[配件1]],显卡利益点对照表[型号],显卡利益点对照表[标题1],"ERROR"),"")</f>
        <v/>
      </c>
      <c r="G35" t="str">
        <f>IF(表1_53[[#This Row],[配件1]]&lt;&gt;"",_xlfn.XLOOKUP(表1_53[[#This Row],[配件1]],显卡利益点对照表[型号],显卡利益点对照表[标题2],"ERROR"),"")</f>
        <v/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5" t="str">
        <f>IF(表1_53[[#This Row],[配件1]]&lt;&gt;"",_xlfn.XLOOKUP(表1_53[[#This Row],[配件1]],显卡利益点对照表[型号],显卡利益点对照表[利益点1],"ERROR"),"")</f>
        <v/>
      </c>
      <c r="J35" t="str">
        <f>IF(表1_53[[#This Row],[配件1]]&lt;&gt;"",_xlfn.XLOOKUP(表1_53[[#This Row],[配件1]],显卡利益点对照表[型号],显卡利益点对照表[利益点2],"ERROR"),"")</f>
        <v/>
      </c>
      <c r="K35" t="str">
        <f>IF(表1_53[[#This Row],[配件1]]&lt;&gt;"",_xlfn.XLOOKUP(表1_53[[#This Row],[配件1]],显卡利益点对照表[型号],显卡利益点对照表[利益点3],"ERROR"),"")</f>
        <v/>
      </c>
      <c r="L35" t="str">
        <f>IF(表1_53[[#This Row],[配件1]]&lt;&gt;"",_xlfn.XLOOKUP(表1_53[[#This Row],[配件1]],显卡利益点对照表[型号],显卡利益点对照表[算力],"ERROR"),"")</f>
        <v/>
      </c>
      <c r="M35" t="str">
        <f>IF(表1_53[[#This Row],[配件1]]&lt;&gt;"",_xlfn.XLOOKUP(表1_53[[#This Row],[配件1]],显卡利益点对照表[型号],显卡利益点对照表[可显性],"ERROR"),"")</f>
        <v/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5" t="str" cm="1">
        <f t="array" ref="Q35">_xlfn.IFS(表1_53[[#This Row],[配件1]]="","",表1_53[[#This Row],[文本丨算力丨算力值]]=0,"",表1_53[[#This Row],[文本丨算力丨算力值]]&lt;&gt;"","算力")</f>
        <v/>
      </c>
    </row>
    <row r="36" spans="2:17" x14ac:dyDescent="0.2">
      <c r="F36" t="str">
        <f>IF(表1_53[[#This Row],[配件1]]&lt;&gt;"",_xlfn.XLOOKUP(表1_53[[#This Row],[配件1]],显卡利益点对照表[型号],显卡利益点对照表[标题1],"ERROR"),"")</f>
        <v/>
      </c>
      <c r="G36" t="str">
        <f>IF(表1_53[[#This Row],[配件1]]&lt;&gt;"",_xlfn.XLOOKUP(表1_53[[#This Row],[配件1]],显卡利益点对照表[型号],显卡利益点对照表[标题2],"ERROR"),"")</f>
        <v/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6" t="str">
        <f>IF(表1_53[[#This Row],[配件1]]&lt;&gt;"",_xlfn.XLOOKUP(表1_53[[#This Row],[配件1]],显卡利益点对照表[型号],显卡利益点对照表[利益点1],"ERROR"),"")</f>
        <v/>
      </c>
      <c r="J36" t="str">
        <f>IF(表1_53[[#This Row],[配件1]]&lt;&gt;"",_xlfn.XLOOKUP(表1_53[[#This Row],[配件1]],显卡利益点对照表[型号],显卡利益点对照表[利益点2],"ERROR"),"")</f>
        <v/>
      </c>
      <c r="K36" t="str">
        <f>IF(表1_53[[#This Row],[配件1]]&lt;&gt;"",_xlfn.XLOOKUP(表1_53[[#This Row],[配件1]],显卡利益点对照表[型号],显卡利益点对照表[利益点3],"ERROR"),"")</f>
        <v/>
      </c>
      <c r="L36" t="str">
        <f>IF(表1_53[[#This Row],[配件1]]&lt;&gt;"",_xlfn.XLOOKUP(表1_53[[#This Row],[配件1]],显卡利益点对照表[型号],显卡利益点对照表[算力],"ERROR"),"")</f>
        <v/>
      </c>
      <c r="M36" t="str">
        <f>IF(表1_53[[#This Row],[配件1]]&lt;&gt;"",_xlfn.XLOOKUP(表1_53[[#This Row],[配件1]],显卡利益点对照表[型号],显卡利益点对照表[可显性],"ERROR"),"")</f>
        <v/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6" t="str" cm="1">
        <f t="array" ref="Q36">_xlfn.IFS(表1_53[[#This Row],[配件1]]="","",表1_53[[#This Row],[文本丨算力丨算力值]]=0,"",表1_53[[#This Row],[文本丨算力丨算力值]]&lt;&gt;"","算力")</f>
        <v/>
      </c>
    </row>
    <row r="37" spans="2:17" x14ac:dyDescent="0.2">
      <c r="F37" t="str">
        <f>IF(表1_53[[#This Row],[配件1]]&lt;&gt;"",_xlfn.XLOOKUP(表1_53[[#This Row],[配件1]],显卡利益点对照表[型号],显卡利益点对照表[标题1],"ERROR"),"")</f>
        <v/>
      </c>
      <c r="G37" t="str">
        <f>IF(表1_53[[#This Row],[配件1]]&lt;&gt;"",_xlfn.XLOOKUP(表1_53[[#This Row],[配件1]],显卡利益点对照表[型号],显卡利益点对照表[标题2],"ERROR"),"")</f>
        <v/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7" t="str">
        <f>IF(表1_53[[#This Row],[配件1]]&lt;&gt;"",_xlfn.XLOOKUP(表1_53[[#This Row],[配件1]],显卡利益点对照表[型号],显卡利益点对照表[利益点1],"ERROR"),"")</f>
        <v/>
      </c>
      <c r="J37" t="str">
        <f>IF(表1_53[[#This Row],[配件1]]&lt;&gt;"",_xlfn.XLOOKUP(表1_53[[#This Row],[配件1]],显卡利益点对照表[型号],显卡利益点对照表[利益点2],"ERROR"),"")</f>
        <v/>
      </c>
      <c r="K37" t="str">
        <f>IF(表1_53[[#This Row],[配件1]]&lt;&gt;"",_xlfn.XLOOKUP(表1_53[[#This Row],[配件1]],显卡利益点对照表[型号],显卡利益点对照表[利益点3],"ERROR"),"")</f>
        <v/>
      </c>
      <c r="L37" t="str">
        <f>IF(表1_53[[#This Row],[配件1]]&lt;&gt;"",_xlfn.XLOOKUP(表1_53[[#This Row],[配件1]],显卡利益点对照表[型号],显卡利益点对照表[算力],"ERROR"),"")</f>
        <v/>
      </c>
      <c r="M37" t="str">
        <f>IF(表1_53[[#This Row],[配件1]]&lt;&gt;"",_xlfn.XLOOKUP(表1_53[[#This Row],[配件1]],显卡利益点对照表[型号],显卡利益点对照表[可显性],"ERROR"),"")</f>
        <v/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7" t="str" cm="1">
        <f t="array" ref="Q37">_xlfn.IFS(表1_53[[#This Row],[配件1]]="","",表1_53[[#This Row],[文本丨算力丨算力值]]=0,"",表1_53[[#This Row],[文本丨算力丨算力值]]&lt;&gt;"","算力")</f>
        <v/>
      </c>
    </row>
    <row r="38" spans="2:17" x14ac:dyDescent="0.2">
      <c r="B38" s="22">
        <v>10148980474711</v>
      </c>
      <c r="C38" t="s">
        <v>266</v>
      </c>
      <c r="D38" t="s">
        <v>486</v>
      </c>
      <c r="F38" t="str">
        <f>IF(表1_53[[#This Row],[配件1]]&lt;&gt;"",_xlfn.XLOOKUP(表1_53[[#This Row],[配件1]],显卡利益点对照表[型号],显卡利益点对照表[标题1],"ERROR"),"")</f>
        <v>RTX5060 Ti</v>
      </c>
      <c r="G38" t="str">
        <f>IF(表1_53[[#This Row],[配件1]]&lt;&gt;"",_xlfn.XLOOKUP(表1_53[[#This Row],[配件1]],显卡利益点对照表[型号],显卡利益点对照表[标题2],"ERROR"),"")</f>
        <v>风魔 8G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38" t="str">
        <f>IF(表1_53[[#This Row],[配件1]]&lt;&gt;"",_xlfn.XLOOKUP(表1_53[[#This Row],[配件1]],显卡利益点对照表[型号],显卡利益点对照表[利益点1],"ERROR"),"")</f>
        <v>铜板+复合式热管</v>
      </c>
      <c r="J38" t="str">
        <f>IF(表1_53[[#This Row],[配件1]]&lt;&gt;"",_xlfn.XLOOKUP(表1_53[[#This Row],[配件1]],显卡利益点对照表[型号],显卡利益点对照表[利益点2],"ERROR"),"")</f>
        <v>精巧双风扇</v>
      </c>
      <c r="K38" t="str">
        <f>IF(表1_53[[#This Row],[配件1]]&lt;&gt;"",_xlfn.XLOOKUP(表1_53[[#This Row],[配件1]],显卡利益点对照表[型号],显卡利益点对照表[利益点3],"ERROR"),"")</f>
        <v>仿生降噪风扇</v>
      </c>
      <c r="L38" t="str">
        <f>IF(表1_53[[#This Row],[配件1]]&lt;&gt;"",_xlfn.XLOOKUP(表1_53[[#This Row],[配件1]],显卡利益点对照表[型号],显卡利益点对照表[算力],"ERROR"),"")</f>
        <v>AI算力759 TOPS</v>
      </c>
      <c r="M38" t="str">
        <f>IF(表1_53[[#This Row],[配件1]]&lt;&gt;"",_xlfn.XLOOKUP(表1_53[[#This Row],[配件1]],显卡利益点对照表[型号],显卡利益点对照表[可显性],"ERROR"),"")</f>
        <v>GV-N506TWF2-8GD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8" t="str" cm="1">
        <f t="array" ref="Q38">_xlfn.IFS(表1_53[[#This Row],[配件1]]="","",表1_53[[#This Row],[文本丨算力丨算力值]]=0,"",表1_53[[#This Row],[文本丨算力丨算力值]]&lt;&gt;"","算力")</f>
        <v>算力</v>
      </c>
    </row>
    <row r="39" spans="2:17" x14ac:dyDescent="0.2">
      <c r="B39" s="22">
        <v>10148980474712</v>
      </c>
      <c r="C39" t="s">
        <v>266</v>
      </c>
      <c r="D39" t="s">
        <v>278</v>
      </c>
      <c r="F39" t="str">
        <f>IF(表1_53[[#This Row],[配件1]]&lt;&gt;"",_xlfn.XLOOKUP(表1_53[[#This Row],[配件1]],显卡利益点对照表[型号],显卡利益点对照表[标题1],"ERROR"),"")</f>
        <v>RTX5060 Ti</v>
      </c>
      <c r="G39" t="str">
        <f>IF(表1_53[[#This Row],[配件1]]&lt;&gt;"",_xlfn.XLOOKUP(表1_53[[#This Row],[配件1]],显卡利益点对照表[型号],显卡利益点对照表[标题2],"ERROR"),"")</f>
        <v>风魔 8G</v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9" t="str">
        <f>IF(表1_53[[#This Row],[配件1]]&lt;&gt;"",_xlfn.XLOOKUP(表1_53[[#This Row],[配件1]],显卡利益点对照表[型号],显卡利益点对照表[利益点1],"ERROR"),"")</f>
        <v>铜板+复合式热管</v>
      </c>
      <c r="J39" t="str">
        <f>IF(表1_53[[#This Row],[配件1]]&lt;&gt;"",_xlfn.XLOOKUP(表1_53[[#This Row],[配件1]],显卡利益点对照表[型号],显卡利益点对照表[利益点2],"ERROR"),"")</f>
        <v>精巧双风扇</v>
      </c>
      <c r="K39" t="str">
        <f>IF(表1_53[[#This Row],[配件1]]&lt;&gt;"",_xlfn.XLOOKUP(表1_53[[#This Row],[配件1]],显卡利益点对照表[型号],显卡利益点对照表[利益点3],"ERROR"),"")</f>
        <v>仿生降噪风扇</v>
      </c>
      <c r="L39" t="str">
        <f>IF(表1_53[[#This Row],[配件1]]&lt;&gt;"",_xlfn.XLOOKUP(表1_53[[#This Row],[配件1]],显卡利益点对照表[型号],显卡利益点对照表[算力],"ERROR"),"")</f>
        <v>AI算力759 TOPS</v>
      </c>
      <c r="M39" t="str">
        <f>IF(表1_53[[#This Row],[配件1]]&lt;&gt;"",_xlfn.XLOOKUP(表1_53[[#This Row],[配件1]],显卡利益点对照表[型号],显卡利益点对照表[可显性],"ERROR"),"")</f>
        <v>GV-N506TWF2-8GD</v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9" t="str" cm="1">
        <f t="array" ref="Q39">_xlfn.IFS(表1_53[[#This Row],[配件1]]="","",表1_53[[#This Row],[文本丨算力丨算力值]]=0,"",表1_53[[#This Row],[文本丨算力丨算力值]]&lt;&gt;"","算力")</f>
        <v>算力</v>
      </c>
    </row>
    <row r="40" spans="2:17" x14ac:dyDescent="0.2">
      <c r="B40" s="22">
        <v>10076155580250</v>
      </c>
      <c r="C40" t="s">
        <v>275</v>
      </c>
      <c r="D40" t="s">
        <v>486</v>
      </c>
      <c r="F40" t="str">
        <f>IF(表1_53[[#This Row],[配件1]]&lt;&gt;"",_xlfn.XLOOKUP(表1_53[[#This Row],[配件1]],显卡利益点对照表[型号],显卡利益点对照表[标题1],"ERROR"),"")</f>
        <v>RTX5060 Ti</v>
      </c>
      <c r="G40" t="str">
        <f>IF(表1_53[[#This Row],[配件1]]&lt;&gt;"",_xlfn.XLOOKUP(表1_53[[#This Row],[配件1]],显卡利益点对照表[型号],显卡利益点对照表[标题2],"ERROR"),"")</f>
        <v>猎鹰 8G</v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40" t="str">
        <f>IF(表1_53[[#This Row],[配件1]]&lt;&gt;"",_xlfn.XLOOKUP(表1_53[[#This Row],[配件1]],显卡利益点对照表[型号],显卡利益点对照表[利益点1],"ERROR"),"")</f>
        <v>铜板+复合式热管</v>
      </c>
      <c r="J40" t="str">
        <f>IF(表1_53[[#This Row],[配件1]]&lt;&gt;"",_xlfn.XLOOKUP(表1_53[[#This Row],[配件1]],显卡利益点对照表[型号],显卡利益点对照表[利益点2],"ERROR"),"")</f>
        <v>精巧双风扇</v>
      </c>
      <c r="K40" t="str">
        <f>IF(表1_53[[#This Row],[配件1]]&lt;&gt;"",_xlfn.XLOOKUP(表1_53[[#This Row],[配件1]],显卡利益点对照表[型号],显卡利益点对照表[利益点3],"ERROR"),"")</f>
        <v>仿生降噪风扇</v>
      </c>
      <c r="L40" t="str">
        <f>IF(表1_53[[#This Row],[配件1]]&lt;&gt;"",_xlfn.XLOOKUP(表1_53[[#This Row],[配件1]],显卡利益点对照表[型号],显卡利益点对照表[算力],"ERROR"),"")</f>
        <v>AI算力759 TOPS</v>
      </c>
      <c r="M40" t="str">
        <f>IF(表1_53[[#This Row],[配件1]]&lt;&gt;"",_xlfn.XLOOKUP(表1_53[[#This Row],[配件1]],显卡利益点对照表[型号],显卡利益点对照表[可显性],"ERROR"),"")</f>
        <v>GV-N506TEAGLE OC-16GD</v>
      </c>
      <c r="N40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0" t="str" cm="1">
        <f t="array" ref="Q40">_xlfn.IFS(表1_53[[#This Row],[配件1]]="","",表1_53[[#This Row],[文本丨算力丨算力值]]=0,"",表1_53[[#This Row],[文本丨算力丨算力值]]&lt;&gt;"","算力")</f>
        <v>算力</v>
      </c>
    </row>
    <row r="41" spans="2:17" x14ac:dyDescent="0.2">
      <c r="B41" s="22">
        <v>10098325451766</v>
      </c>
      <c r="C41" t="s">
        <v>275</v>
      </c>
      <c r="D41" t="s">
        <v>278</v>
      </c>
      <c r="F41" t="str">
        <f>IF(表1_53[[#This Row],[配件1]]&lt;&gt;"",_xlfn.XLOOKUP(表1_53[[#This Row],[配件1]],显卡利益点对照表[型号],显卡利益点对照表[标题1],"ERROR"),"")</f>
        <v>RTX5060 Ti</v>
      </c>
      <c r="G41" t="str">
        <f>IF(表1_53[[#This Row],[配件1]]&lt;&gt;"",_xlfn.XLOOKUP(表1_53[[#This Row],[配件1]],显卡利益点对照表[型号],显卡利益点对照表[标题2],"ERROR"),"")</f>
        <v>猎鹰 8G</v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1" t="str">
        <f>IF(表1_53[[#This Row],[配件1]]&lt;&gt;"",_xlfn.XLOOKUP(表1_53[[#This Row],[配件1]],显卡利益点对照表[型号],显卡利益点对照表[利益点1],"ERROR"),"")</f>
        <v>铜板+复合式热管</v>
      </c>
      <c r="J41" t="str">
        <f>IF(表1_53[[#This Row],[配件1]]&lt;&gt;"",_xlfn.XLOOKUP(表1_53[[#This Row],[配件1]],显卡利益点对照表[型号],显卡利益点对照表[利益点2],"ERROR"),"")</f>
        <v>精巧双风扇</v>
      </c>
      <c r="K41" t="str">
        <f>IF(表1_53[[#This Row],[配件1]]&lt;&gt;"",_xlfn.XLOOKUP(表1_53[[#This Row],[配件1]],显卡利益点对照表[型号],显卡利益点对照表[利益点3],"ERROR"),"")</f>
        <v>仿生降噪风扇</v>
      </c>
      <c r="L41" t="str">
        <f>IF(表1_53[[#This Row],[配件1]]&lt;&gt;"",_xlfn.XLOOKUP(表1_53[[#This Row],[配件1]],显卡利益点对照表[型号],显卡利益点对照表[算力],"ERROR"),"")</f>
        <v>AI算力759 TOPS</v>
      </c>
      <c r="M41" t="str">
        <f>IF(表1_53[[#This Row],[配件1]]&lt;&gt;"",_xlfn.XLOOKUP(表1_53[[#This Row],[配件1]],显卡利益点对照表[型号],显卡利益点对照表[可显性],"ERROR"),"")</f>
        <v>GV-N506TEAGLE OC-16GD</v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1" t="str" cm="1">
        <f t="array" ref="Q41">_xlfn.IFS(表1_53[[#This Row],[配件1]]="","",表1_53[[#This Row],[文本丨算力丨算力值]]=0,"",表1_53[[#This Row],[文本丨算力丨算力值]]&lt;&gt;"","算力")</f>
        <v>算力</v>
      </c>
    </row>
    <row r="42" spans="2:17" x14ac:dyDescent="0.2">
      <c r="B42" s="22">
        <v>10164254379475</v>
      </c>
      <c r="C42" s="27" t="s">
        <v>567</v>
      </c>
      <c r="D42" t="s">
        <v>486</v>
      </c>
      <c r="F42" t="str">
        <f>IF(表1_53[[#This Row],[配件1]]&lt;&gt;"",_xlfn.XLOOKUP(表1_53[[#This Row],[配件1]],显卡利益点对照表[型号],显卡利益点对照表[标题1],"ERROR"),"")</f>
        <v>RTX5060 Ti</v>
      </c>
      <c r="G42" t="str">
        <f>IF(表1_53[[#This Row],[配件1]]&lt;&gt;"",_xlfn.XLOOKUP(表1_53[[#This Row],[配件1]],显卡利益点对照表[型号],显卡利益点对照表[标题2],"ERROR"),"")</f>
        <v>猎鹰 8G</v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42" t="str">
        <f>IF(表1_53[[#This Row],[配件1]]&lt;&gt;"",_xlfn.XLOOKUP(表1_53[[#This Row],[配件1]],显卡利益点对照表[型号],显卡利益点对照表[利益点1],"ERROR"),"")</f>
        <v>铜板+复合式热管</v>
      </c>
      <c r="J42" t="str">
        <f>IF(表1_53[[#This Row],[配件1]]&lt;&gt;"",_xlfn.XLOOKUP(表1_53[[#This Row],[配件1]],显卡利益点对照表[型号],显卡利益点对照表[利益点2],"ERROR"),"")</f>
        <v>正逆转三风扇</v>
      </c>
      <c r="K42" t="str">
        <f>IF(表1_53[[#This Row],[配件1]]&lt;&gt;"",_xlfn.XLOOKUP(表1_53[[#This Row],[配件1]],显卡利益点对照表[型号],显卡利益点对照表[利益点3],"ERROR"),"")</f>
        <v>仿生降噪风扇</v>
      </c>
      <c r="L42" t="str">
        <f>IF(表1_53[[#This Row],[配件1]]&lt;&gt;"",_xlfn.XLOOKUP(表1_53[[#This Row],[配件1]],显卡利益点对照表[型号],显卡利益点对照表[算力],"ERROR"),"")</f>
        <v>AI算力759 TOPS</v>
      </c>
      <c r="M42" t="str">
        <f>IF(表1_53[[#This Row],[配件1]]&lt;&gt;"",_xlfn.XLOOKUP(表1_53[[#This Row],[配件1]],显卡利益点对照表[型号],显卡利益点对照表[可显性],"ERROR"),"")</f>
        <v>GV-N506TEAGLEMAX OC-8GD</v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2" t="str" cm="1">
        <f t="array" ref="Q42">_xlfn.IFS(表1_53[[#This Row],[配件1]]="","",表1_53[[#This Row],[文本丨算力丨算力值]]=0,"",表1_53[[#This Row],[文本丨算力丨算力值]]&lt;&gt;"","算力")</f>
        <v>算力</v>
      </c>
    </row>
    <row r="43" spans="2:17" x14ac:dyDescent="0.2">
      <c r="B43" s="22" t="s">
        <v>569</v>
      </c>
      <c r="C43" s="27" t="s">
        <v>567</v>
      </c>
      <c r="D43" t="s">
        <v>278</v>
      </c>
      <c r="F43" t="str">
        <f>IF(表1_53[[#This Row],[配件1]]&lt;&gt;"",_xlfn.XLOOKUP(表1_53[[#This Row],[配件1]],显卡利益点对照表[型号],显卡利益点对照表[标题1],"ERROR"),"")</f>
        <v>RTX5060 Ti</v>
      </c>
      <c r="G43" t="str">
        <f>IF(表1_53[[#This Row],[配件1]]&lt;&gt;"",_xlfn.XLOOKUP(表1_53[[#This Row],[配件1]],显卡利益点对照表[型号],显卡利益点对照表[标题2],"ERROR"),"")</f>
        <v>猎鹰 8G</v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3" t="str">
        <f>IF(表1_53[[#This Row],[配件1]]&lt;&gt;"",_xlfn.XLOOKUP(表1_53[[#This Row],[配件1]],显卡利益点对照表[型号],显卡利益点对照表[利益点1],"ERROR"),"")</f>
        <v>铜板+复合式热管</v>
      </c>
      <c r="J43" t="str">
        <f>IF(表1_53[[#This Row],[配件1]]&lt;&gt;"",_xlfn.XLOOKUP(表1_53[[#This Row],[配件1]],显卡利益点对照表[型号],显卡利益点对照表[利益点2],"ERROR"),"")</f>
        <v>正逆转三风扇</v>
      </c>
      <c r="K43" t="str">
        <f>IF(表1_53[[#This Row],[配件1]]&lt;&gt;"",_xlfn.XLOOKUP(表1_53[[#This Row],[配件1]],显卡利益点对照表[型号],显卡利益点对照表[利益点3],"ERROR"),"")</f>
        <v>仿生降噪风扇</v>
      </c>
      <c r="L43" t="str">
        <f>IF(表1_53[[#This Row],[配件1]]&lt;&gt;"",_xlfn.XLOOKUP(表1_53[[#This Row],[配件1]],显卡利益点对照表[型号],显卡利益点对照表[算力],"ERROR"),"")</f>
        <v>AI算力759 TOPS</v>
      </c>
      <c r="M43" t="str">
        <f>IF(表1_53[[#This Row],[配件1]]&lt;&gt;"",_xlfn.XLOOKUP(表1_53[[#This Row],[配件1]],显卡利益点对照表[型号],显卡利益点对照表[可显性],"ERROR"),"")</f>
        <v>GV-N506TEAGLEMAX OC-8GD</v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3" t="str" cm="1">
        <f t="array" ref="Q43">_xlfn.IFS(表1_53[[#This Row],[配件1]]="","",表1_53[[#This Row],[文本丨算力丨算力值]]=0,"",表1_53[[#This Row],[文本丨算力丨算力值]]&lt;&gt;"","算力")</f>
        <v>算力</v>
      </c>
    </row>
    <row r="44" spans="2:17" x14ac:dyDescent="0.2">
      <c r="B44" s="22">
        <v>10148980474713</v>
      </c>
      <c r="C44" t="s">
        <v>274</v>
      </c>
      <c r="D44" t="s">
        <v>486</v>
      </c>
      <c r="F44" t="str">
        <f>IF(表1_53[[#This Row],[配件1]]&lt;&gt;"",_xlfn.XLOOKUP(表1_53[[#This Row],[配件1]],显卡利益点对照表[型号],显卡利益点对照表[标题1],"ERROR"),"")</f>
        <v>RTX5060 Ti</v>
      </c>
      <c r="G44" t="str">
        <f>IF(表1_53[[#This Row],[配件1]]&lt;&gt;"",_xlfn.XLOOKUP(表1_53[[#This Row],[配件1]],显卡利益点对照表[型号],显卡利益点对照表[标题2],"ERROR"),"")</f>
        <v>冰猎鹰 8G</v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44" t="str">
        <f>IF(表1_53[[#This Row],[配件1]]&lt;&gt;"",_xlfn.XLOOKUP(表1_53[[#This Row],[配件1]],显卡利益点对照表[型号],显卡利益点对照表[利益点1],"ERROR"),"")</f>
        <v>铜板+复合式热管</v>
      </c>
      <c r="J44" t="str">
        <f>IF(表1_53[[#This Row],[配件1]]&lt;&gt;"",_xlfn.XLOOKUP(表1_53[[#This Row],[配件1]],显卡利益点对照表[型号],显卡利益点对照表[利益点2],"ERROR"),"")</f>
        <v>精巧双风扇</v>
      </c>
      <c r="K44" t="str">
        <f>IF(表1_53[[#This Row],[配件1]]&lt;&gt;"",_xlfn.XLOOKUP(表1_53[[#This Row],[配件1]],显卡利益点对照表[型号],显卡利益点对照表[利益点3],"ERROR"),"")</f>
        <v>仿生降噪风扇</v>
      </c>
      <c r="L44" t="str">
        <f>IF(表1_53[[#This Row],[配件1]]&lt;&gt;"",_xlfn.XLOOKUP(表1_53[[#This Row],[配件1]],显卡利益点对照表[型号],显卡利益点对照表[算力],"ERROR"),"")</f>
        <v>AI算力759 TOPS</v>
      </c>
      <c r="M44" t="str">
        <f>IF(表1_53[[#This Row],[配件1]]&lt;&gt;"",_xlfn.XLOOKUP(表1_53[[#This Row],[配件1]],显卡利益点对照表[型号],显卡利益点对照表[可显性],"ERROR"),"")</f>
        <v>GV-N506TEAGLE OC ICE-16GD</v>
      </c>
      <c r="N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4" t="str" cm="1">
        <f t="array" ref="Q44">_xlfn.IFS(表1_53[[#This Row],[配件1]]="","",表1_53[[#This Row],[文本丨算力丨算力值]]=0,"",表1_53[[#This Row],[文本丨算力丨算力值]]&lt;&gt;"","算力")</f>
        <v>算力</v>
      </c>
    </row>
    <row r="45" spans="2:17" x14ac:dyDescent="0.2">
      <c r="B45" s="22">
        <v>10148980474714</v>
      </c>
      <c r="C45" t="s">
        <v>274</v>
      </c>
      <c r="D45" t="s">
        <v>209</v>
      </c>
      <c r="F45" t="str">
        <f>IF(表1_53[[#This Row],[配件1]]&lt;&gt;"",_xlfn.XLOOKUP(表1_53[[#This Row],[配件1]],显卡利益点对照表[型号],显卡利益点对照表[标题1],"ERROR"),"")</f>
        <v>RTX5060 Ti</v>
      </c>
      <c r="G45" t="str">
        <f>IF(表1_53[[#This Row],[配件1]]&lt;&gt;"",_xlfn.XLOOKUP(表1_53[[#This Row],[配件1]],显卡利益点对照表[型号],显卡利益点对照表[标题2],"ERROR"),"")</f>
        <v>冰猎鹰 8G</v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5" t="str">
        <f>IF(表1_53[[#This Row],[配件1]]&lt;&gt;"",_xlfn.XLOOKUP(表1_53[[#This Row],[配件1]],显卡利益点对照表[型号],显卡利益点对照表[利益点1],"ERROR"),"")</f>
        <v>铜板+复合式热管</v>
      </c>
      <c r="J45" t="str">
        <f>IF(表1_53[[#This Row],[配件1]]&lt;&gt;"",_xlfn.XLOOKUP(表1_53[[#This Row],[配件1]],显卡利益点对照表[型号],显卡利益点对照表[利益点2],"ERROR"),"")</f>
        <v>精巧双风扇</v>
      </c>
      <c r="K45" t="str">
        <f>IF(表1_53[[#This Row],[配件1]]&lt;&gt;"",_xlfn.XLOOKUP(表1_53[[#This Row],[配件1]],显卡利益点对照表[型号],显卡利益点对照表[利益点3],"ERROR"),"")</f>
        <v>仿生降噪风扇</v>
      </c>
      <c r="L45" t="str">
        <f>IF(表1_53[[#This Row],[配件1]]&lt;&gt;"",_xlfn.XLOOKUP(表1_53[[#This Row],[配件1]],显卡利益点对照表[型号],显卡利益点对照表[算力],"ERROR"),"")</f>
        <v>AI算力759 TOPS</v>
      </c>
      <c r="M45" t="str">
        <f>IF(表1_53[[#This Row],[配件1]]&lt;&gt;"",_xlfn.XLOOKUP(表1_53[[#This Row],[配件1]],显卡利益点对照表[型号],显卡利益点对照表[可显性],"ERROR"),"")</f>
        <v>GV-N506TEAGLE OC ICE-16GD</v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5" t="str" cm="1">
        <f t="array" ref="Q45">_xlfn.IFS(表1_53[[#This Row],[配件1]]="","",表1_53[[#This Row],[文本丨算力丨算力值]]=0,"",表1_53[[#This Row],[文本丨算力丨算力值]]&lt;&gt;"","算力")</f>
        <v>算力</v>
      </c>
    </row>
    <row r="46" spans="2:17" x14ac:dyDescent="0.2">
      <c r="B46" s="22">
        <v>10076155580252</v>
      </c>
      <c r="C46" t="s">
        <v>271</v>
      </c>
      <c r="D46" t="s">
        <v>486</v>
      </c>
      <c r="F46" t="str">
        <f>IF(表1_53[[#This Row],[配件1]]&lt;&gt;"",_xlfn.XLOOKUP(表1_53[[#This Row],[配件1]],显卡利益点对照表[型号],显卡利益点对照表[标题1],"ERROR"),"")</f>
        <v>RTX5060 Ti</v>
      </c>
      <c r="G46" t="str">
        <f>IF(表1_53[[#This Row],[配件1]]&lt;&gt;"",_xlfn.XLOOKUP(表1_53[[#This Row],[配件1]],显卡利益点对照表[型号],显卡利益点对照表[标题2],"ERROR"),"")</f>
        <v>魔鹰 8G</v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46" t="str">
        <f>IF(表1_53[[#This Row],[配件1]]&lt;&gt;"",_xlfn.XLOOKUP(表1_53[[#This Row],[配件1]],显卡利益点对照表[型号],显卡利益点对照表[利益点1],"ERROR"),"")</f>
        <v>铜板+复合式热管</v>
      </c>
      <c r="J46" t="str">
        <f>IF(表1_53[[#This Row],[配件1]]&lt;&gt;"",_xlfn.XLOOKUP(表1_53[[#This Row],[配件1]],显卡利益点对照表[型号],显卡利益点对照表[利益点2],"ERROR"),"")</f>
        <v>RGB滑动侧板</v>
      </c>
      <c r="K46" t="str">
        <f>IF(表1_53[[#This Row],[配件1]]&lt;&gt;"",_xlfn.XLOOKUP(表1_53[[#This Row],[配件1]],显卡利益点对照表[型号],显卡利益点对照表[利益点3],"ERROR"),"")</f>
        <v>正逆转三风扇</v>
      </c>
      <c r="L46" t="str">
        <f>IF(表1_53[[#This Row],[配件1]]&lt;&gt;"",_xlfn.XLOOKUP(表1_53[[#This Row],[配件1]],显卡利益点对照表[型号],显卡利益点对照表[算力],"ERROR"),"")</f>
        <v>AI算力759 TOPS</v>
      </c>
      <c r="M46" t="str">
        <f>IF(表1_53[[#This Row],[配件1]]&lt;&gt;"",_xlfn.XLOOKUP(表1_53[[#This Row],[配件1]],显卡利益点对照表[型号],显卡利益点对照表[可显性],"ERROR"),"")</f>
        <v>GV-N506TGAMING OC-16GD</v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6" t="str" cm="1">
        <f t="array" ref="Q46">_xlfn.IFS(表1_53[[#This Row],[配件1]]="","",表1_53[[#This Row],[文本丨算力丨算力值]]=0,"",表1_53[[#This Row],[文本丨算力丨算力值]]&lt;&gt;"","算力")</f>
        <v>算力</v>
      </c>
    </row>
    <row r="47" spans="2:17" x14ac:dyDescent="0.2">
      <c r="B47" s="22">
        <v>10098325451768</v>
      </c>
      <c r="C47" t="s">
        <v>271</v>
      </c>
      <c r="D47" t="s">
        <v>278</v>
      </c>
      <c r="F47" t="str">
        <f>IF(表1_53[[#This Row],[配件1]]&lt;&gt;"",_xlfn.XLOOKUP(表1_53[[#This Row],[配件1]],显卡利益点对照表[型号],显卡利益点对照表[标题1],"ERROR"),"")</f>
        <v>RTX5060 Ti</v>
      </c>
      <c r="G47" t="str">
        <f>IF(表1_53[[#This Row],[配件1]]&lt;&gt;"",_xlfn.XLOOKUP(表1_53[[#This Row],[配件1]],显卡利益点对照表[型号],显卡利益点对照表[标题2],"ERROR"),"")</f>
        <v>魔鹰 8G</v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7" t="str">
        <f>IF(表1_53[[#This Row],[配件1]]&lt;&gt;"",_xlfn.XLOOKUP(表1_53[[#This Row],[配件1]],显卡利益点对照表[型号],显卡利益点对照表[利益点1],"ERROR"),"")</f>
        <v>铜板+复合式热管</v>
      </c>
      <c r="J47" t="str">
        <f>IF(表1_53[[#This Row],[配件1]]&lt;&gt;"",_xlfn.XLOOKUP(表1_53[[#This Row],[配件1]],显卡利益点对照表[型号],显卡利益点对照表[利益点2],"ERROR"),"")</f>
        <v>RGB滑动侧板</v>
      </c>
      <c r="K47" t="str">
        <f>IF(表1_53[[#This Row],[配件1]]&lt;&gt;"",_xlfn.XLOOKUP(表1_53[[#This Row],[配件1]],显卡利益点对照表[型号],显卡利益点对照表[利益点3],"ERROR"),"")</f>
        <v>正逆转三风扇</v>
      </c>
      <c r="L47" t="str">
        <f>IF(表1_53[[#This Row],[配件1]]&lt;&gt;"",_xlfn.XLOOKUP(表1_53[[#This Row],[配件1]],显卡利益点对照表[型号],显卡利益点对照表[算力],"ERROR"),"")</f>
        <v>AI算力759 TOPS</v>
      </c>
      <c r="M47" t="str">
        <f>IF(表1_53[[#This Row],[配件1]]&lt;&gt;"",_xlfn.XLOOKUP(表1_53[[#This Row],[配件1]],显卡利益点对照表[型号],显卡利益点对照表[可显性],"ERROR"),"")</f>
        <v>GV-N506TGAMING OC-16GD</v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7" t="str" cm="1">
        <f t="array" ref="Q47">_xlfn.IFS(表1_53[[#This Row],[配件1]]="","",表1_53[[#This Row],[文本丨算力丨算力值]]=0,"",表1_53[[#This Row],[文本丨算力丨算力值]]&lt;&gt;"","算力")</f>
        <v>算力</v>
      </c>
    </row>
    <row r="48" spans="2:17" x14ac:dyDescent="0.2">
      <c r="B48" s="22">
        <v>10076155580254</v>
      </c>
      <c r="C48" t="s">
        <v>269</v>
      </c>
      <c r="D48" t="s">
        <v>486</v>
      </c>
      <c r="F48" t="str">
        <f>IF(表1_53[[#This Row],[配件1]]&lt;&gt;"",_xlfn.XLOOKUP(表1_53[[#This Row],[配件1]],显卡利益点对照表[型号],显卡利益点对照表[标题1],"ERROR"),"")</f>
        <v>RTX5060 Ti</v>
      </c>
      <c r="G48" t="str">
        <f>IF(表1_53[[#This Row],[配件1]]&lt;&gt;"",_xlfn.XLOOKUP(表1_53[[#This Row],[配件1]],显卡利益点对照表[型号],显卡利益点对照表[标题2],"ERROR"),"")</f>
        <v>雪鹰 8G</v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48" t="str">
        <f>IF(表1_53[[#This Row],[配件1]]&lt;&gt;"",_xlfn.XLOOKUP(表1_53[[#This Row],[配件1]],显卡利益点对照表[型号],显卡利益点对照表[利益点1],"ERROR"),"")</f>
        <v>铜板+复合式热管</v>
      </c>
      <c r="J48" t="str">
        <f>IF(表1_53[[#This Row],[配件1]]&lt;&gt;"",_xlfn.XLOOKUP(表1_53[[#This Row],[配件1]],显卡利益点对照表[型号],显卡利益点对照表[利益点2],"ERROR"),"")</f>
        <v>银白雪装外观</v>
      </c>
      <c r="K48" t="str">
        <f>IF(表1_53[[#This Row],[配件1]]&lt;&gt;"",_xlfn.XLOOKUP(表1_53[[#This Row],[配件1]],显卡利益点对照表[型号],显卡利益点对照表[利益点3],"ERROR"),"")</f>
        <v>正逆转三风扇</v>
      </c>
      <c r="L48" t="str">
        <f>IF(表1_53[[#This Row],[配件1]]&lt;&gt;"",_xlfn.XLOOKUP(表1_53[[#This Row],[配件1]],显卡利益点对照表[型号],显卡利益点对照表[算力],"ERROR"),"")</f>
        <v>AI算力759 TOPS</v>
      </c>
      <c r="M48" t="str">
        <f>IF(表1_53[[#This Row],[配件1]]&lt;&gt;"",_xlfn.XLOOKUP(表1_53[[#This Row],[配件1]],显卡利益点对照表[型号],显卡利益点对照表[可显性],"ERROR"),"")</f>
        <v>GV-N506TAERO OC-16GD</v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8" t="str" cm="1">
        <f t="array" ref="Q48">_xlfn.IFS(表1_53[[#This Row],[配件1]]="","",表1_53[[#This Row],[文本丨算力丨算力值]]=0,"",表1_53[[#This Row],[文本丨算力丨算力值]]&lt;&gt;"","算力")</f>
        <v>算力</v>
      </c>
    </row>
    <row r="49" spans="2:17" x14ac:dyDescent="0.2">
      <c r="B49" s="22">
        <v>10098325451769</v>
      </c>
      <c r="C49" t="s">
        <v>269</v>
      </c>
      <c r="D49" t="s">
        <v>209</v>
      </c>
      <c r="F49" t="str">
        <f>IF(表1_53[[#This Row],[配件1]]&lt;&gt;"",_xlfn.XLOOKUP(表1_53[[#This Row],[配件1]],显卡利益点对照表[型号],显卡利益点对照表[标题1],"ERROR"),"")</f>
        <v>RTX5060 Ti</v>
      </c>
      <c r="G49" t="str">
        <f>IF(表1_53[[#This Row],[配件1]]&lt;&gt;"",_xlfn.XLOOKUP(表1_53[[#This Row],[配件1]],显卡利益点对照表[型号],显卡利益点对照表[标题2],"ERROR"),"")</f>
        <v>雪鹰 8G</v>
      </c>
      <c r="H4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9" t="str">
        <f>IF(表1_53[[#This Row],[配件1]]&lt;&gt;"",_xlfn.XLOOKUP(表1_53[[#This Row],[配件1]],显卡利益点对照表[型号],显卡利益点对照表[利益点1],"ERROR"),"")</f>
        <v>铜板+复合式热管</v>
      </c>
      <c r="J49" t="str">
        <f>IF(表1_53[[#This Row],[配件1]]&lt;&gt;"",_xlfn.XLOOKUP(表1_53[[#This Row],[配件1]],显卡利益点对照表[型号],显卡利益点对照表[利益点2],"ERROR"),"")</f>
        <v>银白雪装外观</v>
      </c>
      <c r="K49" t="str">
        <f>IF(表1_53[[#This Row],[配件1]]&lt;&gt;"",_xlfn.XLOOKUP(表1_53[[#This Row],[配件1]],显卡利益点对照表[型号],显卡利益点对照表[利益点3],"ERROR"),"")</f>
        <v>正逆转三风扇</v>
      </c>
      <c r="L49" t="str">
        <f>IF(表1_53[[#This Row],[配件1]]&lt;&gt;"",_xlfn.XLOOKUP(表1_53[[#This Row],[配件1]],显卡利益点对照表[型号],显卡利益点对照表[算力],"ERROR"),"")</f>
        <v>AI算力759 TOPS</v>
      </c>
      <c r="M49" t="str">
        <f>IF(表1_53[[#This Row],[配件1]]&lt;&gt;"",_xlfn.XLOOKUP(表1_53[[#This Row],[配件1]],显卡利益点对照表[型号],显卡利益点对照表[可显性],"ERROR"),"")</f>
        <v>GV-N506TAERO OC-16GD</v>
      </c>
      <c r="N4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9" t="str" cm="1">
        <f t="array" ref="Q49">_xlfn.IFS(表1_53[[#This Row],[配件1]]="","",表1_53[[#This Row],[文本丨算力丨算力值]]=0,"",表1_53[[#This Row],[文本丨算力丨算力值]]&lt;&gt;"","算力")</f>
        <v>算力</v>
      </c>
    </row>
    <row r="50" spans="2:17" x14ac:dyDescent="0.2">
      <c r="B50" s="22">
        <v>10076155580248</v>
      </c>
      <c r="C50" t="s">
        <v>270</v>
      </c>
      <c r="D50" t="s">
        <v>486</v>
      </c>
      <c r="F50" t="str">
        <f>IF(表1_53[[#This Row],[配件1]]&lt;&gt;"",_xlfn.XLOOKUP(表1_53[[#This Row],[配件1]],显卡利益点对照表[型号],显卡利益点对照表[标题1],"ERROR"),"")</f>
        <v>RTX5060 Ti</v>
      </c>
      <c r="G50" t="str">
        <f>IF(表1_53[[#This Row],[配件1]]&lt;&gt;"",_xlfn.XLOOKUP(表1_53[[#This Row],[配件1]],显卡利益点对照表[型号],显卡利益点对照表[标题2],"ERROR"),"")</f>
        <v>风魔16G</v>
      </c>
      <c r="H5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50" t="str">
        <f>IF(表1_53[[#This Row],[配件1]]&lt;&gt;"",_xlfn.XLOOKUP(表1_53[[#This Row],[配件1]],显卡利益点对照表[型号],显卡利益点对照表[利益点1],"ERROR"),"")</f>
        <v>铜板+复合式热管</v>
      </c>
      <c r="J50" t="str">
        <f>IF(表1_53[[#This Row],[配件1]]&lt;&gt;"",_xlfn.XLOOKUP(表1_53[[#This Row],[配件1]],显卡利益点对照表[型号],显卡利益点对照表[利益点2],"ERROR"),"")</f>
        <v>精巧双风扇</v>
      </c>
      <c r="K50" t="str">
        <f>IF(表1_53[[#This Row],[配件1]]&lt;&gt;"",_xlfn.XLOOKUP(表1_53[[#This Row],[配件1]],显卡利益点对照表[型号],显卡利益点对照表[利益点3],"ERROR"),"")</f>
        <v>16G大显存</v>
      </c>
      <c r="L50" t="str">
        <f>IF(表1_53[[#This Row],[配件1]]&lt;&gt;"",_xlfn.XLOOKUP(表1_53[[#This Row],[配件1]],显卡利益点对照表[型号],显卡利益点对照表[算力],"ERROR"),"")</f>
        <v>AI算力759 TOPS</v>
      </c>
      <c r="M50" t="str">
        <f>IF(表1_53[[#This Row],[配件1]]&lt;&gt;"",_xlfn.XLOOKUP(表1_53[[#This Row],[配件1]],显卡利益点对照表[型号],显卡利益点对照表[可显性],"ERROR"),"")</f>
        <v>GV-N506TWF2-16GD</v>
      </c>
      <c r="N5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0" t="str" cm="1">
        <f t="array" ref="Q50">_xlfn.IFS(表1_53[[#This Row],[配件1]]="","",表1_53[[#This Row],[文本丨算力丨算力值]]=0,"",表1_53[[#This Row],[文本丨算力丨算力值]]&lt;&gt;"","算力")</f>
        <v>算力</v>
      </c>
    </row>
    <row r="51" spans="2:17" x14ac:dyDescent="0.2">
      <c r="B51" s="22">
        <v>10098325451770</v>
      </c>
      <c r="C51" t="s">
        <v>270</v>
      </c>
      <c r="D51" t="s">
        <v>278</v>
      </c>
      <c r="F51" t="str">
        <f>IF(表1_53[[#This Row],[配件1]]&lt;&gt;"",_xlfn.XLOOKUP(表1_53[[#This Row],[配件1]],显卡利益点对照表[型号],显卡利益点对照表[标题1],"ERROR"),"")</f>
        <v>RTX5060 Ti</v>
      </c>
      <c r="G51" t="str">
        <f>IF(表1_53[[#This Row],[配件1]]&lt;&gt;"",_xlfn.XLOOKUP(表1_53[[#This Row],[配件1]],显卡利益点对照表[型号],显卡利益点对照表[标题2],"ERROR"),"")</f>
        <v>风魔16G</v>
      </c>
      <c r="H5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1" t="str">
        <f>IF(表1_53[[#This Row],[配件1]]&lt;&gt;"",_xlfn.XLOOKUP(表1_53[[#This Row],[配件1]],显卡利益点对照表[型号],显卡利益点对照表[利益点1],"ERROR"),"")</f>
        <v>铜板+复合式热管</v>
      </c>
      <c r="J51" t="str">
        <f>IF(表1_53[[#This Row],[配件1]]&lt;&gt;"",_xlfn.XLOOKUP(表1_53[[#This Row],[配件1]],显卡利益点对照表[型号],显卡利益点对照表[利益点2],"ERROR"),"")</f>
        <v>精巧双风扇</v>
      </c>
      <c r="K51" t="str">
        <f>IF(表1_53[[#This Row],[配件1]]&lt;&gt;"",_xlfn.XLOOKUP(表1_53[[#This Row],[配件1]],显卡利益点对照表[型号],显卡利益点对照表[利益点3],"ERROR"),"")</f>
        <v>16G大显存</v>
      </c>
      <c r="L51" t="str">
        <f>IF(表1_53[[#This Row],[配件1]]&lt;&gt;"",_xlfn.XLOOKUP(表1_53[[#This Row],[配件1]],显卡利益点对照表[型号],显卡利益点对照表[算力],"ERROR"),"")</f>
        <v>AI算力759 TOPS</v>
      </c>
      <c r="M51" t="str">
        <f>IF(表1_53[[#This Row],[配件1]]&lt;&gt;"",_xlfn.XLOOKUP(表1_53[[#This Row],[配件1]],显卡利益点对照表[型号],显卡利益点对照表[可显性],"ERROR"),"")</f>
        <v>GV-N506TWF2-16GD</v>
      </c>
      <c r="N5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1" t="str" cm="1">
        <f t="array" ref="Q51">_xlfn.IFS(表1_53[[#This Row],[配件1]]="","",表1_53[[#This Row],[文本丨算力丨算力值]]=0,"",表1_53[[#This Row],[文本丨算力丨算力值]]&lt;&gt;"","算力")</f>
        <v>算力</v>
      </c>
    </row>
    <row r="52" spans="2:17" x14ac:dyDescent="0.2">
      <c r="B52" s="22">
        <v>10148977887434</v>
      </c>
      <c r="C52" t="s">
        <v>277</v>
      </c>
      <c r="D52" t="s">
        <v>486</v>
      </c>
      <c r="F52" t="str">
        <f>IF(表1_53[[#This Row],[配件1]]&lt;&gt;"",_xlfn.XLOOKUP(表1_53[[#This Row],[配件1]],显卡利益点对照表[型号],显卡利益点对照表[标题1],"ERROR"),"")</f>
        <v>RTX5060 Ti</v>
      </c>
      <c r="G52" t="str">
        <f>IF(表1_53[[#This Row],[配件1]]&lt;&gt;"",_xlfn.XLOOKUP(表1_53[[#This Row],[配件1]],显卡利益点对照表[型号],显卡利益点对照表[标题2],"ERROR"),"")</f>
        <v>猎鹰 16G</v>
      </c>
      <c r="H5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52" t="str">
        <f>IF(表1_53[[#This Row],[配件1]]&lt;&gt;"",_xlfn.XLOOKUP(表1_53[[#This Row],[配件1]],显卡利益点对照表[型号],显卡利益点对照表[利益点1],"ERROR"),"")</f>
        <v>铜板+复合式热管</v>
      </c>
      <c r="J52" t="str">
        <f>IF(表1_53[[#This Row],[配件1]]&lt;&gt;"",_xlfn.XLOOKUP(表1_53[[#This Row],[配件1]],显卡利益点对照表[型号],显卡利益点对照表[利益点2],"ERROR"),"")</f>
        <v>精巧双风扇</v>
      </c>
      <c r="K52" t="str">
        <f>IF(表1_53[[#This Row],[配件1]]&lt;&gt;"",_xlfn.XLOOKUP(表1_53[[#This Row],[配件1]],显卡利益点对照表[型号],显卡利益点对照表[利益点3],"ERROR"),"")</f>
        <v>16G大显存</v>
      </c>
      <c r="L52" t="str">
        <f>IF(表1_53[[#This Row],[配件1]]&lt;&gt;"",_xlfn.XLOOKUP(表1_53[[#This Row],[配件1]],显卡利益点对照表[型号],显卡利益点对照表[算力],"ERROR"),"")</f>
        <v>AI算力759 TOPS</v>
      </c>
      <c r="M52" t="str">
        <f>IF(表1_53[[#This Row],[配件1]]&lt;&gt;"",_xlfn.XLOOKUP(表1_53[[#This Row],[配件1]],显卡利益点对照表[型号],显卡利益点对照表[可显性],"ERROR"),"")</f>
        <v>GV-N506TEAGLE OC-16GD</v>
      </c>
      <c r="N5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2" t="str" cm="1">
        <f t="array" ref="Q52">_xlfn.IFS(表1_53[[#This Row],[配件1]]="","",表1_53[[#This Row],[文本丨算力丨算力值]]=0,"",表1_53[[#This Row],[文本丨算力丨算力值]]&lt;&gt;"","算力")</f>
        <v>算力</v>
      </c>
    </row>
    <row r="53" spans="2:17" x14ac:dyDescent="0.2">
      <c r="B53" s="22">
        <v>10148977887435</v>
      </c>
      <c r="C53" t="s">
        <v>277</v>
      </c>
      <c r="D53" t="s">
        <v>278</v>
      </c>
      <c r="F53" t="str">
        <f>IF(表1_53[[#This Row],[配件1]]&lt;&gt;"",_xlfn.XLOOKUP(表1_53[[#This Row],[配件1]],显卡利益点对照表[型号],显卡利益点对照表[标题1],"ERROR"),"")</f>
        <v>RTX5060 Ti</v>
      </c>
      <c r="G53" t="str">
        <f>IF(表1_53[[#This Row],[配件1]]&lt;&gt;"",_xlfn.XLOOKUP(表1_53[[#This Row],[配件1]],显卡利益点对照表[型号],显卡利益点对照表[标题2],"ERROR"),"")</f>
        <v>猎鹰 16G</v>
      </c>
      <c r="H5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3" t="str">
        <f>IF(表1_53[[#This Row],[配件1]]&lt;&gt;"",_xlfn.XLOOKUP(表1_53[[#This Row],[配件1]],显卡利益点对照表[型号],显卡利益点对照表[利益点1],"ERROR"),"")</f>
        <v>铜板+复合式热管</v>
      </c>
      <c r="J53" t="str">
        <f>IF(表1_53[[#This Row],[配件1]]&lt;&gt;"",_xlfn.XLOOKUP(表1_53[[#This Row],[配件1]],显卡利益点对照表[型号],显卡利益点对照表[利益点2],"ERROR"),"")</f>
        <v>精巧双风扇</v>
      </c>
      <c r="K53" t="str">
        <f>IF(表1_53[[#This Row],[配件1]]&lt;&gt;"",_xlfn.XLOOKUP(表1_53[[#This Row],[配件1]],显卡利益点对照表[型号],显卡利益点对照表[利益点3],"ERROR"),"")</f>
        <v>16G大显存</v>
      </c>
      <c r="L53" t="str">
        <f>IF(表1_53[[#This Row],[配件1]]&lt;&gt;"",_xlfn.XLOOKUP(表1_53[[#This Row],[配件1]],显卡利益点对照表[型号],显卡利益点对照表[算力],"ERROR"),"")</f>
        <v>AI算力759 TOPS</v>
      </c>
      <c r="M53" t="str">
        <f>IF(表1_53[[#This Row],[配件1]]&lt;&gt;"",_xlfn.XLOOKUP(表1_53[[#This Row],[配件1]],显卡利益点对照表[型号],显卡利益点对照表[可显性],"ERROR"),"")</f>
        <v>GV-N506TEAGLE OC-16GD</v>
      </c>
      <c r="N5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3" t="str" cm="1">
        <f t="array" ref="Q53">_xlfn.IFS(表1_53[[#This Row],[配件1]]="","",表1_53[[#This Row],[文本丨算力丨算力值]]=0,"",表1_53[[#This Row],[文本丨算力丨算力值]]&lt;&gt;"","算力")</f>
        <v>算力</v>
      </c>
    </row>
    <row r="54" spans="2:17" x14ac:dyDescent="0.2">
      <c r="B54" s="22">
        <v>10164254379477</v>
      </c>
      <c r="C54" s="27" t="s">
        <v>568</v>
      </c>
      <c r="D54" t="s">
        <v>486</v>
      </c>
      <c r="F54" t="str">
        <f>IF(表1_53[[#This Row],[配件1]]&lt;&gt;"",_xlfn.XLOOKUP(表1_53[[#This Row],[配件1]],显卡利益点对照表[型号],显卡利益点对照表[标题1],"ERROR"),"")</f>
        <v>RTX5060 Ti</v>
      </c>
      <c r="G54" t="str">
        <f>IF(表1_53[[#This Row],[配件1]]&lt;&gt;"",_xlfn.XLOOKUP(表1_53[[#This Row],[配件1]],显卡利益点对照表[型号],显卡利益点对照表[标题2],"ERROR"),"")</f>
        <v>猎鹰 16G</v>
      </c>
      <c r="H5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54" t="str">
        <f>IF(表1_53[[#This Row],[配件1]]&lt;&gt;"",_xlfn.XLOOKUP(表1_53[[#This Row],[配件1]],显卡利益点对照表[型号],显卡利益点对照表[利益点1],"ERROR"),"")</f>
        <v>铜板+复合式热管</v>
      </c>
      <c r="J54" t="str">
        <f>IF(表1_53[[#This Row],[配件1]]&lt;&gt;"",_xlfn.XLOOKUP(表1_53[[#This Row],[配件1]],显卡利益点对照表[型号],显卡利益点对照表[利益点2],"ERROR"),"")</f>
        <v>正逆转三风扇</v>
      </c>
      <c r="K54" t="str">
        <f>IF(表1_53[[#This Row],[配件1]]&lt;&gt;"",_xlfn.XLOOKUP(表1_53[[#This Row],[配件1]],显卡利益点对照表[型号],显卡利益点对照表[利益点3],"ERROR"),"")</f>
        <v>16G大显存</v>
      </c>
      <c r="L54" t="str">
        <f>IF(表1_53[[#This Row],[配件1]]&lt;&gt;"",_xlfn.XLOOKUP(表1_53[[#This Row],[配件1]],显卡利益点对照表[型号],显卡利益点对照表[算力],"ERROR"),"")</f>
        <v>AI算力759 TOPS</v>
      </c>
      <c r="M54" t="str">
        <f>IF(表1_53[[#This Row],[配件1]]&lt;&gt;"",_xlfn.XLOOKUP(表1_53[[#This Row],[配件1]],显卡利益点对照表[型号],显卡利益点对照表[可显性],"ERROR"),"")</f>
        <v>GV-N506TEAGLEMAX OC-16GD</v>
      </c>
      <c r="N5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4" t="str" cm="1">
        <f t="array" ref="Q54">_xlfn.IFS(表1_53[[#This Row],[配件1]]="","",表1_53[[#This Row],[文本丨算力丨算力值]]=0,"",表1_53[[#This Row],[文本丨算力丨算力值]]&lt;&gt;"","算力")</f>
        <v>算力</v>
      </c>
    </row>
    <row r="55" spans="2:17" x14ac:dyDescent="0.2">
      <c r="B55" s="22" t="s">
        <v>569</v>
      </c>
      <c r="C55" s="27" t="s">
        <v>568</v>
      </c>
      <c r="D55" t="s">
        <v>278</v>
      </c>
      <c r="F55" t="str">
        <f>IF(表1_53[[#This Row],[配件1]]&lt;&gt;"",_xlfn.XLOOKUP(表1_53[[#This Row],[配件1]],显卡利益点对照表[型号],显卡利益点对照表[标题1],"ERROR"),"")</f>
        <v>RTX5060 Ti</v>
      </c>
      <c r="G55" t="str">
        <f>IF(表1_53[[#This Row],[配件1]]&lt;&gt;"",_xlfn.XLOOKUP(表1_53[[#This Row],[配件1]],显卡利益点对照表[型号],显卡利益点对照表[标题2],"ERROR"),"")</f>
        <v>猎鹰 16G</v>
      </c>
      <c r="H5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5" t="str">
        <f>IF(表1_53[[#This Row],[配件1]]&lt;&gt;"",_xlfn.XLOOKUP(表1_53[[#This Row],[配件1]],显卡利益点对照表[型号],显卡利益点对照表[利益点1],"ERROR"),"")</f>
        <v>铜板+复合式热管</v>
      </c>
      <c r="J55" t="str">
        <f>IF(表1_53[[#This Row],[配件1]]&lt;&gt;"",_xlfn.XLOOKUP(表1_53[[#This Row],[配件1]],显卡利益点对照表[型号],显卡利益点对照表[利益点2],"ERROR"),"")</f>
        <v>正逆转三风扇</v>
      </c>
      <c r="K55" t="str">
        <f>IF(表1_53[[#This Row],[配件1]]&lt;&gt;"",_xlfn.XLOOKUP(表1_53[[#This Row],[配件1]],显卡利益点对照表[型号],显卡利益点对照表[利益点3],"ERROR"),"")</f>
        <v>16G大显存</v>
      </c>
      <c r="L55" t="str">
        <f>IF(表1_53[[#This Row],[配件1]]&lt;&gt;"",_xlfn.XLOOKUP(表1_53[[#This Row],[配件1]],显卡利益点对照表[型号],显卡利益点对照表[算力],"ERROR"),"")</f>
        <v>AI算力759 TOPS</v>
      </c>
      <c r="M55" t="str">
        <f>IF(表1_53[[#This Row],[配件1]]&lt;&gt;"",_xlfn.XLOOKUP(表1_53[[#This Row],[配件1]],显卡利益点对照表[型号],显卡利益点对照表[可显性],"ERROR"),"")</f>
        <v>GV-N506TEAGLEMAX OC-16GD</v>
      </c>
      <c r="N5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5" t="str" cm="1">
        <f t="array" ref="Q55">_xlfn.IFS(表1_53[[#This Row],[配件1]]="","",表1_53[[#This Row],[文本丨算力丨算力值]]=0,"",表1_53[[#This Row],[文本丨算力丨算力值]]&lt;&gt;"","算力")</f>
        <v>算力</v>
      </c>
    </row>
    <row r="56" spans="2:17" x14ac:dyDescent="0.2">
      <c r="B56" s="22">
        <v>10148977887436</v>
      </c>
      <c r="C56" t="s">
        <v>273</v>
      </c>
      <c r="D56" t="s">
        <v>486</v>
      </c>
      <c r="F56" t="str">
        <f>IF(表1_53[[#This Row],[配件1]]&lt;&gt;"",_xlfn.XLOOKUP(表1_53[[#This Row],[配件1]],显卡利益点对照表[型号],显卡利益点对照表[标题1],"ERROR"),"")</f>
        <v>RTX5060 Ti</v>
      </c>
      <c r="G56" t="str">
        <f>IF(表1_53[[#This Row],[配件1]]&lt;&gt;"",_xlfn.XLOOKUP(表1_53[[#This Row],[配件1]],显卡利益点对照表[型号],显卡利益点对照表[标题2],"ERROR"),"")</f>
        <v>冰猎鹰 16G</v>
      </c>
      <c r="H5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56" t="str">
        <f>IF(表1_53[[#This Row],[配件1]]&lt;&gt;"",_xlfn.XLOOKUP(表1_53[[#This Row],[配件1]],显卡利益点对照表[型号],显卡利益点对照表[利益点1],"ERROR"),"")</f>
        <v>铜板+复合式热管</v>
      </c>
      <c r="J56" t="str">
        <f>IF(表1_53[[#This Row],[配件1]]&lt;&gt;"",_xlfn.XLOOKUP(表1_53[[#This Row],[配件1]],显卡利益点对照表[型号],显卡利益点对照表[利益点2],"ERROR"),"")</f>
        <v>精巧双风扇</v>
      </c>
      <c r="K56" t="str">
        <f>IF(表1_53[[#This Row],[配件1]]&lt;&gt;"",_xlfn.XLOOKUP(表1_53[[#This Row],[配件1]],显卡利益点对照表[型号],显卡利益点对照表[利益点3],"ERROR"),"")</f>
        <v>16G大显存</v>
      </c>
      <c r="L56" t="str">
        <f>IF(表1_53[[#This Row],[配件1]]&lt;&gt;"",_xlfn.XLOOKUP(表1_53[[#This Row],[配件1]],显卡利益点对照表[型号],显卡利益点对照表[算力],"ERROR"),"")</f>
        <v>AI算力759 TOPS</v>
      </c>
      <c r="M56" t="str">
        <f>IF(表1_53[[#This Row],[配件1]]&lt;&gt;"",_xlfn.XLOOKUP(表1_53[[#This Row],[配件1]],显卡利益点对照表[型号],显卡利益点对照表[可显性],"ERROR"),"")</f>
        <v>GV-N506TEAGLE OC ICE-16GD</v>
      </c>
      <c r="N5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6" t="str" cm="1">
        <f t="array" ref="Q56">_xlfn.IFS(表1_53[[#This Row],[配件1]]="","",表1_53[[#This Row],[文本丨算力丨算力值]]=0,"",表1_53[[#This Row],[文本丨算力丨算力值]]&lt;&gt;"","算力")</f>
        <v>算力</v>
      </c>
    </row>
    <row r="57" spans="2:17" x14ac:dyDescent="0.2">
      <c r="B57" s="22">
        <v>10148977887437</v>
      </c>
      <c r="C57" t="s">
        <v>273</v>
      </c>
      <c r="D57" t="s">
        <v>209</v>
      </c>
      <c r="F57" t="str">
        <f>IF(表1_53[[#This Row],[配件1]]&lt;&gt;"",_xlfn.XLOOKUP(表1_53[[#This Row],[配件1]],显卡利益点对照表[型号],显卡利益点对照表[标题1],"ERROR"),"")</f>
        <v>RTX5060 Ti</v>
      </c>
      <c r="G57" t="str">
        <f>IF(表1_53[[#This Row],[配件1]]&lt;&gt;"",_xlfn.XLOOKUP(表1_53[[#This Row],[配件1]],显卡利益点对照表[型号],显卡利益点对照表[标题2],"ERROR"),"")</f>
        <v>冰猎鹰 16G</v>
      </c>
      <c r="H5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7" t="str">
        <f>IF(表1_53[[#This Row],[配件1]]&lt;&gt;"",_xlfn.XLOOKUP(表1_53[[#This Row],[配件1]],显卡利益点对照表[型号],显卡利益点对照表[利益点1],"ERROR"),"")</f>
        <v>铜板+复合式热管</v>
      </c>
      <c r="J57" t="str">
        <f>IF(表1_53[[#This Row],[配件1]]&lt;&gt;"",_xlfn.XLOOKUP(表1_53[[#This Row],[配件1]],显卡利益点对照表[型号],显卡利益点对照表[利益点2],"ERROR"),"")</f>
        <v>精巧双风扇</v>
      </c>
      <c r="K57" t="str">
        <f>IF(表1_53[[#This Row],[配件1]]&lt;&gt;"",_xlfn.XLOOKUP(表1_53[[#This Row],[配件1]],显卡利益点对照表[型号],显卡利益点对照表[利益点3],"ERROR"),"")</f>
        <v>16G大显存</v>
      </c>
      <c r="L57" t="str">
        <f>IF(表1_53[[#This Row],[配件1]]&lt;&gt;"",_xlfn.XLOOKUP(表1_53[[#This Row],[配件1]],显卡利益点对照表[型号],显卡利益点对照表[算力],"ERROR"),"")</f>
        <v>AI算力759 TOPS</v>
      </c>
      <c r="M57" t="str">
        <f>IF(表1_53[[#This Row],[配件1]]&lt;&gt;"",_xlfn.XLOOKUP(表1_53[[#This Row],[配件1]],显卡利益点对照表[型号],显卡利益点对照表[可显性],"ERROR"),"")</f>
        <v>GV-N506TEAGLE OC ICE-16GD</v>
      </c>
      <c r="N5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5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7" t="str" cm="1">
        <f t="array" ref="Q57">_xlfn.IFS(表1_53[[#This Row],[配件1]]="","",表1_53[[#This Row],[文本丨算力丨算力值]]=0,"",表1_53[[#This Row],[文本丨算力丨算力值]]&lt;&gt;"","算力")</f>
        <v>算力</v>
      </c>
    </row>
    <row r="58" spans="2:17" x14ac:dyDescent="0.2">
      <c r="B58" s="22">
        <v>10080978603165</v>
      </c>
      <c r="C58" t="s">
        <v>272</v>
      </c>
      <c r="D58" t="s">
        <v>486</v>
      </c>
      <c r="F58" t="str">
        <f>IF(表1_53[[#This Row],[配件1]]&lt;&gt;"",_xlfn.XLOOKUP(表1_53[[#This Row],[配件1]],显卡利益点对照表[型号],显卡利益点对照表[标题1],"ERROR"),"")</f>
        <v>RTX5060 Ti</v>
      </c>
      <c r="G58" t="str">
        <f>IF(表1_53[[#This Row],[配件1]]&lt;&gt;"",_xlfn.XLOOKUP(表1_53[[#This Row],[配件1]],显卡利益点对照表[型号],显卡利益点对照表[标题2],"ERROR"),"")</f>
        <v>魔鹰 16G</v>
      </c>
      <c r="H5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58" t="str">
        <f>IF(表1_53[[#This Row],[配件1]]&lt;&gt;"",_xlfn.XLOOKUP(表1_53[[#This Row],[配件1]],显卡利益点对照表[型号],显卡利益点对照表[利益点1],"ERROR"),"")</f>
        <v>铜板+复合式热管</v>
      </c>
      <c r="J58" t="str">
        <f>IF(表1_53[[#This Row],[配件1]]&lt;&gt;"",_xlfn.XLOOKUP(表1_53[[#This Row],[配件1]],显卡利益点对照表[型号],显卡利益点对照表[利益点2],"ERROR"),"")</f>
        <v>RGB滑动侧板</v>
      </c>
      <c r="K58" t="str">
        <f>IF(表1_53[[#This Row],[配件1]]&lt;&gt;"",_xlfn.XLOOKUP(表1_53[[#This Row],[配件1]],显卡利益点对照表[型号],显卡利益点对照表[利益点3],"ERROR"),"")</f>
        <v>正逆转三风扇</v>
      </c>
      <c r="L58" t="str">
        <f>IF(表1_53[[#This Row],[配件1]]&lt;&gt;"",_xlfn.XLOOKUP(表1_53[[#This Row],[配件1]],显卡利益点对照表[型号],显卡利益点对照表[算力],"ERROR"),"")</f>
        <v>AI算力759 TOPS</v>
      </c>
      <c r="M58" t="str">
        <f>IF(表1_53[[#This Row],[配件1]]&lt;&gt;"",_xlfn.XLOOKUP(表1_53[[#This Row],[配件1]],显卡利益点对照表[型号],显卡利益点对照表[可显性],"ERROR"),"")</f>
        <v>GV-N506TGAMING OC-16GD</v>
      </c>
      <c r="N5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8" t="str" cm="1">
        <f t="array" ref="Q58">_xlfn.IFS(表1_53[[#This Row],[配件1]]="","",表1_53[[#This Row],[文本丨算力丨算力值]]=0,"",表1_53[[#This Row],[文本丨算力丨算力值]]&lt;&gt;"","算力")</f>
        <v>算力</v>
      </c>
    </row>
    <row r="59" spans="2:17" x14ac:dyDescent="0.2">
      <c r="B59" s="22">
        <v>10098325451771</v>
      </c>
      <c r="C59" t="s">
        <v>272</v>
      </c>
      <c r="D59" t="s">
        <v>278</v>
      </c>
      <c r="F59" t="str">
        <f>IF(表1_53[[#This Row],[配件1]]&lt;&gt;"",_xlfn.XLOOKUP(表1_53[[#This Row],[配件1]],显卡利益点对照表[型号],显卡利益点对照表[标题1],"ERROR"),"")</f>
        <v>RTX5060 Ti</v>
      </c>
      <c r="G59" t="str">
        <f>IF(表1_53[[#This Row],[配件1]]&lt;&gt;"",_xlfn.XLOOKUP(表1_53[[#This Row],[配件1]],显卡利益点对照表[型号],显卡利益点对照表[标题2],"ERROR"),"")</f>
        <v>魔鹰 16G</v>
      </c>
      <c r="H5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9" t="str">
        <f>IF(表1_53[[#This Row],[配件1]]&lt;&gt;"",_xlfn.XLOOKUP(表1_53[[#This Row],[配件1]],显卡利益点对照表[型号],显卡利益点对照表[利益点1],"ERROR"),"")</f>
        <v>铜板+复合式热管</v>
      </c>
      <c r="J59" t="str">
        <f>IF(表1_53[[#This Row],[配件1]]&lt;&gt;"",_xlfn.XLOOKUP(表1_53[[#This Row],[配件1]],显卡利益点对照表[型号],显卡利益点对照表[利益点2],"ERROR"),"")</f>
        <v>RGB滑动侧板</v>
      </c>
      <c r="K59" t="str">
        <f>IF(表1_53[[#This Row],[配件1]]&lt;&gt;"",_xlfn.XLOOKUP(表1_53[[#This Row],[配件1]],显卡利益点对照表[型号],显卡利益点对照表[利益点3],"ERROR"),"")</f>
        <v>正逆转三风扇</v>
      </c>
      <c r="L59" t="str">
        <f>IF(表1_53[[#This Row],[配件1]]&lt;&gt;"",_xlfn.XLOOKUP(表1_53[[#This Row],[配件1]],显卡利益点对照表[型号],显卡利益点对照表[算力],"ERROR"),"")</f>
        <v>AI算力759 TOPS</v>
      </c>
      <c r="M59" t="str">
        <f>IF(表1_53[[#This Row],[配件1]]&lt;&gt;"",_xlfn.XLOOKUP(表1_53[[#This Row],[配件1]],显卡利益点对照表[型号],显卡利益点对照表[可显性],"ERROR"),"")</f>
        <v>GV-N506TGAMING OC-16GD</v>
      </c>
      <c r="N5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9" t="str" cm="1">
        <f t="array" ref="Q59">_xlfn.IFS(表1_53[[#This Row],[配件1]]="","",表1_53[[#This Row],[文本丨算力丨算力值]]=0,"",表1_53[[#This Row],[文本丨算力丨算力值]]&lt;&gt;"","算力")</f>
        <v>算力</v>
      </c>
    </row>
    <row r="60" spans="2:17" ht="15" customHeight="1" x14ac:dyDescent="0.2">
      <c r="B60" s="22">
        <v>10080978603167</v>
      </c>
      <c r="C60" t="s">
        <v>268</v>
      </c>
      <c r="D60" t="s">
        <v>486</v>
      </c>
      <c r="F60" t="str">
        <f>IF(表1_53[[#This Row],[配件1]]&lt;&gt;"",_xlfn.XLOOKUP(表1_53[[#This Row],[配件1]],显卡利益点对照表[型号],显卡利益点对照表[标题1],"ERROR"),"")</f>
        <v>RTX5060 Ti</v>
      </c>
      <c r="G60" t="str">
        <f>IF(表1_53[[#This Row],[配件1]]&lt;&gt;"",_xlfn.XLOOKUP(表1_53[[#This Row],[配件1]],显卡利益点对照表[型号],显卡利益点对照表[标题2],"ERROR"),"")</f>
        <v>雪鹰 16G</v>
      </c>
      <c r="H6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60" t="str">
        <f>IF(表1_53[[#This Row],[配件1]]&lt;&gt;"",_xlfn.XLOOKUP(表1_53[[#This Row],[配件1]],显卡利益点对照表[型号],显卡利益点对照表[利益点1],"ERROR"),"")</f>
        <v>铜板+复合式热管</v>
      </c>
      <c r="J60" t="str">
        <f>IF(表1_53[[#This Row],[配件1]]&lt;&gt;"",_xlfn.XLOOKUP(表1_53[[#This Row],[配件1]],显卡利益点对照表[型号],显卡利益点对照表[利益点2],"ERROR"),"")</f>
        <v>银白雪装外观</v>
      </c>
      <c r="K60" t="str">
        <f>IF(表1_53[[#This Row],[配件1]]&lt;&gt;"",_xlfn.XLOOKUP(表1_53[[#This Row],[配件1]],显卡利益点对照表[型号],显卡利益点对照表[利益点3],"ERROR"),"")</f>
        <v>正逆转三风扇</v>
      </c>
      <c r="L60" t="str">
        <f>IF(表1_53[[#This Row],[配件1]]&lt;&gt;"",_xlfn.XLOOKUP(表1_53[[#This Row],[配件1]],显卡利益点对照表[型号],显卡利益点对照表[算力],"ERROR"),"")</f>
        <v>AI算力759 TOPS</v>
      </c>
      <c r="M60" t="str">
        <f>IF(表1_53[[#This Row],[配件1]]&lt;&gt;"",_xlfn.XLOOKUP(表1_53[[#This Row],[配件1]],显卡利益点对照表[型号],显卡利益点对照表[可显性],"ERROR"),"")</f>
        <v>GV-N506TAERO OC-16GD</v>
      </c>
      <c r="N6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0" t="str" cm="1">
        <f t="array" ref="Q60">_xlfn.IFS(表1_53[[#This Row],[配件1]]="","",表1_53[[#This Row],[文本丨算力丨算力值]]=0,"",表1_53[[#This Row],[文本丨算力丨算力值]]&lt;&gt;"","算力")</f>
        <v>算力</v>
      </c>
    </row>
    <row r="61" spans="2:17" ht="15" customHeight="1" x14ac:dyDescent="0.2">
      <c r="B61" s="22">
        <v>10148973357244</v>
      </c>
      <c r="C61" t="s">
        <v>268</v>
      </c>
      <c r="D61" t="s">
        <v>209</v>
      </c>
      <c r="F61" t="str">
        <f>IF(表1_53[[#This Row],[配件1]]&lt;&gt;"",_xlfn.XLOOKUP(表1_53[[#This Row],[配件1]],显卡利益点对照表[型号],显卡利益点对照表[标题1],"ERROR"),"")</f>
        <v>RTX5060 Ti</v>
      </c>
      <c r="G61" t="str">
        <f>IF(表1_53[[#This Row],[配件1]]&lt;&gt;"",_xlfn.XLOOKUP(表1_53[[#This Row],[配件1]],显卡利益点对照表[型号],显卡利益点对照表[标题2],"ERROR"),"")</f>
        <v>雪鹰 16G</v>
      </c>
      <c r="H6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1" t="str">
        <f>IF(表1_53[[#This Row],[配件1]]&lt;&gt;"",_xlfn.XLOOKUP(表1_53[[#This Row],[配件1]],显卡利益点对照表[型号],显卡利益点对照表[利益点1],"ERROR"),"")</f>
        <v>铜板+复合式热管</v>
      </c>
      <c r="J61" t="str">
        <f>IF(表1_53[[#This Row],[配件1]]&lt;&gt;"",_xlfn.XLOOKUP(表1_53[[#This Row],[配件1]],显卡利益点对照表[型号],显卡利益点对照表[利益点2],"ERROR"),"")</f>
        <v>银白雪装外观</v>
      </c>
      <c r="K61" t="str">
        <f>IF(表1_53[[#This Row],[配件1]]&lt;&gt;"",_xlfn.XLOOKUP(表1_53[[#This Row],[配件1]],显卡利益点对照表[型号],显卡利益点对照表[利益点3],"ERROR"),"")</f>
        <v>正逆转三风扇</v>
      </c>
      <c r="L61" t="str">
        <f>IF(表1_53[[#This Row],[配件1]]&lt;&gt;"",_xlfn.XLOOKUP(表1_53[[#This Row],[配件1]],显卡利益点对照表[型号],显卡利益点对照表[算力],"ERROR"),"")</f>
        <v>AI算力759 TOPS</v>
      </c>
      <c r="M61" t="str">
        <f>IF(表1_53[[#This Row],[配件1]]&lt;&gt;"",_xlfn.XLOOKUP(表1_53[[#This Row],[配件1]],显卡利益点对照表[型号],显卡利益点对照表[可显性],"ERROR"),"")</f>
        <v>GV-N506TAERO OC-16GD</v>
      </c>
      <c r="N6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6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1" t="str" cm="1">
        <f t="array" ref="Q61">_xlfn.IFS(表1_53[[#This Row],[配件1]]="","",表1_53[[#This Row],[文本丨算力丨算力值]]=0,"",表1_53[[#This Row],[文本丨算力丨算力值]]&lt;&gt;"","算力")</f>
        <v>算力</v>
      </c>
    </row>
    <row r="62" spans="2:17" ht="15" customHeight="1" x14ac:dyDescent="0.2">
      <c r="B62" s="22">
        <v>10076155580256</v>
      </c>
      <c r="C62" t="s">
        <v>267</v>
      </c>
      <c r="D62" t="s">
        <v>486</v>
      </c>
      <c r="F62" t="str">
        <f>IF(表1_53[[#This Row],[配件1]]&lt;&gt;"",_xlfn.XLOOKUP(表1_53[[#This Row],[配件1]],显卡利益点对照表[型号],显卡利益点对照表[标题1],"ERROR"),"")</f>
        <v>RTX5060 Ti</v>
      </c>
      <c r="G62" t="str">
        <f>IF(表1_53[[#This Row],[配件1]]&lt;&gt;"",_xlfn.XLOOKUP(表1_53[[#This Row],[配件1]],显卡利益点对照表[型号],显卡利益点对照表[标题2],"ERROR"),"")</f>
        <v>小雕 16G</v>
      </c>
      <c r="H6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62" t="str">
        <f>IF(表1_53[[#This Row],[配件1]]&lt;&gt;"",_xlfn.XLOOKUP(表1_53[[#This Row],[配件1]],显卡利益点对照表[型号],显卡利益点对照表[利益点1],"ERROR"),"")</f>
        <v>注册4年保/个人送保丨25</v>
      </c>
      <c r="J62" t="str">
        <f>IF(表1_53[[#This Row],[配件1]]&lt;&gt;"",_xlfn.XLOOKUP(表1_53[[#This Row],[配件1]],显卡利益点对照表[型号],显卡利益点对照表[利益点2],"ERROR"),"")</f>
        <v>RGB幻彩光轮</v>
      </c>
      <c r="K62" t="str">
        <f>IF(表1_53[[#This Row],[配件1]]&lt;&gt;"",_xlfn.XLOOKUP(表1_53[[#This Row],[配件1]],显卡利益点对照表[型号],显卡利益点对照表[利益点3],"ERROR"),"")</f>
        <v>五重高效散热</v>
      </c>
      <c r="L62" t="str">
        <f>IF(表1_53[[#This Row],[配件1]]&lt;&gt;"",_xlfn.XLOOKUP(表1_53[[#This Row],[配件1]],显卡利益点对照表[型号],显卡利益点对照表[算力],"ERROR"),"")</f>
        <v>AI算力759 TOPS</v>
      </c>
      <c r="M62" t="str">
        <f>IF(表1_53[[#This Row],[配件1]]&lt;&gt;"",_xlfn.XLOOKUP(表1_53[[#This Row],[配件1]],显卡利益点对照表[型号],显卡利益点对照表[可显性],"ERROR"),"")</f>
        <v>GV-N506TAORUS E-16GD</v>
      </c>
      <c r="N6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2" t="str" cm="1">
        <f t="array" ref="Q62">_xlfn.IFS(表1_53[[#This Row],[配件1]]="","",表1_53[[#This Row],[文本丨算力丨算力值]]=0,"",表1_53[[#This Row],[文本丨算力丨算力值]]&lt;&gt;"","算力")</f>
        <v>算力</v>
      </c>
    </row>
    <row r="63" spans="2:17" ht="15" customHeight="1" x14ac:dyDescent="0.2">
      <c r="B63" s="22">
        <v>10148973357245</v>
      </c>
      <c r="C63" t="s">
        <v>267</v>
      </c>
      <c r="D63" t="s">
        <v>278</v>
      </c>
      <c r="F63" t="str">
        <f>IF(表1_53[[#This Row],[配件1]]&lt;&gt;"",_xlfn.XLOOKUP(表1_53[[#This Row],[配件1]],显卡利益点对照表[型号],显卡利益点对照表[标题1],"ERROR"),"")</f>
        <v>RTX5060 Ti</v>
      </c>
      <c r="G63" t="str">
        <f>IF(表1_53[[#This Row],[配件1]]&lt;&gt;"",_xlfn.XLOOKUP(表1_53[[#This Row],[配件1]],显卡利益点对照表[型号],显卡利益点对照表[标题2],"ERROR"),"")</f>
        <v>小雕 16G</v>
      </c>
      <c r="H6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3" t="str">
        <f>IF(表1_53[[#This Row],[配件1]]&lt;&gt;"",_xlfn.XLOOKUP(表1_53[[#This Row],[配件1]],显卡利益点对照表[型号],显卡利益点对照表[利益点1],"ERROR"),"")</f>
        <v>注册4年保/个人送保丨25</v>
      </c>
      <c r="J63" t="str">
        <f>IF(表1_53[[#This Row],[配件1]]&lt;&gt;"",_xlfn.XLOOKUP(表1_53[[#This Row],[配件1]],显卡利益点对照表[型号],显卡利益点对照表[利益点2],"ERROR"),"")</f>
        <v>RGB幻彩光轮</v>
      </c>
      <c r="K63" t="str">
        <f>IF(表1_53[[#This Row],[配件1]]&lt;&gt;"",_xlfn.XLOOKUP(表1_53[[#This Row],[配件1]],显卡利益点对照表[型号],显卡利益点对照表[利益点3],"ERROR"),"")</f>
        <v>五重高效散热</v>
      </c>
      <c r="L63" t="str">
        <f>IF(表1_53[[#This Row],[配件1]]&lt;&gt;"",_xlfn.XLOOKUP(表1_53[[#This Row],[配件1]],显卡利益点对照表[型号],显卡利益点对照表[算力],"ERROR"),"")</f>
        <v>AI算力759 TOPS</v>
      </c>
      <c r="M63" t="str">
        <f>IF(表1_53[[#This Row],[配件1]]&lt;&gt;"",_xlfn.XLOOKUP(表1_53[[#This Row],[配件1]],显卡利益点对照表[型号],显卡利益点对照表[可显性],"ERROR"),"")</f>
        <v>GV-N506TAORUS E-16GD</v>
      </c>
      <c r="N6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6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3" t="str" cm="1">
        <f t="array" ref="Q63">_xlfn.IFS(表1_53[[#This Row],[配件1]]="","",表1_53[[#This Row],[文本丨算力丨算力值]]=0,"",表1_53[[#This Row],[文本丨算力丨算力值]]&lt;&gt;"","算力")</f>
        <v>算力</v>
      </c>
    </row>
    <row r="64" spans="2:17" ht="15" customHeight="1" x14ac:dyDescent="0.2">
      <c r="F64" t="str">
        <f>IF(表1_53[[#This Row],[配件1]]&lt;&gt;"",_xlfn.XLOOKUP(表1_53[[#This Row],[配件1]],显卡利益点对照表[型号],显卡利益点对照表[标题1],"ERROR"),"")</f>
        <v/>
      </c>
      <c r="G64" t="str">
        <f>IF(表1_53[[#This Row],[配件1]]&lt;&gt;"",_xlfn.XLOOKUP(表1_53[[#This Row],[配件1]],显卡利益点对照表[型号],显卡利益点对照表[标题2],"ERROR"),"")</f>
        <v/>
      </c>
      <c r="H6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4" t="str">
        <f>IF(表1_53[[#This Row],[配件1]]&lt;&gt;"",_xlfn.XLOOKUP(表1_53[[#This Row],[配件1]],显卡利益点对照表[型号],显卡利益点对照表[利益点1],"ERROR"),"")</f>
        <v/>
      </c>
      <c r="J64" t="str">
        <f>IF(表1_53[[#This Row],[配件1]]&lt;&gt;"",_xlfn.XLOOKUP(表1_53[[#This Row],[配件1]],显卡利益点对照表[型号],显卡利益点对照表[利益点2],"ERROR"),"")</f>
        <v/>
      </c>
      <c r="K64" t="str">
        <f>IF(表1_53[[#This Row],[配件1]]&lt;&gt;"",_xlfn.XLOOKUP(表1_53[[#This Row],[配件1]],显卡利益点对照表[型号],显卡利益点对照表[利益点3],"ERROR"),"")</f>
        <v/>
      </c>
      <c r="L64" t="str">
        <f>IF(表1_53[[#This Row],[配件1]]&lt;&gt;"",_xlfn.XLOOKUP(表1_53[[#This Row],[配件1]],显卡利益点对照表[型号],显卡利益点对照表[算力],"ERROR"),"")</f>
        <v/>
      </c>
      <c r="M64" t="str">
        <f>IF(表1_53[[#This Row],[配件1]]&lt;&gt;"",_xlfn.XLOOKUP(表1_53[[#This Row],[配件1]],显卡利益点对照表[型号],显卡利益点对照表[可显性],"ERROR"),"")</f>
        <v/>
      </c>
      <c r="N6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4" t="str" cm="1">
        <f t="array" ref="Q64">_xlfn.IFS(表1_53[[#This Row],[配件1]]="","",表1_53[[#This Row],[文本丨算力丨算力值]]=0,"",表1_53[[#This Row],[文本丨算力丨算力值]]&lt;&gt;"","算力")</f>
        <v/>
      </c>
    </row>
    <row r="65" spans="2:17" ht="15" customHeight="1" x14ac:dyDescent="0.2">
      <c r="F65" t="str">
        <f>IF(表1_53[[#This Row],[配件1]]&lt;&gt;"",_xlfn.XLOOKUP(表1_53[[#This Row],[配件1]],显卡利益点对照表[型号],显卡利益点对照表[标题1],"ERROR"),"")</f>
        <v/>
      </c>
      <c r="G65" t="str">
        <f>IF(表1_53[[#This Row],[配件1]]&lt;&gt;"",_xlfn.XLOOKUP(表1_53[[#This Row],[配件1]],显卡利益点对照表[型号],显卡利益点对照表[标题2],"ERROR"),"")</f>
        <v/>
      </c>
      <c r="H6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5" t="str">
        <f>IF(表1_53[[#This Row],[配件1]]&lt;&gt;"",_xlfn.XLOOKUP(表1_53[[#This Row],[配件1]],显卡利益点对照表[型号],显卡利益点对照表[利益点1],"ERROR"),"")</f>
        <v/>
      </c>
      <c r="J65" t="str">
        <f>IF(表1_53[[#This Row],[配件1]]&lt;&gt;"",_xlfn.XLOOKUP(表1_53[[#This Row],[配件1]],显卡利益点对照表[型号],显卡利益点对照表[利益点2],"ERROR"),"")</f>
        <v/>
      </c>
      <c r="K65" t="str">
        <f>IF(表1_53[[#This Row],[配件1]]&lt;&gt;"",_xlfn.XLOOKUP(表1_53[[#This Row],[配件1]],显卡利益点对照表[型号],显卡利益点对照表[利益点3],"ERROR"),"")</f>
        <v/>
      </c>
      <c r="L65" t="str">
        <f>IF(表1_53[[#This Row],[配件1]]&lt;&gt;"",_xlfn.XLOOKUP(表1_53[[#This Row],[配件1]],显卡利益点对照表[型号],显卡利益点对照表[算力],"ERROR"),"")</f>
        <v/>
      </c>
      <c r="M65" t="str">
        <f>IF(表1_53[[#This Row],[配件1]]&lt;&gt;"",_xlfn.XLOOKUP(表1_53[[#This Row],[配件1]],显卡利益点对照表[型号],显卡利益点对照表[可显性],"ERROR"),"")</f>
        <v/>
      </c>
      <c r="N6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5" t="str" cm="1">
        <f t="array" ref="Q65">_xlfn.IFS(表1_53[[#This Row],[配件1]]="","",表1_53[[#This Row],[文本丨算力丨算力值]]=0,"",表1_53[[#This Row],[文本丨算力丨算力值]]&lt;&gt;"","算力")</f>
        <v/>
      </c>
    </row>
    <row r="66" spans="2:17" ht="15" customHeight="1" x14ac:dyDescent="0.2">
      <c r="B66" s="22">
        <v>123</v>
      </c>
      <c r="C66" t="s">
        <v>447</v>
      </c>
      <c r="D66" t="s">
        <v>217</v>
      </c>
      <c r="F66" t="str">
        <f>IF(表1_53[[#This Row],[配件1]]&lt;&gt;"",_xlfn.XLOOKUP(表1_53[[#This Row],[配件1]],显卡利益点对照表[型号],显卡利益点对照表[标题1],"ERROR"),"")</f>
        <v>RX9070XT</v>
      </c>
      <c r="G66" t="str">
        <f>IF(表1_53[[#This Row],[配件1]]&lt;&gt;"",_xlfn.XLOOKUP(表1_53[[#This Row],[配件1]],显卡利益点对照表[型号],显卡利益点对照表[标题2],"ERROR"),"")</f>
        <v>16G 小雕</v>
      </c>
      <c r="H6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+850W模组电源</v>
      </c>
      <c r="I66" t="str">
        <f>IF(表1_53[[#This Row],[配件1]]&lt;&gt;"",_xlfn.XLOOKUP(表1_53[[#This Row],[配件1]],显卡利益点对照表[型号],显卡利益点对照表[利益点1],"ERROR"),"")</f>
        <v>注册4年保/个人送保丨25</v>
      </c>
      <c r="J66" t="str">
        <f>IF(表1_53[[#This Row],[配件1]]&lt;&gt;"",_xlfn.XLOOKUP(表1_53[[#This Row],[配件1]],显卡利益点对照表[型号],显卡利益点对照表[利益点2],"ERROR"),"")</f>
        <v>服务器级导热凝胶</v>
      </c>
      <c r="K66" t="str">
        <f>IF(表1_53[[#This Row],[配件1]]&lt;&gt;"",_xlfn.XLOOKUP(表1_53[[#This Row],[配件1]],显卡利益点对照表[型号],显卡利益点对照表[利益点3],"ERROR"),"")</f>
        <v>RGB幻彩光轮</v>
      </c>
      <c r="L66">
        <f>IF(表1_53[[#This Row],[配件1]]&lt;&gt;"",_xlfn.XLOOKUP(表1_53[[#This Row],[配件1]],显卡利益点对照表[型号],显卡利益点对照表[算力],"ERROR"),"")</f>
        <v>0</v>
      </c>
      <c r="M66" t="str">
        <f>IF(表1_53[[#This Row],[配件1]]&lt;&gt;"",_xlfn.XLOOKUP(表1_53[[#This Row],[配件1]],显卡利益点对照表[型号],显卡利益点对照表[可显性],"ERROR"),"")</f>
        <v>GV-R9070XTAORUS E</v>
      </c>
      <c r="N6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UD850GM PG5</v>
      </c>
      <c r="O6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6" t="str" cm="1">
        <f t="array" ref="Q66">_xlfn.IFS(表1_53[[#This Row],[配件1]]="","",表1_53[[#This Row],[文本丨算力丨算力值]]=0,"",表1_53[[#This Row],[文本丨算力丨算力值]]&lt;&gt;"","算力")</f>
        <v/>
      </c>
    </row>
    <row r="67" spans="2:17" ht="15" customHeight="1" x14ac:dyDescent="0.2">
      <c r="Q67" t="str" cm="1">
        <f t="array" ref="Q67">_xlfn.IFS(表1_53[[#This Row],[配件1]]="","",表1_53[[#This Row],[文本丨算力丨算力值]]=0,"",表1_53[[#This Row],[文本丨算力丨算力值]]&lt;&gt;"","算力")</f>
        <v/>
      </c>
    </row>
    <row r="68" spans="2:17" ht="15" customHeight="1" x14ac:dyDescent="0.2">
      <c r="F68" t="str">
        <f>IF(表1_53[[#This Row],[配件1]]&lt;&gt;"",_xlfn.XLOOKUP(表1_53[[#This Row],[配件1]],显卡利益点对照表[型号],显卡利益点对照表[标题1],"ERROR"),"")</f>
        <v/>
      </c>
      <c r="G68" t="str">
        <f>IF(表1_53[[#This Row],[配件1]]&lt;&gt;"",_xlfn.XLOOKUP(表1_53[[#This Row],[配件1]],显卡利益点对照表[型号],显卡利益点对照表[标题2],"ERROR"),"")</f>
        <v/>
      </c>
      <c r="H6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8" t="str">
        <f>IF(表1_53[[#This Row],[配件1]]&lt;&gt;"",_xlfn.XLOOKUP(表1_53[[#This Row],[配件1]],显卡利益点对照表[型号],显卡利益点对照表[利益点1],"ERROR"),"")</f>
        <v/>
      </c>
      <c r="J68" t="str">
        <f>IF(表1_53[[#This Row],[配件1]]&lt;&gt;"",_xlfn.XLOOKUP(表1_53[[#This Row],[配件1]],显卡利益点对照表[型号],显卡利益点对照表[利益点2],"ERROR"),"")</f>
        <v/>
      </c>
      <c r="K68" t="str">
        <f>IF(表1_53[[#This Row],[配件1]]&lt;&gt;"",_xlfn.XLOOKUP(表1_53[[#This Row],[配件1]],显卡利益点对照表[型号],显卡利益点对照表[利益点3],"ERROR"),"")</f>
        <v/>
      </c>
      <c r="L68" t="str">
        <f>IF(表1_53[[#This Row],[配件1]]&lt;&gt;"",_xlfn.XLOOKUP(表1_53[[#This Row],[配件1]],显卡利益点对照表[型号],显卡利益点对照表[算力],"ERROR"),"")</f>
        <v/>
      </c>
      <c r="M68" t="str">
        <f>IF(表1_53[[#This Row],[配件1]]&lt;&gt;"",_xlfn.XLOOKUP(表1_53[[#This Row],[配件1]],显卡利益点对照表[型号],显卡利益点对照表[可显性],"ERROR"),"")</f>
        <v/>
      </c>
      <c r="N6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8" t="str" cm="1">
        <f t="array" ref="Q68">_xlfn.IFS(表1_53[[#This Row],[配件1]]="","",表1_53[[#This Row],[文本丨算力丨算力值]]=0,"",表1_53[[#This Row],[文本丨算力丨算力值]]&lt;&gt;"","算力")</f>
        <v/>
      </c>
    </row>
    <row r="69" spans="2:17" ht="15" customHeight="1" x14ac:dyDescent="0.2">
      <c r="F69" t="str">
        <f>IF(表1_53[[#This Row],[配件1]]&lt;&gt;"",_xlfn.XLOOKUP(表1_53[[#This Row],[配件1]],显卡利益点对照表[型号],显卡利益点对照表[标题1],"ERROR"),"")</f>
        <v/>
      </c>
      <c r="G69" t="str">
        <f>IF(表1_53[[#This Row],[配件1]]&lt;&gt;"",_xlfn.XLOOKUP(表1_53[[#This Row],[配件1]],显卡利益点对照表[型号],显卡利益点对照表[标题2],"ERROR"),"")</f>
        <v/>
      </c>
      <c r="H6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9" t="str">
        <f>IF(表1_53[[#This Row],[配件1]]&lt;&gt;"",_xlfn.XLOOKUP(表1_53[[#This Row],[配件1]],显卡利益点对照表[型号],显卡利益点对照表[利益点1],"ERROR"),"")</f>
        <v/>
      </c>
      <c r="J69" t="str">
        <f>IF(表1_53[[#This Row],[配件1]]&lt;&gt;"",_xlfn.XLOOKUP(表1_53[[#This Row],[配件1]],显卡利益点对照表[型号],显卡利益点对照表[利益点2],"ERROR"),"")</f>
        <v/>
      </c>
      <c r="K69" t="str">
        <f>IF(表1_53[[#This Row],[配件1]]&lt;&gt;"",_xlfn.XLOOKUP(表1_53[[#This Row],[配件1]],显卡利益点对照表[型号],显卡利益点对照表[利益点3],"ERROR"),"")</f>
        <v/>
      </c>
      <c r="L69" t="str">
        <f>IF(表1_53[[#This Row],[配件1]]&lt;&gt;"",_xlfn.XLOOKUP(表1_53[[#This Row],[配件1]],显卡利益点对照表[型号],显卡利益点对照表[算力],"ERROR"),"")</f>
        <v/>
      </c>
      <c r="M69" t="str">
        <f>IF(表1_53[[#This Row],[配件1]]&lt;&gt;"",_xlfn.XLOOKUP(表1_53[[#This Row],[配件1]],显卡利益点对照表[型号],显卡利益点对照表[可显性],"ERROR"),"")</f>
        <v/>
      </c>
      <c r="N6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9" t="str" cm="1">
        <f t="array" ref="Q69">_xlfn.IFS(表1_53[[#This Row],[配件1]]="","",表1_53[[#This Row],[文本丨算力丨算力值]]=0,"",表1_53[[#This Row],[文本丨算力丨算力值]]&lt;&gt;"","算力")</f>
        <v/>
      </c>
    </row>
    <row r="70" spans="2:17" ht="15" customHeight="1" x14ac:dyDescent="0.2">
      <c r="F70" t="str">
        <f>IF(表1_53[[#This Row],[配件1]]&lt;&gt;"",_xlfn.XLOOKUP(表1_53[[#This Row],[配件1]],显卡利益点对照表[型号],显卡利益点对照表[标题1],"ERROR"),"")</f>
        <v/>
      </c>
      <c r="G70" t="str">
        <f>IF(表1_53[[#This Row],[配件1]]&lt;&gt;"",_xlfn.XLOOKUP(表1_53[[#This Row],[配件1]],显卡利益点对照表[型号],显卡利益点对照表[标题2],"ERROR"),"")</f>
        <v/>
      </c>
      <c r="H7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70" t="str">
        <f>IF(表1_53[[#This Row],[配件1]]&lt;&gt;"",_xlfn.XLOOKUP(表1_53[[#This Row],[配件1]],显卡利益点对照表[型号],显卡利益点对照表[利益点1],"ERROR"),"")</f>
        <v/>
      </c>
      <c r="J70" t="str">
        <f>IF(表1_53[[#This Row],[配件1]]&lt;&gt;"",_xlfn.XLOOKUP(表1_53[[#This Row],[配件1]],显卡利益点对照表[型号],显卡利益点对照表[利益点2],"ERROR"),"")</f>
        <v/>
      </c>
      <c r="K70" t="str">
        <f>IF(表1_53[[#This Row],[配件1]]&lt;&gt;"",_xlfn.XLOOKUP(表1_53[[#This Row],[配件1]],显卡利益点对照表[型号],显卡利益点对照表[利益点3],"ERROR"),"")</f>
        <v/>
      </c>
      <c r="L70" t="str">
        <f>IF(表1_53[[#This Row],[配件1]]&lt;&gt;"",_xlfn.XLOOKUP(表1_53[[#This Row],[配件1]],显卡利益点对照表[型号],显卡利益点对照表[算力],"ERROR"),"")</f>
        <v/>
      </c>
      <c r="M70" t="str">
        <f>IF(表1_53[[#This Row],[配件1]]&lt;&gt;"",_xlfn.XLOOKUP(表1_53[[#This Row],[配件1]],显卡利益点对照表[型号],显卡利益点对照表[可显性],"ERROR"),"")</f>
        <v/>
      </c>
      <c r="N7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70" t="str" cm="1">
        <f t="array" ref="Q70">_xlfn.IFS(表1_53[[#This Row],[配件1]]="","",表1_53[[#This Row],[文本丨算力丨算力值]]=0,"",表1_53[[#This Row],[文本丨算力丨算力值]]&lt;&gt;"","算力")</f>
        <v/>
      </c>
    </row>
    <row r="71" spans="2:17" x14ac:dyDescent="0.2">
      <c r="B71" s="22">
        <v>10096477527460</v>
      </c>
      <c r="C71" t="s">
        <v>479</v>
      </c>
      <c r="F71" t="str">
        <f>IF(表1_53[[#This Row],[配件1]]&lt;&gt;"",_xlfn.XLOOKUP(表1_53[[#This Row],[配件1]],显卡利益点对照表[型号],显卡利益点对照表[标题1],"ERROR"),"")</f>
        <v>RTX5060</v>
      </c>
      <c r="G71" t="str">
        <f>IF(表1_53[[#This Row],[配件1]]&lt;&gt;"",_xlfn.XLOOKUP(表1_53[[#This Row],[配件1]],显卡利益点对照表[型号],显卡利益点对照表[标题2],"ERROR"),"")</f>
        <v>风魔 8G</v>
      </c>
      <c r="H7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71" t="str">
        <f>IF(表1_53[[#This Row],[配件1]]&lt;&gt;"",_xlfn.XLOOKUP(表1_53[[#This Row],[配件1]],显卡利益点对照表[型号],显卡利益点对照表[利益点1],"ERROR"),"")</f>
        <v>铜板+复合式热管</v>
      </c>
      <c r="J71" t="str">
        <f>IF(表1_53[[#This Row],[配件1]]&lt;&gt;"",_xlfn.XLOOKUP(表1_53[[#This Row],[配件1]],显卡利益点对照表[型号],显卡利益点对照表[利益点2],"ERROR"),"")</f>
        <v>精巧双风扇</v>
      </c>
      <c r="K71" t="str">
        <f>IF(表1_53[[#This Row],[配件1]]&lt;&gt;"",_xlfn.XLOOKUP(表1_53[[#This Row],[配件1]],显卡利益点对照表[型号],显卡利益点对照表[利益点3],"ERROR"),"")</f>
        <v>仿生降噪风扇</v>
      </c>
      <c r="L71" t="str">
        <f>IF(表1_53[[#This Row],[配件1]]&lt;&gt;"",_xlfn.XLOOKUP(表1_53[[#This Row],[配件1]],显卡利益点对照表[型号],显卡利益点对照表[算力],"ERROR"),"")</f>
        <v>AI算力614 TOPS</v>
      </c>
      <c r="M71" t="str">
        <f>IF(表1_53[[#This Row],[配件1]]&lt;&gt;"",_xlfn.XLOOKUP(表1_53[[#This Row],[配件1]],显卡利益点对照表[型号],显卡利益点对照表[可显性],"ERROR"),"")</f>
        <v>GV-N5060WF2-8GD</v>
      </c>
      <c r="N7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1" t="s">
        <v>489</v>
      </c>
      <c r="Q71" t="str" cm="1">
        <f t="array" ref="Q71">_xlfn.IFS(表1_53[[#This Row],[配件1]]="","",表1_53[[#This Row],[文本丨算力丨算力值]]=0,"",表1_53[[#This Row],[文本丨算力丨算力值]]&lt;&gt;"","算力")</f>
        <v>算力</v>
      </c>
    </row>
    <row r="72" spans="2:17" x14ac:dyDescent="0.2">
      <c r="B72" s="22">
        <v>10127991509947</v>
      </c>
      <c r="C72" t="s">
        <v>480</v>
      </c>
      <c r="F72" t="str">
        <f>IF(表1_53[[#This Row],[配件1]]&lt;&gt;"",_xlfn.XLOOKUP(表1_53[[#This Row],[配件1]],显卡利益点对照表[型号],显卡利益点对照表[标题1],"ERROR"),"")</f>
        <v>RTX5060</v>
      </c>
      <c r="G72" t="str">
        <f>IF(表1_53[[#This Row],[配件1]]&lt;&gt;"",_xlfn.XLOOKUP(表1_53[[#This Row],[配件1]],显卡利益点对照表[型号],显卡利益点对照表[标题2],"ERROR"),"")</f>
        <v>猎鹰 8G</v>
      </c>
      <c r="H7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72" t="str">
        <f>IF(表1_53[[#This Row],[配件1]]&lt;&gt;"",_xlfn.XLOOKUP(表1_53[[#This Row],[配件1]],显卡利益点对照表[型号],显卡利益点对照表[利益点1],"ERROR"),"")</f>
        <v>铜板+复合式热管</v>
      </c>
      <c r="J72" t="str">
        <f>IF(表1_53[[#This Row],[配件1]]&lt;&gt;"",_xlfn.XLOOKUP(表1_53[[#This Row],[配件1]],显卡利益点对照表[型号],显卡利益点对照表[利益点2],"ERROR"),"")</f>
        <v>精巧双风扇</v>
      </c>
      <c r="K72" t="str">
        <f>IF(表1_53[[#This Row],[配件1]]&lt;&gt;"",_xlfn.XLOOKUP(表1_53[[#This Row],[配件1]],显卡利益点对照表[型号],显卡利益点对照表[利益点3],"ERROR"),"")</f>
        <v>仿生降噪风扇</v>
      </c>
      <c r="L72" t="str">
        <f>IF(表1_53[[#This Row],[配件1]]&lt;&gt;"",_xlfn.XLOOKUP(表1_53[[#This Row],[配件1]],显卡利益点对照表[型号],显卡利益点对照表[算力],"ERROR"),"")</f>
        <v>AI算力614 TOPS</v>
      </c>
      <c r="M72" t="str">
        <f>IF(表1_53[[#This Row],[配件1]]&lt;&gt;"",_xlfn.XLOOKUP(表1_53[[#This Row],[配件1]],显卡利益点对照表[型号],显卡利益点对照表[可显性],"ERROR"),"")</f>
        <v>GV-N5060EAGLE OC-8GD</v>
      </c>
      <c r="N7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2" t="s">
        <v>489</v>
      </c>
      <c r="Q72" t="str" cm="1">
        <f t="array" ref="Q72">_xlfn.IFS(表1_53[[#This Row],[配件1]]="","",表1_53[[#This Row],[文本丨算力丨算力值]]=0,"",表1_53[[#This Row],[文本丨算力丨算力值]]&lt;&gt;"","算力")</f>
        <v>算力</v>
      </c>
    </row>
    <row r="73" spans="2:17" x14ac:dyDescent="0.2">
      <c r="B73" s="22">
        <v>10127991509948</v>
      </c>
      <c r="C73" t="s">
        <v>481</v>
      </c>
      <c r="F73" t="str">
        <f>IF(表1_53[[#This Row],[配件1]]&lt;&gt;"",_xlfn.XLOOKUP(表1_53[[#This Row],[配件1]],显卡利益点对照表[型号],显卡利益点对照表[标题1],"ERROR"),"")</f>
        <v>RTX5060</v>
      </c>
      <c r="G73" t="str">
        <f>IF(表1_53[[#This Row],[配件1]]&lt;&gt;"",_xlfn.XLOOKUP(表1_53[[#This Row],[配件1]],显卡利益点对照表[型号],显卡利益点对照表[标题2],"ERROR"),"")</f>
        <v>冰猎鹰 8G</v>
      </c>
      <c r="H7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73" t="str">
        <f>IF(表1_53[[#This Row],[配件1]]&lt;&gt;"",_xlfn.XLOOKUP(表1_53[[#This Row],[配件1]],显卡利益点对照表[型号],显卡利益点对照表[利益点1],"ERROR"),"")</f>
        <v>铜板+复合式热管</v>
      </c>
      <c r="J73" t="str">
        <f>IF(表1_53[[#This Row],[配件1]]&lt;&gt;"",_xlfn.XLOOKUP(表1_53[[#This Row],[配件1]],显卡利益点对照表[型号],显卡利益点对照表[利益点2],"ERROR"),"")</f>
        <v>精巧双风扇</v>
      </c>
      <c r="K73" t="str">
        <f>IF(表1_53[[#This Row],[配件1]]&lt;&gt;"",_xlfn.XLOOKUP(表1_53[[#This Row],[配件1]],显卡利益点对照表[型号],显卡利益点对照表[利益点3],"ERROR"),"")</f>
        <v>仿生降噪风扇</v>
      </c>
      <c r="L73" t="str">
        <f>IF(表1_53[[#This Row],[配件1]]&lt;&gt;"",_xlfn.XLOOKUP(表1_53[[#This Row],[配件1]],显卡利益点对照表[型号],显卡利益点对照表[算力],"ERROR"),"")</f>
        <v>AI算力614 TOPS</v>
      </c>
      <c r="M73" t="str">
        <f>IF(表1_53[[#This Row],[配件1]]&lt;&gt;"",_xlfn.XLOOKUP(表1_53[[#This Row],[配件1]],显卡利益点对照表[型号],显卡利益点对照表[可显性],"ERROR"),"")</f>
        <v>GV-N5060EAGLEOC ICE-8GD</v>
      </c>
      <c r="N7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3" t="s">
        <v>489</v>
      </c>
      <c r="Q73" t="str" cm="1">
        <f t="array" ref="Q73">_xlfn.IFS(表1_53[[#This Row],[配件1]]="","",表1_53[[#This Row],[文本丨算力丨算力值]]=0,"",表1_53[[#This Row],[文本丨算力丨算力值]]&lt;&gt;"","算力")</f>
        <v>算力</v>
      </c>
    </row>
    <row r="74" spans="2:17" x14ac:dyDescent="0.2">
      <c r="B74" s="22">
        <v>10087909470515</v>
      </c>
      <c r="C74" t="s">
        <v>482</v>
      </c>
      <c r="F74" t="str">
        <f>IF(表1_53[[#This Row],[配件1]]&lt;&gt;"",_xlfn.XLOOKUP(表1_53[[#This Row],[配件1]],显卡利益点对照表[型号],显卡利益点对照表[标题1],"ERROR"),"")</f>
        <v>RTX5060</v>
      </c>
      <c r="G74" t="str">
        <f>IF(表1_53[[#This Row],[配件1]]&lt;&gt;"",_xlfn.XLOOKUP(表1_53[[#This Row],[配件1]],显卡利益点对照表[型号],显卡利益点对照表[标题2],"ERROR"),"")</f>
        <v>魔鹰 8G</v>
      </c>
      <c r="H7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74" t="str">
        <f>IF(表1_53[[#This Row],[配件1]]&lt;&gt;"",_xlfn.XLOOKUP(表1_53[[#This Row],[配件1]],显卡利益点对照表[型号],显卡利益点对照表[利益点1],"ERROR"),"")</f>
        <v>铜板+复合式热管</v>
      </c>
      <c r="J74" t="str">
        <f>IF(表1_53[[#This Row],[配件1]]&lt;&gt;"",_xlfn.XLOOKUP(表1_53[[#This Row],[配件1]],显卡利益点对照表[型号],显卡利益点对照表[利益点2],"ERROR"),"")</f>
        <v>RGB滑动侧板</v>
      </c>
      <c r="K74" t="str">
        <f>IF(表1_53[[#This Row],[配件1]]&lt;&gt;"",_xlfn.XLOOKUP(表1_53[[#This Row],[配件1]],显卡利益点对照表[型号],显卡利益点对照表[利益点3],"ERROR"),"")</f>
        <v>强化金属背板</v>
      </c>
      <c r="L74" t="str">
        <f>IF(表1_53[[#This Row],[配件1]]&lt;&gt;"",_xlfn.XLOOKUP(表1_53[[#This Row],[配件1]],显卡利益点对照表[型号],显卡利益点对照表[算力],"ERROR"),"")</f>
        <v>AI算力614 TOPS</v>
      </c>
      <c r="M74" t="str">
        <f>IF(表1_53[[#This Row],[配件1]]&lt;&gt;"",_xlfn.XLOOKUP(表1_53[[#This Row],[配件1]],显卡利益点对照表[型号],显卡利益点对照表[可显性],"ERROR"),"")</f>
        <v>GV-N5060GAMING OC-8GD</v>
      </c>
      <c r="N7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4" t="s">
        <v>489</v>
      </c>
      <c r="Q74" t="str" cm="1">
        <f t="array" ref="Q74">_xlfn.IFS(表1_53[[#This Row],[配件1]]="","",表1_53[[#This Row],[文本丨算力丨算力值]]=0,"",表1_53[[#This Row],[文本丨算力丨算力值]]&lt;&gt;"","算力")</f>
        <v>算力</v>
      </c>
    </row>
    <row r="75" spans="2:17" x14ac:dyDescent="0.2">
      <c r="B75" s="22">
        <v>10087909470516</v>
      </c>
      <c r="C75" t="s">
        <v>483</v>
      </c>
      <c r="F75" t="str">
        <f>IF(表1_53[[#This Row],[配件1]]&lt;&gt;"",_xlfn.XLOOKUP(表1_53[[#This Row],[配件1]],显卡利益点对照表[型号],显卡利益点对照表[标题1],"ERROR"),"")</f>
        <v>RTX5060</v>
      </c>
      <c r="G75" t="str">
        <f>IF(表1_53[[#This Row],[配件1]]&lt;&gt;"",_xlfn.XLOOKUP(表1_53[[#This Row],[配件1]],显卡利益点对照表[型号],显卡利益点对照表[标题2],"ERROR"),"")</f>
        <v>雪鹰 8G</v>
      </c>
      <c r="H7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75" t="str">
        <f>IF(表1_53[[#This Row],[配件1]]&lt;&gt;"",_xlfn.XLOOKUP(表1_53[[#This Row],[配件1]],显卡利益点对照表[型号],显卡利益点对照表[利益点1],"ERROR"),"")</f>
        <v>铜板+复合式热管</v>
      </c>
      <c r="J75" t="str">
        <f>IF(表1_53[[#This Row],[配件1]]&lt;&gt;"",_xlfn.XLOOKUP(表1_53[[#This Row],[配件1]],显卡利益点对照表[型号],显卡利益点对照表[利益点2],"ERROR"),"")</f>
        <v>银白雪装外观</v>
      </c>
      <c r="K75" t="str">
        <f>IF(表1_53[[#This Row],[配件1]]&lt;&gt;"",_xlfn.XLOOKUP(表1_53[[#This Row],[配件1]],显卡利益点对照表[型号],显卡利益点对照表[利益点3],"ERROR"),"")</f>
        <v>强化金属背板</v>
      </c>
      <c r="L75" t="str">
        <f>IF(表1_53[[#This Row],[配件1]]&lt;&gt;"",_xlfn.XLOOKUP(表1_53[[#This Row],[配件1]],显卡利益点对照表[型号],显卡利益点对照表[算力],"ERROR"),"")</f>
        <v>AI算力614 TOPS</v>
      </c>
      <c r="M75" t="str">
        <f>IF(表1_53[[#This Row],[配件1]]&lt;&gt;"",_xlfn.XLOOKUP(表1_53[[#This Row],[配件1]],显卡利益点对照表[型号],显卡利益点对照表[可显性],"ERROR"),"")</f>
        <v>GV-N5060AERO OC-8GD</v>
      </c>
      <c r="N7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5" t="s">
        <v>489</v>
      </c>
      <c r="Q75" t="str" cm="1">
        <f t="array" ref="Q75">_xlfn.IFS(表1_53[[#This Row],[配件1]]="","",表1_53[[#This Row],[文本丨算力丨算力值]]=0,"",表1_53[[#This Row],[文本丨算力丨算力值]]&lt;&gt;"","算力")</f>
        <v>算力</v>
      </c>
    </row>
    <row r="76" spans="2:17" x14ac:dyDescent="0.2">
      <c r="F76" t="str">
        <f>IF(表1_53[[#This Row],[配件1]]&lt;&gt;"",_xlfn.XLOOKUP(表1_53[[#This Row],[配件1]],显卡利益点对照表[型号],显卡利益点对照表[标题1],"ERROR"),"")</f>
        <v/>
      </c>
      <c r="G76" t="str">
        <f>IF(表1_53[[#This Row],[配件1]]&lt;&gt;"",_xlfn.XLOOKUP(表1_53[[#This Row],[配件1]],显卡利益点对照表[型号],显卡利益点对照表[标题2],"ERROR"),"")</f>
        <v/>
      </c>
      <c r="H7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76" t="str">
        <f>IF(表1_53[[#This Row],[配件1]]&lt;&gt;"",_xlfn.XLOOKUP(表1_53[[#This Row],[配件1]],显卡利益点对照表[型号],显卡利益点对照表[利益点1],"ERROR"),"")</f>
        <v/>
      </c>
      <c r="J76" t="str">
        <f>IF(表1_53[[#This Row],[配件1]]&lt;&gt;"",_xlfn.XLOOKUP(表1_53[[#This Row],[配件1]],显卡利益点对照表[型号],显卡利益点对照表[利益点2],"ERROR"),"")</f>
        <v/>
      </c>
      <c r="K76" t="str">
        <f>IF(表1_53[[#This Row],[配件1]]&lt;&gt;"",_xlfn.XLOOKUP(表1_53[[#This Row],[配件1]],显卡利益点对照表[型号],显卡利益点对照表[利益点3],"ERROR"),"")</f>
        <v/>
      </c>
      <c r="L76" t="str">
        <f>IF(表1_53[[#This Row],[配件1]]&lt;&gt;"",_xlfn.XLOOKUP(表1_53[[#This Row],[配件1]],显卡利益点对照表[型号],显卡利益点对照表[算力],"ERROR"),"")</f>
        <v/>
      </c>
      <c r="M76" t="str">
        <f>IF(表1_53[[#This Row],[配件1]]&lt;&gt;"",_xlfn.XLOOKUP(表1_53[[#This Row],[配件1]],显卡利益点对照表[型号],显卡利益点对照表[可显性],"ERROR"),"")</f>
        <v/>
      </c>
      <c r="N7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76" t="str" cm="1">
        <f t="array" ref="Q76">_xlfn.IFS(表1_53[[#This Row],[配件1]]="","",表1_53[[#This Row],[文本丨算力丨算力值]]=0,"",表1_53[[#This Row],[文本丨算力丨算力值]]&lt;&gt;"","算力")</f>
        <v/>
      </c>
    </row>
    <row r="77" spans="2:17" x14ac:dyDescent="0.2">
      <c r="F77" t="str">
        <f>IF(表1_53[[#This Row],[配件1]]&lt;&gt;"",_xlfn.XLOOKUP(表1_53[[#This Row],[配件1]],显卡利益点对照表[型号],显卡利益点对照表[标题1],"ERROR"),"")</f>
        <v/>
      </c>
      <c r="G77" t="str">
        <f>IF(表1_53[[#This Row],[配件1]]&lt;&gt;"",_xlfn.XLOOKUP(表1_53[[#This Row],[配件1]],显卡利益点对照表[型号],显卡利益点对照表[标题2],"ERROR"),"")</f>
        <v/>
      </c>
      <c r="H7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77" t="str">
        <f>IF(表1_53[[#This Row],[配件1]]&lt;&gt;"",_xlfn.XLOOKUP(表1_53[[#This Row],[配件1]],显卡利益点对照表[型号],显卡利益点对照表[利益点1],"ERROR"),"")</f>
        <v/>
      </c>
      <c r="J77" t="str">
        <f>IF(表1_53[[#This Row],[配件1]]&lt;&gt;"",_xlfn.XLOOKUP(表1_53[[#This Row],[配件1]],显卡利益点对照表[型号],显卡利益点对照表[利益点2],"ERROR"),"")</f>
        <v/>
      </c>
      <c r="K77" t="str">
        <f>IF(表1_53[[#This Row],[配件1]]&lt;&gt;"",_xlfn.XLOOKUP(表1_53[[#This Row],[配件1]],显卡利益点对照表[型号],显卡利益点对照表[利益点3],"ERROR"),"")</f>
        <v/>
      </c>
      <c r="L77" t="str">
        <f>IF(表1_53[[#This Row],[配件1]]&lt;&gt;"",_xlfn.XLOOKUP(表1_53[[#This Row],[配件1]],显卡利益点对照表[型号],显卡利益点对照表[算力],"ERROR"),"")</f>
        <v/>
      </c>
      <c r="M77" t="str">
        <f>IF(表1_53[[#This Row],[配件1]]&lt;&gt;"",_xlfn.XLOOKUP(表1_53[[#This Row],[配件1]],显卡利益点对照表[型号],显卡利益点对照表[可显性],"ERROR"),"")</f>
        <v/>
      </c>
      <c r="N7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77" t="str" cm="1">
        <f t="array" ref="Q77">_xlfn.IFS(表1_53[[#This Row],[配件1]]="","",表1_53[[#This Row],[文本丨算力丨算力值]]=0,"",表1_53[[#This Row],[文本丨算力丨算力值]]&lt;&gt;"","算力")</f>
        <v/>
      </c>
    </row>
    <row r="78" spans="2:17" x14ac:dyDescent="0.2">
      <c r="B78" s="22">
        <v>12</v>
      </c>
      <c r="C78" t="s">
        <v>444</v>
      </c>
      <c r="F78" t="str">
        <f>IF(表1_53[[#This Row],[配件1]]&lt;&gt;"",_xlfn.XLOOKUP(表1_53[[#This Row],[配件1]],显卡利益点对照表[型号],显卡利益点对照表[标题1],"ERROR"),"")</f>
        <v>RX9070GRE</v>
      </c>
      <c r="G78" t="str">
        <f>IF(表1_53[[#This Row],[配件1]]&lt;&gt;"",_xlfn.XLOOKUP(表1_53[[#This Row],[配件1]],显卡利益点对照表[型号],显卡利益点对照表[标题2],"ERROR"),"")</f>
        <v>12G 魔鹰</v>
      </c>
      <c r="H7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78" t="str">
        <f>IF(表1_53[[#This Row],[配件1]]&lt;&gt;"",_xlfn.XLOOKUP(表1_53[[#This Row],[配件1]],显卡利益点对照表[型号],显卡利益点对照表[利益点1],"ERROR"),"")</f>
        <v>双BIOS模式</v>
      </c>
      <c r="J78" t="str">
        <f>IF(表1_53[[#This Row],[配件1]]&lt;&gt;"",_xlfn.XLOOKUP(表1_53[[#This Row],[配件1]],显卡利益点对照表[型号],显卡利益点对照表[利益点2],"ERROR"),"")</f>
        <v>服务器级导热凝胶</v>
      </c>
      <c r="K78" t="str">
        <f>IF(表1_53[[#This Row],[配件1]]&lt;&gt;"",_xlfn.XLOOKUP(表1_53[[#This Row],[配件1]],显卡利益点对照表[型号],显卡利益点对照表[利益点3],"ERROR"),"")</f>
        <v>正逆转仿生风扇</v>
      </c>
      <c r="L78">
        <f>IF(表1_53[[#This Row],[配件1]]&lt;&gt;"",_xlfn.XLOOKUP(表1_53[[#This Row],[配件1]],显卡利益点对照表[型号],显卡利益点对照表[算力],"ERROR"),"")</f>
        <v>0</v>
      </c>
      <c r="M78" t="str">
        <f>IF(表1_53[[#This Row],[配件1]]&lt;&gt;"",_xlfn.XLOOKUP(表1_53[[#This Row],[配件1]],显卡利益点对照表[型号],显卡利益点对照表[可显性],"ERROR"),"")</f>
        <v>GV-R907GREGAMING OC-12GD</v>
      </c>
      <c r="N7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P78" t="s">
        <v>505</v>
      </c>
      <c r="Q78" t="str" cm="1">
        <f t="array" ref="Q78">_xlfn.IFS(表1_53[[#This Row],[配件1]]="","",表1_53[[#This Row],[文本丨算力丨算力值]]=0,"",表1_53[[#This Row],[文本丨算力丨算力值]]&lt;&gt;"","算力")</f>
        <v/>
      </c>
    </row>
    <row r="79" spans="2:17" x14ac:dyDescent="0.2">
      <c r="B79" s="22">
        <v>24</v>
      </c>
      <c r="C79" t="s">
        <v>444</v>
      </c>
      <c r="F79" t="str">
        <f>IF(表1_53[[#This Row],[配件1]]&lt;&gt;"",_xlfn.XLOOKUP(表1_53[[#This Row],[配件1]],显卡利益点对照表[型号],显卡利益点对照表[标题1],"ERROR"),"")</f>
        <v>RX9070GRE</v>
      </c>
      <c r="G79" t="str">
        <f>IF(表1_53[[#This Row],[配件1]]&lt;&gt;"",_xlfn.XLOOKUP(表1_53[[#This Row],[配件1]],显卡利益点对照表[型号],显卡利益点对照表[标题2],"ERROR"),"")</f>
        <v>12G 魔鹰</v>
      </c>
      <c r="H7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79" t="str">
        <f>IF(表1_53[[#This Row],[配件1]]&lt;&gt;"",_xlfn.XLOOKUP(表1_53[[#This Row],[配件1]],显卡利益点对照表[型号],显卡利益点对照表[利益点1],"ERROR"),"")</f>
        <v>双BIOS模式</v>
      </c>
      <c r="J79" t="str">
        <f>IF(表1_53[[#This Row],[配件1]]&lt;&gt;"",_xlfn.XLOOKUP(表1_53[[#This Row],[配件1]],显卡利益点对照表[型号],显卡利益点对照表[利益点2],"ERROR"),"")</f>
        <v>服务器级导热凝胶</v>
      </c>
      <c r="K79" t="str">
        <f>IF(表1_53[[#This Row],[配件1]]&lt;&gt;"",_xlfn.XLOOKUP(表1_53[[#This Row],[配件1]],显卡利益点对照表[型号],显卡利益点对照表[利益点3],"ERROR"),"")</f>
        <v>正逆转仿生风扇</v>
      </c>
      <c r="L79">
        <f>IF(表1_53[[#This Row],[配件1]]&lt;&gt;"",_xlfn.XLOOKUP(表1_53[[#This Row],[配件1]],显卡利益点对照表[型号],显卡利益点对照表[算力],"ERROR"),"")</f>
        <v>0</v>
      </c>
      <c r="M79" t="str">
        <f>IF(表1_53[[#This Row],[配件1]]&lt;&gt;"",_xlfn.XLOOKUP(表1_53[[#This Row],[配件1]],显卡利益点对照表[型号],显卡利益点对照表[可显性],"ERROR"),"")</f>
        <v>GV-R907GREGAMING OC-12GD</v>
      </c>
      <c r="N7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P79" t="s">
        <v>489</v>
      </c>
      <c r="Q79" t="str" cm="1">
        <f t="array" ref="Q79">_xlfn.IFS(表1_53[[#This Row],[配件1]]="","",表1_53[[#This Row],[文本丨算力丨算力值]]=0,"",表1_53[[#This Row],[文本丨算力丨算力值]]&lt;&gt;"","算力")</f>
        <v/>
      </c>
    </row>
    <row r="80" spans="2:17" x14ac:dyDescent="0.2">
      <c r="C80" s="46"/>
      <c r="F80" s="47" t="str">
        <f>IF(表1_53[[#This Row],[配件1]]&lt;&gt;"",_xlfn.XLOOKUP(表1_53[[#This Row],[配件1]],显卡利益点对照表[型号],显卡利益点对照表[标题1],"ERROR"),"")</f>
        <v/>
      </c>
      <c r="G80" s="47" t="str">
        <f>IF(表1_53[[#This Row],[配件1]]&lt;&gt;"",_xlfn.XLOOKUP(表1_53[[#This Row],[配件1]],显卡利益点对照表[型号],显卡利益点对照表[标题2],"ERROR"),"")</f>
        <v/>
      </c>
      <c r="H80" s="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0" s="47" t="str">
        <f>IF(表1_53[[#This Row],[配件1]]&lt;&gt;"",_xlfn.XLOOKUP(表1_53[[#This Row],[配件1]],显卡利益点对照表[型号],显卡利益点对照表[利益点1],"ERROR"),"")</f>
        <v/>
      </c>
      <c r="J80" s="47" t="str">
        <f>IF(表1_53[[#This Row],[配件1]]&lt;&gt;"",_xlfn.XLOOKUP(表1_53[[#This Row],[配件1]],显卡利益点对照表[型号],显卡利益点对照表[利益点2],"ERROR"),"")</f>
        <v/>
      </c>
      <c r="K80" s="47" t="str">
        <f>IF(表1_53[[#This Row],[配件1]]&lt;&gt;"",_xlfn.XLOOKUP(表1_53[[#This Row],[配件1]],显卡利益点对照表[型号],显卡利益点对照表[利益点3],"ERROR"),"")</f>
        <v/>
      </c>
      <c r="L80" s="47" t="str">
        <f>IF(表1_53[[#This Row],[配件1]]&lt;&gt;"",_xlfn.XLOOKUP(表1_53[[#This Row],[配件1]],显卡利益点对照表[型号],显卡利益点对照表[算力],"ERROR"),"")</f>
        <v/>
      </c>
      <c r="M80" s="47" t="str">
        <f>IF(表1_53[[#This Row],[配件1]]&lt;&gt;"",_xlfn.XLOOKUP(表1_53[[#This Row],[配件1]],显卡利益点对照表[型号],显卡利益点对照表[可显性],"ERROR"),"")</f>
        <v/>
      </c>
      <c r="N80" s="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0" s="4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0" s="47" t="str" cm="1">
        <f t="array" ref="Q80">_xlfn.IFS(表1_53[[#This Row],[配件1]]="","",表1_53[[#This Row],[文本丨算力丨算力值]]=0,"",表1_53[[#This Row],[文本丨算力丨算力值]]&lt;&gt;"","算力")</f>
        <v/>
      </c>
    </row>
    <row r="81" spans="2:17" x14ac:dyDescent="0.2">
      <c r="B81" s="22">
        <v>24</v>
      </c>
      <c r="C81" t="s">
        <v>444</v>
      </c>
      <c r="F81" t="str">
        <f>IF(表1_53[[#This Row],[配件1]]&lt;&gt;"",_xlfn.XLOOKUP(表1_53[[#This Row],[配件1]],显卡利益点对照表[型号],显卡利益点对照表[标题1],"ERROR"),"")</f>
        <v>RX9070GRE</v>
      </c>
      <c r="G81" t="str">
        <f>IF(表1_53[[#This Row],[配件1]]&lt;&gt;"",_xlfn.XLOOKUP(表1_53[[#This Row],[配件1]],显卡利益点对照表[型号],显卡利益点对照表[标题2],"ERROR"),"")</f>
        <v>12G 魔鹰</v>
      </c>
      <c r="H8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81" t="str">
        <f>IF(表1_53[[#This Row],[配件1]]&lt;&gt;"",_xlfn.XLOOKUP(表1_53[[#This Row],[配件1]],显卡利益点对照表[型号],显卡利益点对照表[利益点1],"ERROR"),"")</f>
        <v>双BIOS模式</v>
      </c>
      <c r="J81" t="str">
        <f>IF(表1_53[[#This Row],[配件1]]&lt;&gt;"",_xlfn.XLOOKUP(表1_53[[#This Row],[配件1]],显卡利益点对照表[型号],显卡利益点对照表[利益点2],"ERROR"),"")</f>
        <v>服务器级导热凝胶</v>
      </c>
      <c r="K81" t="str">
        <f>IF(表1_53[[#This Row],[配件1]]&lt;&gt;"",_xlfn.XLOOKUP(表1_53[[#This Row],[配件1]],显卡利益点对照表[型号],显卡利益点对照表[利益点3],"ERROR"),"")</f>
        <v>正逆转仿生风扇</v>
      </c>
      <c r="L81">
        <f>IF(表1_53[[#This Row],[配件1]]&lt;&gt;"",_xlfn.XLOOKUP(表1_53[[#This Row],[配件1]],显卡利益点对照表[型号],显卡利益点对照表[算力],"ERROR"),"")</f>
        <v>0</v>
      </c>
      <c r="M81" t="str">
        <f>IF(表1_53[[#This Row],[配件1]]&lt;&gt;"",_xlfn.XLOOKUP(表1_53[[#This Row],[配件1]],显卡利益点对照表[型号],显卡利益点对照表[可显性],"ERROR"),"")</f>
        <v>GV-R907GREGAMING OC-12GD</v>
      </c>
      <c r="N8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1" s="47" t="str" cm="1">
        <f t="array" ref="Q81">_xlfn.IFS(表1_53[[#This Row],[配件1]]="","",表1_53[[#This Row],[文本丨算力丨算力值]]=0,"",表1_53[[#This Row],[文本丨算力丨算力值]]&lt;&gt;"","算力")</f>
        <v/>
      </c>
    </row>
    <row r="82" spans="2:17" x14ac:dyDescent="0.2">
      <c r="F82" t="str">
        <f>IF(表1_53[[#This Row],[配件1]]&lt;&gt;"",_xlfn.XLOOKUP(表1_53[[#This Row],[配件1]],显卡利益点对照表[型号],显卡利益点对照表[标题1],"ERROR"),"")</f>
        <v/>
      </c>
      <c r="G82" t="str">
        <f>IF(表1_53[[#This Row],[配件1]]&lt;&gt;"",_xlfn.XLOOKUP(表1_53[[#This Row],[配件1]],显卡利益点对照表[型号],显卡利益点对照表[标题2],"ERROR"),"")</f>
        <v/>
      </c>
      <c r="H8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2" t="str">
        <f>IF(表1_53[[#This Row],[配件1]]&lt;&gt;"",_xlfn.XLOOKUP(表1_53[[#This Row],[配件1]],显卡利益点对照表[型号],显卡利益点对照表[利益点1],"ERROR"),"")</f>
        <v/>
      </c>
      <c r="J82" t="str">
        <f>IF(表1_53[[#This Row],[配件1]]&lt;&gt;"",_xlfn.XLOOKUP(表1_53[[#This Row],[配件1]],显卡利益点对照表[型号],显卡利益点对照表[利益点2],"ERROR"),"")</f>
        <v/>
      </c>
      <c r="K82" t="str">
        <f>IF(表1_53[[#This Row],[配件1]]&lt;&gt;"",_xlfn.XLOOKUP(表1_53[[#This Row],[配件1]],显卡利益点对照表[型号],显卡利益点对照表[利益点3],"ERROR"),"")</f>
        <v/>
      </c>
      <c r="L82" t="str">
        <f>IF(表1_53[[#This Row],[配件1]]&lt;&gt;"",_xlfn.XLOOKUP(表1_53[[#This Row],[配件1]],显卡利益点对照表[型号],显卡利益点对照表[算力],"ERROR"),"")</f>
        <v/>
      </c>
      <c r="M82" t="str">
        <f>IF(表1_53[[#This Row],[配件1]]&lt;&gt;"",_xlfn.XLOOKUP(表1_53[[#This Row],[配件1]],显卡利益点对照表[型号],显卡利益点对照表[可显性],"ERROR"),"")</f>
        <v/>
      </c>
      <c r="N8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2" t="str" cm="1">
        <f t="array" ref="Q82">_xlfn.IFS(表1_53[[#This Row],[配件1]]="","",表1_53[[#This Row],[文本丨算力丨算力值]]=0,"",表1_53[[#This Row],[文本丨算力丨算力值]]&lt;&gt;"","算力")</f>
        <v/>
      </c>
    </row>
    <row r="83" spans="2:17" x14ac:dyDescent="0.2">
      <c r="B83" s="26" t="s">
        <v>537</v>
      </c>
      <c r="C83" s="27" t="s">
        <v>537</v>
      </c>
      <c r="D83" s="27"/>
      <c r="E83" s="27"/>
      <c r="F83" s="27" t="str">
        <f>IF(表1_53[[#This Row],[配件1]]&lt;&gt;"",_xlfn.XLOOKUP(表1_53[[#This Row],[配件1]],显卡利益点对照表[型号],显卡利益点对照表[标题1],"ERROR"),"")</f>
        <v>GT1030 2GI</v>
      </c>
      <c r="G83" s="27" t="str">
        <f>IF(表1_53[[#This Row],[配件1]]&lt;&gt;"",_xlfn.XLOOKUP(表1_53[[#This Row],[配件1]],显卡利益点对照表[型号],显卡利益点对照表[标题2],"ERROR"),"")</f>
        <v>OC - 2GI</v>
      </c>
      <c r="H83" s="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耐久之选</v>
      </c>
      <c r="I83" s="27" t="str">
        <f>IF(表1_53[[#This Row],[配件1]]&lt;&gt;"",_xlfn.XLOOKUP(表1_53[[#This Row],[配件1]],显卡利益点对照表[型号],显卡利益点对照表[利益点1],"ERROR"),"")</f>
        <v>三年质保/个人送保</v>
      </c>
      <c r="J83" s="27" t="str">
        <f>IF(表1_53[[#This Row],[配件1]]&lt;&gt;"",_xlfn.XLOOKUP(表1_53[[#This Row],[配件1]],显卡利益点对照表[型号],显卡利益点对照表[利益点2],"ERROR"),"")</f>
        <v>耐久之选</v>
      </c>
      <c r="K83" s="27">
        <f>IF(表1_53[[#This Row],[配件1]]&lt;&gt;"",_xlfn.XLOOKUP(表1_53[[#This Row],[配件1]],显卡利益点对照表[型号],显卡利益点对照表[利益点3],"ERROR"),"")</f>
        <v>0</v>
      </c>
      <c r="L83" s="27">
        <f>IF(表1_53[[#This Row],[配件1]]&lt;&gt;"",_xlfn.XLOOKUP(表1_53[[#This Row],[配件1]],显卡利益点对照表[型号],显卡利益点对照表[算力],"ERROR"),"")</f>
        <v>0</v>
      </c>
      <c r="M83" s="27" t="str">
        <f>IF(表1_53[[#This Row],[配件1]]&lt;&gt;"",_xlfn.XLOOKUP(表1_53[[#This Row],[配件1]],显卡利益点对照表[型号],显卡利益点对照表[可显性],"ERROR"),"")</f>
        <v>1030OC-2GI</v>
      </c>
      <c r="N8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</row>
    <row r="84" spans="2:17" x14ac:dyDescent="0.2">
      <c r="B84" s="26" t="s">
        <v>529</v>
      </c>
      <c r="C84" s="27" t="s">
        <v>529</v>
      </c>
      <c r="D84" s="27"/>
      <c r="E84" s="27"/>
      <c r="F84" s="27" t="str">
        <f>IF(表1_53[[#This Row],[配件1]]&lt;&gt;"",_xlfn.XLOOKUP(表1_53[[#This Row],[配件1]],显卡利益点对照表[型号],显卡利益点对照表[标题1],"ERROR"),"")</f>
        <v>RTX4060</v>
      </c>
      <c r="G84" s="27" t="str">
        <f>IF(表1_53[[#This Row],[配件1]]&lt;&gt;"",_xlfn.XLOOKUP(表1_53[[#This Row],[配件1]],显卡利益点对照表[型号],显卡利益点对照表[标题2],"ERROR"),"")</f>
        <v>OC - 8GL</v>
      </c>
      <c r="H84" s="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半高刀卡</v>
      </c>
      <c r="I84" s="27" t="str">
        <f>IF(表1_53[[#This Row],[配件1]]&lt;&gt;"",_xlfn.XLOOKUP(表1_53[[#This Row],[配件1]],显卡利益点对照表[型号],显卡利益点对照表[利益点1],"ERROR"),"")</f>
        <v>三年质保/个人送保</v>
      </c>
      <c r="J84" s="27" t="str">
        <f>IF(表1_53[[#This Row],[配件1]]&lt;&gt;"",_xlfn.XLOOKUP(表1_53[[#This Row],[配件1]],显卡利益点对照表[型号],显卡利益点对照表[利益点2],"ERROR"),"")</f>
        <v>精巧半高卡设计丨25</v>
      </c>
      <c r="K84" s="27">
        <f>IF(表1_53[[#This Row],[配件1]]&lt;&gt;"",_xlfn.XLOOKUP(表1_53[[#This Row],[配件1]],显卡利益点对照表[型号],显卡利益点对照表[利益点3],"ERROR"),"")</f>
        <v>0</v>
      </c>
      <c r="L84" s="27">
        <f>IF(表1_53[[#This Row],[配件1]]&lt;&gt;"",_xlfn.XLOOKUP(表1_53[[#This Row],[配件1]],显卡利益点对照表[型号],显卡利益点对照表[算力],"ERROR"),"")</f>
        <v>0</v>
      </c>
      <c r="M84" s="27" t="str">
        <f>IF(表1_53[[#This Row],[配件1]]&lt;&gt;"",_xlfn.XLOOKUP(表1_53[[#This Row],[配件1]],显卡利益点对照表[型号],显卡利益点对照表[可显性],"ERROR"),"")</f>
        <v>4060 OC-8GL 半高刀卡</v>
      </c>
      <c r="N8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4" t="str" cm="1">
        <f t="array" ref="Q84">_xlfn.IFS(表1_53[[#This Row],[配件1]]="","",表1_53[[#This Row],[文本丨算力丨算力值]]=0,"",表1_53[[#This Row],[文本丨算力丨算力值]]&lt;&gt;"","算力")</f>
        <v/>
      </c>
    </row>
    <row r="85" spans="2:17" x14ac:dyDescent="0.2">
      <c r="B85" s="26" t="s">
        <v>530</v>
      </c>
      <c r="C85" s="27" t="s">
        <v>530</v>
      </c>
      <c r="D85" s="27"/>
      <c r="E85" s="27"/>
      <c r="F85" s="27" t="str">
        <f>IF(表1_53[[#This Row],[配件1]]&lt;&gt;"",_xlfn.XLOOKUP(表1_53[[#This Row],[配件1]],显卡利益点对照表[型号],显卡利益点对照表[标题1],"ERROR"),"")</f>
        <v>RTX4060</v>
      </c>
      <c r="G85" s="27" t="str">
        <f>IF(表1_53[[#This Row],[配件1]]&lt;&gt;"",_xlfn.XLOOKUP(表1_53[[#This Row],[配件1]],显卡利益点对照表[型号],显卡利益点对照表[标题2],"ERROR"),"")</f>
        <v>8G 风魔</v>
      </c>
      <c r="H85" s="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WF2OC</v>
      </c>
      <c r="I85" s="27" t="str">
        <f>IF(表1_53[[#This Row],[配件1]]&lt;&gt;"",_xlfn.XLOOKUP(表1_53[[#This Row],[配件1]],显卡利益点对照表[型号],显卡利益点对照表[利益点1],"ERROR"),"")</f>
        <v>三年质保/个人送保</v>
      </c>
      <c r="J85" s="27" t="str">
        <f>IF(表1_53[[#This Row],[配件1]]&lt;&gt;"",_xlfn.XLOOKUP(表1_53[[#This Row],[配件1]],显卡利益点对照表[型号],显卡利益点对照表[利益点2],"ERROR"),"")</f>
        <v>正逆转风扇</v>
      </c>
      <c r="K85" s="27">
        <f>IF(表1_53[[#This Row],[配件1]]&lt;&gt;"",_xlfn.XLOOKUP(表1_53[[#This Row],[配件1]],显卡利益点对照表[型号],显卡利益点对照表[利益点3],"ERROR"),"")</f>
        <v>0</v>
      </c>
      <c r="L85" s="27">
        <f>IF(表1_53[[#This Row],[配件1]]&lt;&gt;"",_xlfn.XLOOKUP(表1_53[[#This Row],[配件1]],显卡利益点对照表[型号],显卡利益点对照表[算力],"ERROR"),"")</f>
        <v>0</v>
      </c>
      <c r="M85" s="27" t="str">
        <f>IF(表1_53[[#This Row],[配件1]]&lt;&gt;"",_xlfn.XLOOKUP(表1_53[[#This Row],[配件1]],显卡利益点对照表[型号],显卡利益点对照表[可显性],"ERROR"),"")</f>
        <v>4060 WF2OC-8GD 风魔</v>
      </c>
      <c r="N8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5" t="str" cm="1">
        <f t="array" ref="Q85">_xlfn.IFS(表1_53[[#This Row],[配件1]]="","",表1_53[[#This Row],[文本丨算力丨算力值]]=0,"",表1_53[[#This Row],[文本丨算力丨算力值]]&lt;&gt;"","算力")</f>
        <v/>
      </c>
    </row>
    <row r="86" spans="2:17" x14ac:dyDescent="0.2">
      <c r="B86" s="26"/>
      <c r="C86" s="27" t="s">
        <v>531</v>
      </c>
      <c r="D86" s="27"/>
      <c r="E86" s="27"/>
      <c r="F86" s="27" t="str">
        <f>IF(表1_53[[#This Row],[配件1]]&lt;&gt;"",_xlfn.XLOOKUP(表1_53[[#This Row],[配件1]],显卡利益点对照表[型号],显卡利益点对照表[标题1],"ERROR"),"")</f>
        <v>RTX4060</v>
      </c>
      <c r="G86" s="27" t="str">
        <f>IF(表1_53[[#This Row],[配件1]]&lt;&gt;"",_xlfn.XLOOKUP(表1_53[[#This Row],[配件1]],显卡利益点对照表[型号],显卡利益点对照表[标题2],"ERROR"),"")</f>
        <v>8G 猎鹰</v>
      </c>
      <c r="H86" s="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86" s="27" t="str">
        <f>IF(表1_53[[#This Row],[配件1]]&lt;&gt;"",_xlfn.XLOOKUP(表1_53[[#This Row],[配件1]],显卡利益点对照表[型号],显卡利益点对照表[利益点1],"ERROR"),"")</f>
        <v>三年质保/个人送保</v>
      </c>
      <c r="J86" s="27" t="str">
        <f>IF(表1_53[[#This Row],[配件1]]&lt;&gt;"",_xlfn.XLOOKUP(表1_53[[#This Row],[配件1]],显卡利益点对照表[型号],显卡利益点对照表[利益点2],"ERROR"),"")</f>
        <v>正逆转风扇</v>
      </c>
      <c r="K86" s="27">
        <f>IF(表1_53[[#This Row],[配件1]]&lt;&gt;"",_xlfn.XLOOKUP(表1_53[[#This Row],[配件1]],显卡利益点对照表[型号],显卡利益点对照表[利益点3],"ERROR"),"")</f>
        <v>0</v>
      </c>
      <c r="L86" s="27">
        <f>IF(表1_53[[#This Row],[配件1]]&lt;&gt;"",_xlfn.XLOOKUP(表1_53[[#This Row],[配件1]],显卡利益点对照表[型号],显卡利益点对照表[算力],"ERROR"),"")</f>
        <v>0</v>
      </c>
      <c r="M86" s="27" t="str">
        <f>IF(表1_53[[#This Row],[配件1]]&lt;&gt;"",_xlfn.XLOOKUP(表1_53[[#This Row],[配件1]],显卡利益点对照表[型号],显卡利益点对照表[可显性],"ERROR"),"")</f>
        <v>4060 EAGLE OC-8GD 猎鹰</v>
      </c>
      <c r="N8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6" t="str" cm="1">
        <f t="array" ref="Q86">_xlfn.IFS(表1_53[[#This Row],[配件1]]="","",表1_53[[#This Row],[文本丨算力丨算力值]]=0,"",表1_53[[#This Row],[文本丨算力丨算力值]]&lt;&gt;"","算力")</f>
        <v/>
      </c>
    </row>
    <row r="87" spans="2:17" x14ac:dyDescent="0.2">
      <c r="B87" s="26" t="s">
        <v>532</v>
      </c>
      <c r="C87" s="27" t="s">
        <v>532</v>
      </c>
      <c r="D87" s="27"/>
      <c r="E87" s="27"/>
      <c r="F87" s="27" t="str">
        <f>IF(表1_53[[#This Row],[配件1]]&lt;&gt;"",_xlfn.XLOOKUP(表1_53[[#This Row],[配件1]],显卡利益点对照表[型号],显卡利益点对照表[标题1],"ERROR"),"")</f>
        <v>RTX4060</v>
      </c>
      <c r="G87" s="27" t="str">
        <f>IF(表1_53[[#This Row],[配件1]]&lt;&gt;"",_xlfn.XLOOKUP(表1_53[[#This Row],[配件1]],显卡利益点对照表[型号],显卡利益点对照表[标题2],"ERROR"),"")</f>
        <v>8G 冰猎鹰</v>
      </c>
      <c r="H87" s="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ICE OC</v>
      </c>
      <c r="I87" s="27" t="str">
        <f>IF(表1_53[[#This Row],[配件1]]&lt;&gt;"",_xlfn.XLOOKUP(表1_53[[#This Row],[配件1]],显卡利益点对照表[型号],显卡利益点对照表[利益点1],"ERROR"),"")</f>
        <v>三年质保/个人送保</v>
      </c>
      <c r="J87" s="27" t="str">
        <f>IF(表1_53[[#This Row],[配件1]]&lt;&gt;"",_xlfn.XLOOKUP(表1_53[[#This Row],[配件1]],显卡利益点对照表[型号],显卡利益点对照表[利益点2],"ERROR"),"")</f>
        <v>银白雪装外观</v>
      </c>
      <c r="K87" s="27">
        <f>IF(表1_53[[#This Row],[配件1]]&lt;&gt;"",_xlfn.XLOOKUP(表1_53[[#This Row],[配件1]],显卡利益点对照表[型号],显卡利益点对照表[利益点3],"ERROR"),"")</f>
        <v>0</v>
      </c>
      <c r="L87" s="27">
        <f>IF(表1_53[[#This Row],[配件1]]&lt;&gt;"",_xlfn.XLOOKUP(表1_53[[#This Row],[配件1]],显卡利益点对照表[型号],显卡利益点对照表[算力],"ERROR"),"")</f>
        <v>0</v>
      </c>
      <c r="M87" s="27" t="str">
        <f>IF(表1_53[[#This Row],[配件1]]&lt;&gt;"",_xlfn.XLOOKUP(表1_53[[#This Row],[配件1]],显卡利益点对照表[型号],显卡利益点对照表[可显性],"ERROR"),"")</f>
        <v>4060 EAGLE OC ICE-8GD 冰猎鹰</v>
      </c>
      <c r="N8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7" t="str" cm="1">
        <f t="array" ref="Q87">_xlfn.IFS(表1_53[[#This Row],[配件1]]="","",表1_53[[#This Row],[文本丨算力丨算力值]]=0,"",表1_53[[#This Row],[文本丨算力丨算力值]]&lt;&gt;"","算力")</f>
        <v/>
      </c>
    </row>
    <row r="88" spans="2:17" x14ac:dyDescent="0.2">
      <c r="B88" s="26" t="s">
        <v>533</v>
      </c>
      <c r="C88" s="27" t="s">
        <v>533</v>
      </c>
      <c r="D88" s="27"/>
      <c r="E88" s="27"/>
      <c r="F88" s="27" t="str">
        <f>IF(表1_53[[#This Row],[配件1]]&lt;&gt;"",_xlfn.XLOOKUP(表1_53[[#This Row],[配件1]],显卡利益点对照表[型号],显卡利益点对照表[标题1],"ERROR"),"")</f>
        <v>RTX4060</v>
      </c>
      <c r="G88" s="27" t="str">
        <f>IF(表1_53[[#This Row],[配件1]]&lt;&gt;"",_xlfn.XLOOKUP(表1_53[[#This Row],[配件1]],显卡利益点对照表[型号],显卡利益点对照表[标题2],"ERROR"),"")</f>
        <v>8G 魔鹰</v>
      </c>
      <c r="H88" s="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88" s="27" t="str">
        <f>IF(表1_53[[#This Row],[配件1]]&lt;&gt;"",_xlfn.XLOOKUP(表1_53[[#This Row],[配件1]],显卡利益点对照表[型号],显卡利益点对照表[利益点1],"ERROR"),"")</f>
        <v>三年质保/个人送保</v>
      </c>
      <c r="J88" s="27" t="str">
        <f>IF(表1_53[[#This Row],[配件1]]&lt;&gt;"",_xlfn.XLOOKUP(表1_53[[#This Row],[配件1]],显卡利益点对照表[型号],显卡利益点对照表[利益点2],"ERROR"),"")</f>
        <v>正逆转风扇</v>
      </c>
      <c r="K88" s="27">
        <f>IF(表1_53[[#This Row],[配件1]]&lt;&gt;"",_xlfn.XLOOKUP(表1_53[[#This Row],[配件1]],显卡利益点对照表[型号],显卡利益点对照表[利益点3],"ERROR"),"")</f>
        <v>0</v>
      </c>
      <c r="L88" s="27">
        <f>IF(表1_53[[#This Row],[配件1]]&lt;&gt;"",_xlfn.XLOOKUP(表1_53[[#This Row],[配件1]],显卡利益点对照表[型号],显卡利益点对照表[算力],"ERROR"),"")</f>
        <v>0</v>
      </c>
      <c r="M88" s="27" t="str">
        <f>IF(表1_53[[#This Row],[配件1]]&lt;&gt;"",_xlfn.XLOOKUP(表1_53[[#This Row],[配件1]],显卡利益点对照表[型号],显卡利益点对照表[可显性],"ERROR"),"")</f>
        <v>4060 GAMING OC-8GD 魔鹰</v>
      </c>
      <c r="N8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8" t="str" cm="1">
        <f t="array" ref="Q88">_xlfn.IFS(表1_53[[#This Row],[配件1]]="","",表1_53[[#This Row],[文本丨算力丨算力值]]=0,"",表1_53[[#This Row],[文本丨算力丨算力值]]&lt;&gt;"","算力")</f>
        <v/>
      </c>
    </row>
    <row r="89" spans="2:17" x14ac:dyDescent="0.2">
      <c r="B89" s="26" t="s">
        <v>534</v>
      </c>
      <c r="C89" s="27" t="s">
        <v>534</v>
      </c>
      <c r="D89" s="27"/>
      <c r="E89" s="27"/>
      <c r="F89" s="27" t="str">
        <f>IF(表1_53[[#This Row],[配件1]]&lt;&gt;"",_xlfn.XLOOKUP(表1_53[[#This Row],[配件1]],显卡利益点对照表[型号],显卡利益点对照表[标题1],"ERROR"),"")</f>
        <v>RTX4060</v>
      </c>
      <c r="G89" s="27" t="str">
        <f>IF(表1_53[[#This Row],[配件1]]&lt;&gt;"",_xlfn.XLOOKUP(表1_53[[#This Row],[配件1]],显卡利益点对照表[型号],显卡利益点对照表[标题2],"ERROR"),"")</f>
        <v>8G 雪鹰</v>
      </c>
      <c r="H89" s="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89" s="27" t="str">
        <f>IF(表1_53[[#This Row],[配件1]]&lt;&gt;"",_xlfn.XLOOKUP(表1_53[[#This Row],[配件1]],显卡利益点对照表[型号],显卡利益点对照表[利益点1],"ERROR"),"")</f>
        <v>三年质保/个人送保</v>
      </c>
      <c r="J89" s="27" t="str">
        <f>IF(表1_53[[#This Row],[配件1]]&lt;&gt;"",_xlfn.XLOOKUP(表1_53[[#This Row],[配件1]],显卡利益点对照表[型号],显卡利益点对照表[利益点2],"ERROR"),"")</f>
        <v>银白雪装外观</v>
      </c>
      <c r="K89" s="27">
        <f>IF(表1_53[[#This Row],[配件1]]&lt;&gt;"",_xlfn.XLOOKUP(表1_53[[#This Row],[配件1]],显卡利益点对照表[型号],显卡利益点对照表[利益点3],"ERROR"),"")</f>
        <v>0</v>
      </c>
      <c r="L89" s="27">
        <f>IF(表1_53[[#This Row],[配件1]]&lt;&gt;"",_xlfn.XLOOKUP(表1_53[[#This Row],[配件1]],显卡利益点对照表[型号],显卡利益点对照表[算力],"ERROR"),"")</f>
        <v>0</v>
      </c>
      <c r="M89" s="27" t="str">
        <f>IF(表1_53[[#This Row],[配件1]]&lt;&gt;"",_xlfn.XLOOKUP(表1_53[[#This Row],[配件1]],显卡利益点对照表[型号],显卡利益点对照表[可显性],"ERROR"),"")</f>
        <v>4060 AERO OC-8GD 雪鹰</v>
      </c>
      <c r="N8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9" t="str" cm="1">
        <f t="array" ref="Q89">_xlfn.IFS(表1_53[[#This Row],[配件1]]="","",表1_53[[#This Row],[文本丨算力丨算力值]]=0,"",表1_53[[#This Row],[文本丨算力丨算力值]]&lt;&gt;"","算力")</f>
        <v/>
      </c>
    </row>
    <row r="90" spans="2:17" x14ac:dyDescent="0.2">
      <c r="B90" s="26"/>
      <c r="C90" s="27"/>
      <c r="D90" s="27"/>
      <c r="E90" s="27"/>
      <c r="F90" s="27" t="str">
        <f>IF(表1_53[[#This Row],[配件1]]&lt;&gt;"",_xlfn.XLOOKUP(表1_53[[#This Row],[配件1]],显卡利益点对照表[型号],显卡利益点对照表[标题1],"ERROR"),"")</f>
        <v/>
      </c>
      <c r="G90" s="27" t="str">
        <f>IF(表1_53[[#This Row],[配件1]]&lt;&gt;"",_xlfn.XLOOKUP(表1_53[[#This Row],[配件1]],显卡利益点对照表[型号],显卡利益点对照表[标题2],"ERROR"),"")</f>
        <v/>
      </c>
      <c r="H90" s="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0" s="27" t="str">
        <f>IF(表1_53[[#This Row],[配件1]]&lt;&gt;"",_xlfn.XLOOKUP(表1_53[[#This Row],[配件1]],显卡利益点对照表[型号],显卡利益点对照表[利益点1],"ERROR"),"")</f>
        <v/>
      </c>
      <c r="J90" s="27" t="str">
        <f>IF(表1_53[[#This Row],[配件1]]&lt;&gt;"",_xlfn.XLOOKUP(表1_53[[#This Row],[配件1]],显卡利益点对照表[型号],显卡利益点对照表[利益点2],"ERROR"),"")</f>
        <v/>
      </c>
      <c r="K90" s="27" t="str">
        <f>IF(表1_53[[#This Row],[配件1]]&lt;&gt;"",_xlfn.XLOOKUP(表1_53[[#This Row],[配件1]],显卡利益点对照表[型号],显卡利益点对照表[利益点3],"ERROR"),"")</f>
        <v/>
      </c>
      <c r="L90" s="27" t="str">
        <f>IF(表1_53[[#This Row],[配件1]]&lt;&gt;"",_xlfn.XLOOKUP(表1_53[[#This Row],[配件1]],显卡利益点对照表[型号],显卡利益点对照表[算力],"ERROR"),"")</f>
        <v/>
      </c>
      <c r="M90" s="27" t="str">
        <f>IF(表1_53[[#This Row],[配件1]]&lt;&gt;"",_xlfn.XLOOKUP(表1_53[[#This Row],[配件1]],显卡利益点对照表[型号],显卡利益点对照表[可显性],"ERROR"),"")</f>
        <v/>
      </c>
      <c r="N9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0" t="str" cm="1">
        <f t="array" ref="Q90">_xlfn.IFS(表1_53[[#This Row],[配件1]]="","",表1_53[[#This Row],[文本丨算力丨算力值]]=0,"",表1_53[[#This Row],[文本丨算力丨算力值]]&lt;&gt;"","算力")</f>
        <v/>
      </c>
    </row>
    <row r="91" spans="2:17" x14ac:dyDescent="0.2">
      <c r="B91" s="26" t="s">
        <v>535</v>
      </c>
      <c r="C91" s="27" t="s">
        <v>535</v>
      </c>
      <c r="D91" s="27"/>
      <c r="E91" s="27"/>
      <c r="F91" s="27" t="str">
        <f>IF(表1_53[[#This Row],[配件1]]&lt;&gt;"",_xlfn.XLOOKUP(表1_53[[#This Row],[配件1]],显卡利益点对照表[型号],显卡利益点对照表[标题1],"ERROR"),"")</f>
        <v>RTX4060Ti</v>
      </c>
      <c r="G91" s="27" t="str">
        <f>IF(表1_53[[#This Row],[配件1]]&lt;&gt;"",_xlfn.XLOOKUP(表1_53[[#This Row],[配件1]],显卡利益点对照表[型号],显卡利益点对照表[标题2],"ERROR"),"")</f>
        <v>8G 猎鹰</v>
      </c>
      <c r="H91" s="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</v>
      </c>
      <c r="I91" s="27" t="str">
        <f>IF(表1_53[[#This Row],[配件1]]&lt;&gt;"",_xlfn.XLOOKUP(表1_53[[#This Row],[配件1]],显卡利益点对照表[型号],显卡利益点对照表[利益点1],"ERROR"),"")</f>
        <v>三年质保/个人送保</v>
      </c>
      <c r="J91" s="27" t="str">
        <f>IF(表1_53[[#This Row],[配件1]]&lt;&gt;"",_xlfn.XLOOKUP(表1_53[[#This Row],[配件1]],显卡利益点对照表[型号],显卡利益点对照表[利益点2],"ERROR"),"")</f>
        <v>正逆转风扇</v>
      </c>
      <c r="K91" s="27">
        <f>IF(表1_53[[#This Row],[配件1]]&lt;&gt;"",_xlfn.XLOOKUP(表1_53[[#This Row],[配件1]],显卡利益点对照表[型号],显卡利益点对照表[利益点3],"ERROR"),"")</f>
        <v>0</v>
      </c>
      <c r="L91" s="27">
        <f>IF(表1_53[[#This Row],[配件1]]&lt;&gt;"",_xlfn.XLOOKUP(表1_53[[#This Row],[配件1]],显卡利益点对照表[型号],显卡利益点对照表[算力],"ERROR"),"")</f>
        <v>0</v>
      </c>
      <c r="M91" s="27" t="str">
        <f>IF(表1_53[[#This Row],[配件1]]&lt;&gt;"",_xlfn.XLOOKUP(表1_53[[#This Row],[配件1]],显卡利益点对照表[型号],显卡利益点对照表[可显性],"ERROR"),"")</f>
        <v>4060Ti EAGLE OC-8GD 猎鹰OC</v>
      </c>
      <c r="N9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1" t="str" cm="1">
        <f t="array" ref="Q91">_xlfn.IFS(表1_53[[#This Row],[配件1]]="","",表1_53[[#This Row],[文本丨算力丨算力值]]=0,"",表1_53[[#This Row],[文本丨算力丨算力值]]&lt;&gt;"","算力")</f>
        <v/>
      </c>
    </row>
    <row r="92" spans="2:17" x14ac:dyDescent="0.2">
      <c r="B92" s="26"/>
      <c r="C92" s="27"/>
      <c r="D92" s="27"/>
      <c r="E92" s="27"/>
      <c r="F92" s="27" t="str">
        <f>IF(表1_53[[#This Row],[配件1]]&lt;&gt;"",_xlfn.XLOOKUP(表1_53[[#This Row],[配件1]],显卡利益点对照表[型号],显卡利益点对照表[标题1],"ERROR"),"")</f>
        <v/>
      </c>
      <c r="G92" s="27" t="str">
        <f>IF(表1_53[[#This Row],[配件1]]&lt;&gt;"",_xlfn.XLOOKUP(表1_53[[#This Row],[配件1]],显卡利益点对照表[型号],显卡利益点对照表[标题2],"ERROR"),"")</f>
        <v/>
      </c>
      <c r="H92" s="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2" s="27" t="str">
        <f>IF(表1_53[[#This Row],[配件1]]&lt;&gt;"",_xlfn.XLOOKUP(表1_53[[#This Row],[配件1]],显卡利益点对照表[型号],显卡利益点对照表[利益点1],"ERROR"),"")</f>
        <v/>
      </c>
      <c r="J92" s="27" t="str">
        <f>IF(表1_53[[#This Row],[配件1]]&lt;&gt;"",_xlfn.XLOOKUP(表1_53[[#This Row],[配件1]],显卡利益点对照表[型号],显卡利益点对照表[利益点2],"ERROR"),"")</f>
        <v/>
      </c>
      <c r="K92" s="27" t="str">
        <f>IF(表1_53[[#This Row],[配件1]]&lt;&gt;"",_xlfn.XLOOKUP(表1_53[[#This Row],[配件1]],显卡利益点对照表[型号],显卡利益点对照表[利益点3],"ERROR"),"")</f>
        <v/>
      </c>
      <c r="L92" s="27" t="str">
        <f>IF(表1_53[[#This Row],[配件1]]&lt;&gt;"",_xlfn.XLOOKUP(表1_53[[#This Row],[配件1]],显卡利益点对照表[型号],显卡利益点对照表[算力],"ERROR"),"")</f>
        <v/>
      </c>
      <c r="M92" s="27" t="str">
        <f>IF(表1_53[[#This Row],[配件1]]&lt;&gt;"",_xlfn.XLOOKUP(表1_53[[#This Row],[配件1]],显卡利益点对照表[型号],显卡利益点对照表[可显性],"ERROR"),"")</f>
        <v/>
      </c>
      <c r="N9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2" t="str" cm="1">
        <f t="array" ref="Q92">_xlfn.IFS(表1_53[[#This Row],[配件1]]="","",表1_53[[#This Row],[文本丨算力丨算力值]]=0,"",表1_53[[#This Row],[文本丨算力丨算力值]]&lt;&gt;"","算力")</f>
        <v/>
      </c>
    </row>
    <row r="93" spans="2:17" x14ac:dyDescent="0.2">
      <c r="B93" s="26" t="s">
        <v>536</v>
      </c>
      <c r="C93" s="27" t="s">
        <v>536</v>
      </c>
      <c r="D93" s="27"/>
      <c r="E93" s="27"/>
      <c r="F93" s="27" t="str">
        <f>IF(表1_53[[#This Row],[配件1]]&lt;&gt;"",_xlfn.XLOOKUP(表1_53[[#This Row],[配件1]],显卡利益点对照表[型号],显卡利益点对照表[标题1],"ERROR"),"")</f>
        <v>RTX4070 S</v>
      </c>
      <c r="G93" s="27" t="str">
        <f>IF(表1_53[[#This Row],[配件1]]&lt;&gt;"",_xlfn.XLOOKUP(表1_53[[#This Row],[配件1]],显卡利益点对照表[型号],显卡利益点对照表[标题2],"ERROR"),"")</f>
        <v>12G魔鹰</v>
      </c>
      <c r="H93" s="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93" s="27" t="str">
        <f>IF(表1_53[[#This Row],[配件1]]&lt;&gt;"",_xlfn.XLOOKUP(表1_53[[#This Row],[配件1]],显卡利益点对照表[型号],显卡利益点对照表[利益点1],"ERROR"),"")</f>
        <v>注册4年保/个人送保丨25</v>
      </c>
      <c r="J93" s="27" t="str">
        <f>IF(表1_53[[#This Row],[配件1]]&lt;&gt;"",_xlfn.XLOOKUP(表1_53[[#This Row],[配件1]],显卡利益点对照表[型号],显卡利益点对照表[利益点2],"ERROR"),"")</f>
        <v>正逆转风扇</v>
      </c>
      <c r="K93" s="27">
        <f>IF(表1_53[[#This Row],[配件1]]&lt;&gt;"",_xlfn.XLOOKUP(表1_53[[#This Row],[配件1]],显卡利益点对照表[型号],显卡利益点对照表[利益点3],"ERROR"),"")</f>
        <v>0</v>
      </c>
      <c r="L93" s="27">
        <f>IF(表1_53[[#This Row],[配件1]]&lt;&gt;"",_xlfn.XLOOKUP(表1_53[[#This Row],[配件1]],显卡利益点对照表[型号],显卡利益点对照表[算力],"ERROR"),"")</f>
        <v>0</v>
      </c>
      <c r="M93" s="27" t="str">
        <f>IF(表1_53[[#This Row],[配件1]]&lt;&gt;"",_xlfn.XLOOKUP(表1_53[[#This Row],[配件1]],显卡利益点对照表[型号],显卡利益点对照表[可显性],"ERROR"),"")</f>
        <v>4070S GAMING OC-12GD 魔鹰</v>
      </c>
      <c r="N9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3" t="str" cm="1">
        <f t="array" ref="Q93">_xlfn.IFS(表1_53[[#This Row],[配件1]]="","",表1_53[[#This Row],[文本丨算力丨算力值]]=0,"",表1_53[[#This Row],[文本丨算力丨算力值]]&lt;&gt;"","算力")</f>
        <v/>
      </c>
    </row>
    <row r="94" spans="2:17" x14ac:dyDescent="0.2">
      <c r="F94" t="str">
        <f>IF(表1_53[[#This Row],[配件1]]&lt;&gt;"",_xlfn.XLOOKUP(表1_53[[#This Row],[配件1]],显卡利益点对照表[型号],显卡利益点对照表[标题1],"ERROR"),"")</f>
        <v/>
      </c>
      <c r="G94" t="str">
        <f>IF(表1_53[[#This Row],[配件1]]&lt;&gt;"",_xlfn.XLOOKUP(表1_53[[#This Row],[配件1]],显卡利益点对照表[型号],显卡利益点对照表[标题2],"ERROR"),"")</f>
        <v/>
      </c>
      <c r="H9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4" t="str">
        <f>IF(表1_53[[#This Row],[配件1]]&lt;&gt;"",_xlfn.XLOOKUP(表1_53[[#This Row],[配件1]],显卡利益点对照表[型号],显卡利益点对照表[利益点1],"ERROR"),"")</f>
        <v/>
      </c>
      <c r="J94" t="str">
        <f>IF(表1_53[[#This Row],[配件1]]&lt;&gt;"",_xlfn.XLOOKUP(表1_53[[#This Row],[配件1]],显卡利益点对照表[型号],显卡利益点对照表[利益点2],"ERROR"),"")</f>
        <v/>
      </c>
      <c r="K94" t="str">
        <f>IF(表1_53[[#This Row],[配件1]]&lt;&gt;"",_xlfn.XLOOKUP(表1_53[[#This Row],[配件1]],显卡利益点对照表[型号],显卡利益点对照表[利益点3],"ERROR"),"")</f>
        <v/>
      </c>
      <c r="L94" t="str">
        <f>IF(表1_53[[#This Row],[配件1]]&lt;&gt;"",_xlfn.XLOOKUP(表1_53[[#This Row],[配件1]],显卡利益点对照表[型号],显卡利益点对照表[算力],"ERROR"),"")</f>
        <v/>
      </c>
      <c r="M94" t="str">
        <f>IF(表1_53[[#This Row],[配件1]]&lt;&gt;"",_xlfn.XLOOKUP(表1_53[[#This Row],[配件1]],显卡利益点对照表[型号],显卡利益点对照表[可显性],"ERROR"),"")</f>
        <v/>
      </c>
      <c r="N9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4" t="str" cm="1">
        <f t="array" ref="Q94">_xlfn.IFS(表1_53[[#This Row],[配件1]]="","",表1_53[[#This Row],[文本丨算力丨算力值]]=0,"",表1_53[[#This Row],[文本丨算力丨算力值]]&lt;&gt;"","算力")</f>
        <v/>
      </c>
    </row>
    <row r="95" spans="2:17" x14ac:dyDescent="0.2">
      <c r="F95" t="str">
        <f>IF(表1_53[[#This Row],[配件1]]&lt;&gt;"",_xlfn.XLOOKUP(表1_53[[#This Row],[配件1]],显卡利益点对照表[型号],显卡利益点对照表[标题1],"ERROR"),"")</f>
        <v/>
      </c>
      <c r="G95" t="str">
        <f>IF(表1_53[[#This Row],[配件1]]&lt;&gt;"",_xlfn.XLOOKUP(表1_53[[#This Row],[配件1]],显卡利益点对照表[型号],显卡利益点对照表[标题2],"ERROR"),"")</f>
        <v/>
      </c>
      <c r="H9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5" t="str">
        <f>IF(表1_53[[#This Row],[配件1]]&lt;&gt;"",_xlfn.XLOOKUP(表1_53[[#This Row],[配件1]],显卡利益点对照表[型号],显卡利益点对照表[利益点1],"ERROR"),"")</f>
        <v/>
      </c>
      <c r="J95" t="str">
        <f>IF(表1_53[[#This Row],[配件1]]&lt;&gt;"",_xlfn.XLOOKUP(表1_53[[#This Row],[配件1]],显卡利益点对照表[型号],显卡利益点对照表[利益点2],"ERROR"),"")</f>
        <v/>
      </c>
      <c r="K95" t="str">
        <f>IF(表1_53[[#This Row],[配件1]]&lt;&gt;"",_xlfn.XLOOKUP(表1_53[[#This Row],[配件1]],显卡利益点对照表[型号],显卡利益点对照表[利益点3],"ERROR"),"")</f>
        <v/>
      </c>
      <c r="L95" t="str">
        <f>IF(表1_53[[#This Row],[配件1]]&lt;&gt;"",_xlfn.XLOOKUP(表1_53[[#This Row],[配件1]],显卡利益点对照表[型号],显卡利益点对照表[算力],"ERROR"),"")</f>
        <v/>
      </c>
      <c r="M95" t="str">
        <f>IF(表1_53[[#This Row],[配件1]]&lt;&gt;"",_xlfn.XLOOKUP(表1_53[[#This Row],[配件1]],显卡利益点对照表[型号],显卡利益点对照表[可显性],"ERROR"),"")</f>
        <v/>
      </c>
      <c r="N9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5" t="str" cm="1">
        <f t="array" ref="Q95">_xlfn.IFS(表1_53[[#This Row],[配件1]]="","",表1_53[[#This Row],[文本丨算力丨算力值]]=0,"",表1_53[[#This Row],[文本丨算力丨算力值]]&lt;&gt;"","算力")</f>
        <v/>
      </c>
    </row>
    <row r="96" spans="2:17" x14ac:dyDescent="0.2">
      <c r="B96" s="22">
        <v>10096459454584</v>
      </c>
      <c r="C96" t="s">
        <v>127</v>
      </c>
      <c r="D96" t="s">
        <v>555</v>
      </c>
      <c r="F96" t="str">
        <f>IF(表1_53[[#This Row],[配件1]]&lt;&gt;"",_xlfn.XLOOKUP(表1_53[[#This Row],[配件1]],显卡利益点对照表[型号],显卡利益点对照表[标题1],"ERROR"),"")</f>
        <v>RTX5090D</v>
      </c>
      <c r="G96" t="str">
        <f>IF(表1_53[[#This Row],[配件1]]&lt;&gt;"",_xlfn.XLOOKUP(表1_53[[#This Row],[配件1]],显卡利益点对照表[型号],显卡利益点对照表[标题2],"ERROR"),"")</f>
        <v>32G 超级雕</v>
      </c>
      <c r="H9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+1000W铂金雕电源 丨32</v>
      </c>
      <c r="I96" t="str">
        <f>IF(表1_53[[#This Row],[配件1]]&lt;&gt;"",_xlfn.XLOOKUP(表1_53[[#This Row],[配件1]],显卡利益点对照表[型号],显卡利益点对照表[利益点1],"ERROR"),"")</f>
        <v>注册4年保/个人送保丨25</v>
      </c>
      <c r="J96" t="str">
        <f>IF(表1_53[[#This Row],[配件1]]&lt;&gt;"",_xlfn.XLOOKUP(表1_53[[#This Row],[配件1]],显卡利益点对照表[型号],显卡利益点对照表[利益点2],"ERROR"),"")</f>
        <v>LCD自定义屏幕丨30</v>
      </c>
      <c r="K96" t="str">
        <f>IF(表1_53[[#This Row],[配件1]]&lt;&gt;"",_xlfn.XLOOKUP(表1_53[[#This Row],[配件1]],显卡利益点对照表[型号],显卡利益点对照表[利益点3],"ERROR"),"")</f>
        <v>五重高效散热</v>
      </c>
      <c r="L96" t="str">
        <f>IF(表1_53[[#This Row],[配件1]]&lt;&gt;"",_xlfn.XLOOKUP(表1_53[[#This Row],[配件1]],显卡利益点对照表[型号],显卡利益点对照表[算力],"ERROR"),"")</f>
        <v>AI算力2375 TOPS</v>
      </c>
      <c r="M96" t="str">
        <f>IF(表1_53[[#This Row],[配件1]]&lt;&gt;"",_xlfn.XLOOKUP(表1_53[[#This Row],[配件1]],显卡利益点对照表[型号],显卡利益点对照表[可显性],"ERROR"),"")</f>
        <v>GV-N509DAORUS M-32GD</v>
      </c>
      <c r="N9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白金雕1000PG5</v>
      </c>
      <c r="O9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6" t="str" cm="1">
        <f t="array" ref="Q96">_xlfn.IFS(表1_53[[#This Row],[配件1]]="","",表1_53[[#This Row],[文本丨算力丨算力值]]=0,"",表1_53[[#This Row],[文本丨算力丨算力值]]&lt;&gt;"","算力")</f>
        <v>算力</v>
      </c>
    </row>
    <row r="97" spans="6:17" x14ac:dyDescent="0.2">
      <c r="F97" t="str">
        <f>IF(表1_53[[#This Row],[配件1]]&lt;&gt;"",_xlfn.XLOOKUP(表1_53[[#This Row],[配件1]],显卡利益点对照表[型号],显卡利益点对照表[标题1],"ERROR"),"")</f>
        <v/>
      </c>
      <c r="G97" t="str">
        <f>IF(表1_53[[#This Row],[配件1]]&lt;&gt;"",_xlfn.XLOOKUP(表1_53[[#This Row],[配件1]],显卡利益点对照表[型号],显卡利益点对照表[标题2],"ERROR"),"")</f>
        <v/>
      </c>
      <c r="H9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7" t="str">
        <f>IF(表1_53[[#This Row],[配件1]]&lt;&gt;"",_xlfn.XLOOKUP(表1_53[[#This Row],[配件1]],显卡利益点对照表[型号],显卡利益点对照表[利益点1],"ERROR"),"")</f>
        <v/>
      </c>
      <c r="J97" t="str">
        <f>IF(表1_53[[#This Row],[配件1]]&lt;&gt;"",_xlfn.XLOOKUP(表1_53[[#This Row],[配件1]],显卡利益点对照表[型号],显卡利益点对照表[利益点2],"ERROR"),"")</f>
        <v/>
      </c>
      <c r="K97" t="str">
        <f>IF(表1_53[[#This Row],[配件1]]&lt;&gt;"",_xlfn.XLOOKUP(表1_53[[#This Row],[配件1]],显卡利益点对照表[型号],显卡利益点对照表[利益点3],"ERROR"),"")</f>
        <v/>
      </c>
      <c r="L97" t="str">
        <f>IF(表1_53[[#This Row],[配件1]]&lt;&gt;"",_xlfn.XLOOKUP(表1_53[[#This Row],[配件1]],显卡利益点对照表[型号],显卡利益点对照表[算力],"ERROR"),"")</f>
        <v/>
      </c>
      <c r="M97" t="str">
        <f>IF(表1_53[[#This Row],[配件1]]&lt;&gt;"",_xlfn.XLOOKUP(表1_53[[#This Row],[配件1]],显卡利益点对照表[型号],显卡利益点对照表[可显性],"ERROR"),"")</f>
        <v/>
      </c>
      <c r="N9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7" t="str" cm="1">
        <f t="array" ref="Q97">_xlfn.IFS(表1_53[[#This Row],[配件1]]="","",表1_53[[#This Row],[文本丨算力丨算力值]]=0,"",表1_53[[#This Row],[文本丨算力丨算力值]]&lt;&gt;"","算力")</f>
        <v/>
      </c>
    </row>
    <row r="98" spans="6:17" x14ac:dyDescent="0.2">
      <c r="F98" t="str">
        <f>IF(表1_53[[#This Row],[配件1]]&lt;&gt;"",_xlfn.XLOOKUP(表1_53[[#This Row],[配件1]],显卡利益点对照表[型号],显卡利益点对照表[标题1],"ERROR"),"")</f>
        <v/>
      </c>
      <c r="G98" t="str">
        <f>IF(表1_53[[#This Row],[配件1]]&lt;&gt;"",_xlfn.XLOOKUP(表1_53[[#This Row],[配件1]],显卡利益点对照表[型号],显卡利益点对照表[标题2],"ERROR"),"")</f>
        <v/>
      </c>
      <c r="H9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8" t="str">
        <f>IF(表1_53[[#This Row],[配件1]]&lt;&gt;"",_xlfn.XLOOKUP(表1_53[[#This Row],[配件1]],显卡利益点对照表[型号],显卡利益点对照表[利益点1],"ERROR"),"")</f>
        <v/>
      </c>
      <c r="J98" t="str">
        <f>IF(表1_53[[#This Row],[配件1]]&lt;&gt;"",_xlfn.XLOOKUP(表1_53[[#This Row],[配件1]],显卡利益点对照表[型号],显卡利益点对照表[利益点2],"ERROR"),"")</f>
        <v/>
      </c>
      <c r="K98" t="str">
        <f>IF(表1_53[[#This Row],[配件1]]&lt;&gt;"",_xlfn.XLOOKUP(表1_53[[#This Row],[配件1]],显卡利益点对照表[型号],显卡利益点对照表[利益点3],"ERROR"),"")</f>
        <v/>
      </c>
      <c r="L98" t="str">
        <f>IF(表1_53[[#This Row],[配件1]]&lt;&gt;"",_xlfn.XLOOKUP(表1_53[[#This Row],[配件1]],显卡利益点对照表[型号],显卡利益点对照表[算力],"ERROR"),"")</f>
        <v/>
      </c>
      <c r="M98" t="str">
        <f>IF(表1_53[[#This Row],[配件1]]&lt;&gt;"",_xlfn.XLOOKUP(表1_53[[#This Row],[配件1]],显卡利益点对照表[型号],显卡利益点对照表[可显性],"ERROR"),"")</f>
        <v/>
      </c>
      <c r="N9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8" t="str" cm="1">
        <f t="array" ref="Q98">_xlfn.IFS(表1_53[[#This Row],[配件1]]="","",表1_53[[#This Row],[文本丨算力丨算力值]]=0,"",表1_53[[#This Row],[文本丨算力丨算力值]]&lt;&gt;"","算力")</f>
        <v/>
      </c>
    </row>
    <row r="99" spans="6:17" x14ac:dyDescent="0.2">
      <c r="F99" t="str">
        <f>IF(表1_53[[#This Row],[配件1]]&lt;&gt;"",_xlfn.XLOOKUP(表1_53[[#This Row],[配件1]],显卡利益点对照表[型号],显卡利益点对照表[标题1],"ERROR"),"")</f>
        <v/>
      </c>
      <c r="G99" t="str">
        <f>IF(表1_53[[#This Row],[配件1]]&lt;&gt;"",_xlfn.XLOOKUP(表1_53[[#This Row],[配件1]],显卡利益点对照表[型号],显卡利益点对照表[标题2],"ERROR"),"")</f>
        <v/>
      </c>
      <c r="H9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9" t="str">
        <f>IF(表1_53[[#This Row],[配件1]]&lt;&gt;"",_xlfn.XLOOKUP(表1_53[[#This Row],[配件1]],显卡利益点对照表[型号],显卡利益点对照表[利益点1],"ERROR"),"")</f>
        <v/>
      </c>
      <c r="J99" t="str">
        <f>IF(表1_53[[#This Row],[配件1]]&lt;&gt;"",_xlfn.XLOOKUP(表1_53[[#This Row],[配件1]],显卡利益点对照表[型号],显卡利益点对照表[利益点2],"ERROR"),"")</f>
        <v/>
      </c>
      <c r="K99" t="str">
        <f>IF(表1_53[[#This Row],[配件1]]&lt;&gt;"",_xlfn.XLOOKUP(表1_53[[#This Row],[配件1]],显卡利益点对照表[型号],显卡利益点对照表[利益点3],"ERROR"),"")</f>
        <v/>
      </c>
      <c r="L99" t="str">
        <f>IF(表1_53[[#This Row],[配件1]]&lt;&gt;"",_xlfn.XLOOKUP(表1_53[[#This Row],[配件1]],显卡利益点对照表[型号],显卡利益点对照表[算力],"ERROR"),"")</f>
        <v/>
      </c>
      <c r="M99" t="str">
        <f>IF(表1_53[[#This Row],[配件1]]&lt;&gt;"",_xlfn.XLOOKUP(表1_53[[#This Row],[配件1]],显卡利益点对照表[型号],显卡利益点对照表[可显性],"ERROR"),"")</f>
        <v/>
      </c>
      <c r="N9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9" t="str" cm="1">
        <f t="array" ref="Q99">_xlfn.IFS(表1_53[[#This Row],[配件1]]="","",表1_53[[#This Row],[文本丨算力丨算力值]]=0,"",表1_53[[#This Row],[文本丨算力丨算力值]]&lt;&gt;"","算力")</f>
        <v/>
      </c>
    </row>
    <row r="100" spans="6:17" x14ac:dyDescent="0.2">
      <c r="F100" t="str">
        <f>IF(表1_53[[#This Row],[配件1]]&lt;&gt;"",_xlfn.XLOOKUP(表1_53[[#This Row],[配件1]],显卡利益点对照表[型号],显卡利益点对照表[标题1],"ERROR"),"")</f>
        <v/>
      </c>
      <c r="G100" t="str">
        <f>IF(表1_53[[#This Row],[配件1]]&lt;&gt;"",_xlfn.XLOOKUP(表1_53[[#This Row],[配件1]],显卡利益点对照表[型号],显卡利益点对照表[标题2],"ERROR"),"")</f>
        <v/>
      </c>
      <c r="H10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0" t="str">
        <f>IF(表1_53[[#This Row],[配件1]]&lt;&gt;"",_xlfn.XLOOKUP(表1_53[[#This Row],[配件1]],显卡利益点对照表[型号],显卡利益点对照表[利益点1],"ERROR"),"")</f>
        <v/>
      </c>
      <c r="J100" t="str">
        <f>IF(表1_53[[#This Row],[配件1]]&lt;&gt;"",_xlfn.XLOOKUP(表1_53[[#This Row],[配件1]],显卡利益点对照表[型号],显卡利益点对照表[利益点2],"ERROR"),"")</f>
        <v/>
      </c>
      <c r="K100" t="str">
        <f>IF(表1_53[[#This Row],[配件1]]&lt;&gt;"",_xlfn.XLOOKUP(表1_53[[#This Row],[配件1]],显卡利益点对照表[型号],显卡利益点对照表[利益点3],"ERROR"),"")</f>
        <v/>
      </c>
      <c r="L100" t="str">
        <f>IF(表1_53[[#This Row],[配件1]]&lt;&gt;"",_xlfn.XLOOKUP(表1_53[[#This Row],[配件1]],显卡利益点对照表[型号],显卡利益点对照表[算力],"ERROR"),"")</f>
        <v/>
      </c>
      <c r="M100" t="str">
        <f>IF(表1_53[[#This Row],[配件1]]&lt;&gt;"",_xlfn.XLOOKUP(表1_53[[#This Row],[配件1]],显卡利益点对照表[型号],显卡利益点对照表[可显性],"ERROR"),"")</f>
        <v/>
      </c>
      <c r="N10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0" t="str" cm="1">
        <f t="array" ref="Q100">_xlfn.IFS(表1_53[[#This Row],[配件1]]="","",表1_53[[#This Row],[文本丨算力丨算力值]]=0,"",表1_53[[#This Row],[文本丨算力丨算力值]]&lt;&gt;"","算力")</f>
        <v/>
      </c>
    </row>
    <row r="101" spans="6:17" x14ac:dyDescent="0.2">
      <c r="F101" t="str">
        <f>IF(表1_53[[#This Row],[配件1]]&lt;&gt;"",_xlfn.XLOOKUP(表1_53[[#This Row],[配件1]],显卡利益点对照表[型号],显卡利益点对照表[标题1],"ERROR"),"")</f>
        <v/>
      </c>
      <c r="G101" t="str">
        <f>IF(表1_53[[#This Row],[配件1]]&lt;&gt;"",_xlfn.XLOOKUP(表1_53[[#This Row],[配件1]],显卡利益点对照表[型号],显卡利益点对照表[标题2],"ERROR"),"")</f>
        <v/>
      </c>
      <c r="H10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1" t="str">
        <f>IF(表1_53[[#This Row],[配件1]]&lt;&gt;"",_xlfn.XLOOKUP(表1_53[[#This Row],[配件1]],显卡利益点对照表[型号],显卡利益点对照表[利益点1],"ERROR"),"")</f>
        <v/>
      </c>
      <c r="J101" t="str">
        <f>IF(表1_53[[#This Row],[配件1]]&lt;&gt;"",_xlfn.XLOOKUP(表1_53[[#This Row],[配件1]],显卡利益点对照表[型号],显卡利益点对照表[利益点2],"ERROR"),"")</f>
        <v/>
      </c>
      <c r="K101" t="str">
        <f>IF(表1_53[[#This Row],[配件1]]&lt;&gt;"",_xlfn.XLOOKUP(表1_53[[#This Row],[配件1]],显卡利益点对照表[型号],显卡利益点对照表[利益点3],"ERROR"),"")</f>
        <v/>
      </c>
      <c r="L101" t="str">
        <f>IF(表1_53[[#This Row],[配件1]]&lt;&gt;"",_xlfn.XLOOKUP(表1_53[[#This Row],[配件1]],显卡利益点对照表[型号],显卡利益点对照表[算力],"ERROR"),"")</f>
        <v/>
      </c>
      <c r="M101" t="str">
        <f>IF(表1_53[[#This Row],[配件1]]&lt;&gt;"",_xlfn.XLOOKUP(表1_53[[#This Row],[配件1]],显卡利益点对照表[型号],显卡利益点对照表[可显性],"ERROR"),"")</f>
        <v/>
      </c>
      <c r="N10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1" t="str" cm="1">
        <f t="array" ref="Q101">_xlfn.IFS(表1_53[[#This Row],[配件1]]="","",表1_53[[#This Row],[文本丨算力丨算力值]]=0,"",表1_53[[#This Row],[文本丨算力丨算力值]]&lt;&gt;"","算力")</f>
        <v/>
      </c>
    </row>
    <row r="102" spans="6:17" x14ac:dyDescent="0.2">
      <c r="F102" t="str">
        <f>IF(表1_53[[#This Row],[配件1]]&lt;&gt;"",_xlfn.XLOOKUP(表1_53[[#This Row],[配件1]],显卡利益点对照表[型号],显卡利益点对照表[标题1],"ERROR"),"")</f>
        <v/>
      </c>
      <c r="G102" t="str">
        <f>IF(表1_53[[#This Row],[配件1]]&lt;&gt;"",_xlfn.XLOOKUP(表1_53[[#This Row],[配件1]],显卡利益点对照表[型号],显卡利益点对照表[标题2],"ERROR"),"")</f>
        <v/>
      </c>
      <c r="H10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2" t="str">
        <f>IF(表1_53[[#This Row],[配件1]]&lt;&gt;"",_xlfn.XLOOKUP(表1_53[[#This Row],[配件1]],显卡利益点对照表[型号],显卡利益点对照表[利益点1],"ERROR"),"")</f>
        <v/>
      </c>
      <c r="J102" t="str">
        <f>IF(表1_53[[#This Row],[配件1]]&lt;&gt;"",_xlfn.XLOOKUP(表1_53[[#This Row],[配件1]],显卡利益点对照表[型号],显卡利益点对照表[利益点2],"ERROR"),"")</f>
        <v/>
      </c>
      <c r="K102" t="str">
        <f>IF(表1_53[[#This Row],[配件1]]&lt;&gt;"",_xlfn.XLOOKUP(表1_53[[#This Row],[配件1]],显卡利益点对照表[型号],显卡利益点对照表[利益点3],"ERROR"),"")</f>
        <v/>
      </c>
      <c r="L102" t="str">
        <f>IF(表1_53[[#This Row],[配件1]]&lt;&gt;"",_xlfn.XLOOKUP(表1_53[[#This Row],[配件1]],显卡利益点对照表[型号],显卡利益点对照表[算力],"ERROR"),"")</f>
        <v/>
      </c>
      <c r="M102" t="str">
        <f>IF(表1_53[[#This Row],[配件1]]&lt;&gt;"",_xlfn.XLOOKUP(表1_53[[#This Row],[配件1]],显卡利益点对照表[型号],显卡利益点对照表[可显性],"ERROR"),"")</f>
        <v/>
      </c>
      <c r="N10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2" t="str" cm="1">
        <f t="array" ref="Q102">_xlfn.IFS(表1_53[[#This Row],[配件1]]="","",表1_53[[#This Row],[文本丨算力丨算力值]]=0,"",表1_53[[#This Row],[文本丨算力丨算力值]]&lt;&gt;"","算力")</f>
        <v/>
      </c>
    </row>
    <row r="103" spans="6:17" x14ac:dyDescent="0.2">
      <c r="F103" t="str">
        <f>IF(表1_53[[#This Row],[配件1]]&lt;&gt;"",_xlfn.XLOOKUP(表1_53[[#This Row],[配件1]],显卡利益点对照表[型号],显卡利益点对照表[标题1],"ERROR"),"")</f>
        <v/>
      </c>
      <c r="G103" t="str">
        <f>IF(表1_53[[#This Row],[配件1]]&lt;&gt;"",_xlfn.XLOOKUP(表1_53[[#This Row],[配件1]],显卡利益点对照表[型号],显卡利益点对照表[标题2],"ERROR"),"")</f>
        <v/>
      </c>
      <c r="H10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3" t="str">
        <f>IF(表1_53[[#This Row],[配件1]]&lt;&gt;"",_xlfn.XLOOKUP(表1_53[[#This Row],[配件1]],显卡利益点对照表[型号],显卡利益点对照表[利益点1],"ERROR"),"")</f>
        <v/>
      </c>
      <c r="J103" t="str">
        <f>IF(表1_53[[#This Row],[配件1]]&lt;&gt;"",_xlfn.XLOOKUP(表1_53[[#This Row],[配件1]],显卡利益点对照表[型号],显卡利益点对照表[利益点2],"ERROR"),"")</f>
        <v/>
      </c>
      <c r="K103" t="str">
        <f>IF(表1_53[[#This Row],[配件1]]&lt;&gt;"",_xlfn.XLOOKUP(表1_53[[#This Row],[配件1]],显卡利益点对照表[型号],显卡利益点对照表[利益点3],"ERROR"),"")</f>
        <v/>
      </c>
      <c r="L103" t="str">
        <f>IF(表1_53[[#This Row],[配件1]]&lt;&gt;"",_xlfn.XLOOKUP(表1_53[[#This Row],[配件1]],显卡利益点对照表[型号],显卡利益点对照表[算力],"ERROR"),"")</f>
        <v/>
      </c>
      <c r="M103" t="str">
        <f>IF(表1_53[[#This Row],[配件1]]&lt;&gt;"",_xlfn.XLOOKUP(表1_53[[#This Row],[配件1]],显卡利益点对照表[型号],显卡利益点对照表[可显性],"ERROR"),"")</f>
        <v/>
      </c>
      <c r="N10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3" t="str" cm="1">
        <f t="array" ref="Q103">_xlfn.IFS(表1_53[[#This Row],[配件1]]="","",表1_53[[#This Row],[文本丨算力丨算力值]]=0,"",表1_53[[#This Row],[文本丨算力丨算力值]]&lt;&gt;"","算力")</f>
        <v/>
      </c>
    </row>
    <row r="104" spans="6:17" x14ac:dyDescent="0.2">
      <c r="F104" t="str">
        <f>IF(表1_53[[#This Row],[配件1]]&lt;&gt;"",_xlfn.XLOOKUP(表1_53[[#This Row],[配件1]],显卡利益点对照表[型号],显卡利益点对照表[标题1],"ERROR"),"")</f>
        <v/>
      </c>
      <c r="G104" t="str">
        <f>IF(表1_53[[#This Row],[配件1]]&lt;&gt;"",_xlfn.XLOOKUP(表1_53[[#This Row],[配件1]],显卡利益点对照表[型号],显卡利益点对照表[标题2],"ERROR"),"")</f>
        <v/>
      </c>
      <c r="H10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4" t="str">
        <f>IF(表1_53[[#This Row],[配件1]]&lt;&gt;"",_xlfn.XLOOKUP(表1_53[[#This Row],[配件1]],显卡利益点对照表[型号],显卡利益点对照表[利益点1],"ERROR"),"")</f>
        <v/>
      </c>
      <c r="J104" t="str">
        <f>IF(表1_53[[#This Row],[配件1]]&lt;&gt;"",_xlfn.XLOOKUP(表1_53[[#This Row],[配件1]],显卡利益点对照表[型号],显卡利益点对照表[利益点2],"ERROR"),"")</f>
        <v/>
      </c>
      <c r="K104" t="str">
        <f>IF(表1_53[[#This Row],[配件1]]&lt;&gt;"",_xlfn.XLOOKUP(表1_53[[#This Row],[配件1]],显卡利益点对照表[型号],显卡利益点对照表[利益点3],"ERROR"),"")</f>
        <v/>
      </c>
      <c r="L104" t="str">
        <f>IF(表1_53[[#This Row],[配件1]]&lt;&gt;"",_xlfn.XLOOKUP(表1_53[[#This Row],[配件1]],显卡利益点对照表[型号],显卡利益点对照表[算力],"ERROR"),"")</f>
        <v/>
      </c>
      <c r="M104" t="str">
        <f>IF(表1_53[[#This Row],[配件1]]&lt;&gt;"",_xlfn.XLOOKUP(表1_53[[#This Row],[配件1]],显卡利益点对照表[型号],显卡利益点对照表[可显性],"ERROR"),"")</f>
        <v/>
      </c>
      <c r="N10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4" t="str" cm="1">
        <f t="array" ref="Q104">_xlfn.IFS(表1_53[[#This Row],[配件1]]="","",表1_53[[#This Row],[文本丨算力丨算力值]]=0,"",表1_53[[#This Row],[文本丨算力丨算力值]]&lt;&gt;"","算力")</f>
        <v/>
      </c>
    </row>
    <row r="105" spans="6:17" x14ac:dyDescent="0.2">
      <c r="F105" t="str">
        <f>IF(表1_53[[#This Row],[配件1]]&lt;&gt;"",_xlfn.XLOOKUP(表1_53[[#This Row],[配件1]],显卡利益点对照表[型号],显卡利益点对照表[标题1],"ERROR"),"")</f>
        <v/>
      </c>
      <c r="G105" t="str">
        <f>IF(表1_53[[#This Row],[配件1]]&lt;&gt;"",_xlfn.XLOOKUP(表1_53[[#This Row],[配件1]],显卡利益点对照表[型号],显卡利益点对照表[标题2],"ERROR"),"")</f>
        <v/>
      </c>
      <c r="H10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5" t="str">
        <f>IF(表1_53[[#This Row],[配件1]]&lt;&gt;"",_xlfn.XLOOKUP(表1_53[[#This Row],[配件1]],显卡利益点对照表[型号],显卡利益点对照表[利益点1],"ERROR"),"")</f>
        <v/>
      </c>
      <c r="J105" t="str">
        <f>IF(表1_53[[#This Row],[配件1]]&lt;&gt;"",_xlfn.XLOOKUP(表1_53[[#This Row],[配件1]],显卡利益点对照表[型号],显卡利益点对照表[利益点2],"ERROR"),"")</f>
        <v/>
      </c>
      <c r="K105" t="str">
        <f>IF(表1_53[[#This Row],[配件1]]&lt;&gt;"",_xlfn.XLOOKUP(表1_53[[#This Row],[配件1]],显卡利益点对照表[型号],显卡利益点对照表[利益点3],"ERROR"),"")</f>
        <v/>
      </c>
      <c r="L105" t="str">
        <f>IF(表1_53[[#This Row],[配件1]]&lt;&gt;"",_xlfn.XLOOKUP(表1_53[[#This Row],[配件1]],显卡利益点对照表[型号],显卡利益点对照表[算力],"ERROR"),"")</f>
        <v/>
      </c>
      <c r="M105" t="str">
        <f>IF(表1_53[[#This Row],[配件1]]&lt;&gt;"",_xlfn.XLOOKUP(表1_53[[#This Row],[配件1]],显卡利益点对照表[型号],显卡利益点对照表[可显性],"ERROR"),"")</f>
        <v/>
      </c>
      <c r="N10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5" t="str" cm="1">
        <f t="array" ref="Q105">_xlfn.IFS(表1_53[[#This Row],[配件1]]="","",表1_53[[#This Row],[文本丨算力丨算力值]]=0,"",表1_53[[#This Row],[文本丨算力丨算力值]]&lt;&gt;"","算力")</f>
        <v/>
      </c>
    </row>
    <row r="106" spans="6:17" x14ac:dyDescent="0.2">
      <c r="F106" t="str">
        <f>IF(表1_53[[#This Row],[配件1]]&lt;&gt;"",_xlfn.XLOOKUP(表1_53[[#This Row],[配件1]],显卡利益点对照表[型号],显卡利益点对照表[标题1],"ERROR"),"")</f>
        <v/>
      </c>
      <c r="G106" t="str">
        <f>IF(表1_53[[#This Row],[配件1]]&lt;&gt;"",_xlfn.XLOOKUP(表1_53[[#This Row],[配件1]],显卡利益点对照表[型号],显卡利益点对照表[标题2],"ERROR"),"")</f>
        <v/>
      </c>
      <c r="H10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6" t="str">
        <f>IF(表1_53[[#This Row],[配件1]]&lt;&gt;"",_xlfn.XLOOKUP(表1_53[[#This Row],[配件1]],显卡利益点对照表[型号],显卡利益点对照表[利益点1],"ERROR"),"")</f>
        <v/>
      </c>
      <c r="J106" t="str">
        <f>IF(表1_53[[#This Row],[配件1]]&lt;&gt;"",_xlfn.XLOOKUP(表1_53[[#This Row],[配件1]],显卡利益点对照表[型号],显卡利益点对照表[利益点2],"ERROR"),"")</f>
        <v/>
      </c>
      <c r="K106" t="str">
        <f>IF(表1_53[[#This Row],[配件1]]&lt;&gt;"",_xlfn.XLOOKUP(表1_53[[#This Row],[配件1]],显卡利益点对照表[型号],显卡利益点对照表[利益点3],"ERROR"),"")</f>
        <v/>
      </c>
      <c r="L106" t="str">
        <f>IF(表1_53[[#This Row],[配件1]]&lt;&gt;"",_xlfn.XLOOKUP(表1_53[[#This Row],[配件1]],显卡利益点对照表[型号],显卡利益点对照表[算力],"ERROR"),"")</f>
        <v/>
      </c>
      <c r="M106" t="str">
        <f>IF(表1_53[[#This Row],[配件1]]&lt;&gt;"",_xlfn.XLOOKUP(表1_53[[#This Row],[配件1]],显卡利益点对照表[型号],显卡利益点对照表[可显性],"ERROR"),"")</f>
        <v/>
      </c>
      <c r="N10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6" t="str" cm="1">
        <f t="array" ref="Q106">_xlfn.IFS(表1_53[[#This Row],[配件1]]="","",表1_53[[#This Row],[文本丨算力丨算力值]]=0,"",表1_53[[#This Row],[文本丨算力丨算力值]]&lt;&gt;"","算力")</f>
        <v/>
      </c>
    </row>
    <row r="107" spans="6:17" x14ac:dyDescent="0.2">
      <c r="F107" t="str">
        <f>IF(表1_53[[#This Row],[配件1]]&lt;&gt;"",_xlfn.XLOOKUP(表1_53[[#This Row],[配件1]],显卡利益点对照表[型号],显卡利益点对照表[标题1],"ERROR"),"")</f>
        <v/>
      </c>
      <c r="G107" t="str">
        <f>IF(表1_53[[#This Row],[配件1]]&lt;&gt;"",_xlfn.XLOOKUP(表1_53[[#This Row],[配件1]],显卡利益点对照表[型号],显卡利益点对照表[标题2],"ERROR"),"")</f>
        <v/>
      </c>
      <c r="H10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7" t="str">
        <f>IF(表1_53[[#This Row],[配件1]]&lt;&gt;"",_xlfn.XLOOKUP(表1_53[[#This Row],[配件1]],显卡利益点对照表[型号],显卡利益点对照表[利益点1],"ERROR"),"")</f>
        <v/>
      </c>
      <c r="J107" t="str">
        <f>IF(表1_53[[#This Row],[配件1]]&lt;&gt;"",_xlfn.XLOOKUP(表1_53[[#This Row],[配件1]],显卡利益点对照表[型号],显卡利益点对照表[利益点2],"ERROR"),"")</f>
        <v/>
      </c>
      <c r="K107" t="str">
        <f>IF(表1_53[[#This Row],[配件1]]&lt;&gt;"",_xlfn.XLOOKUP(表1_53[[#This Row],[配件1]],显卡利益点对照表[型号],显卡利益点对照表[利益点3],"ERROR"),"")</f>
        <v/>
      </c>
      <c r="L107" t="str">
        <f>IF(表1_53[[#This Row],[配件1]]&lt;&gt;"",_xlfn.XLOOKUP(表1_53[[#This Row],[配件1]],显卡利益点对照表[型号],显卡利益点对照表[算力],"ERROR"),"")</f>
        <v/>
      </c>
      <c r="M107" t="str">
        <f>IF(表1_53[[#This Row],[配件1]]&lt;&gt;"",_xlfn.XLOOKUP(表1_53[[#This Row],[配件1]],显卡利益点对照表[型号],显卡利益点对照表[可显性],"ERROR"),"")</f>
        <v/>
      </c>
      <c r="N10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7" t="str" cm="1">
        <f t="array" ref="Q107">_xlfn.IFS(表1_53[[#This Row],[配件1]]="","",表1_53[[#This Row],[文本丨算力丨算力值]]=0,"",表1_53[[#This Row],[文本丨算力丨算力值]]&lt;&gt;"","算力")</f>
        <v/>
      </c>
    </row>
    <row r="108" spans="6:17" x14ac:dyDescent="0.2">
      <c r="F108" t="str">
        <f>IF(表1_53[[#This Row],[配件1]]&lt;&gt;"",_xlfn.XLOOKUP(表1_53[[#This Row],[配件1]],显卡利益点对照表[型号],显卡利益点对照表[标题1],"ERROR"),"")</f>
        <v/>
      </c>
      <c r="G108" t="str">
        <f>IF(表1_53[[#This Row],[配件1]]&lt;&gt;"",_xlfn.XLOOKUP(表1_53[[#This Row],[配件1]],显卡利益点对照表[型号],显卡利益点对照表[标题2],"ERROR"),"")</f>
        <v/>
      </c>
      <c r="H10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8" t="str">
        <f>IF(表1_53[[#This Row],[配件1]]&lt;&gt;"",_xlfn.XLOOKUP(表1_53[[#This Row],[配件1]],显卡利益点对照表[型号],显卡利益点对照表[利益点1],"ERROR"),"")</f>
        <v/>
      </c>
      <c r="J108" t="str">
        <f>IF(表1_53[[#This Row],[配件1]]&lt;&gt;"",_xlfn.XLOOKUP(表1_53[[#This Row],[配件1]],显卡利益点对照表[型号],显卡利益点对照表[利益点2],"ERROR"),"")</f>
        <v/>
      </c>
      <c r="K108" t="str">
        <f>IF(表1_53[[#This Row],[配件1]]&lt;&gt;"",_xlfn.XLOOKUP(表1_53[[#This Row],[配件1]],显卡利益点对照表[型号],显卡利益点对照表[利益点3],"ERROR"),"")</f>
        <v/>
      </c>
      <c r="L108" t="str">
        <f>IF(表1_53[[#This Row],[配件1]]&lt;&gt;"",_xlfn.XLOOKUP(表1_53[[#This Row],[配件1]],显卡利益点对照表[型号],显卡利益点对照表[算力],"ERROR"),"")</f>
        <v/>
      </c>
      <c r="M108" t="str">
        <f>IF(表1_53[[#This Row],[配件1]]&lt;&gt;"",_xlfn.XLOOKUP(表1_53[[#This Row],[配件1]],显卡利益点对照表[型号],显卡利益点对照表[可显性],"ERROR"),"")</f>
        <v/>
      </c>
      <c r="N10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8" t="str" cm="1">
        <f t="array" ref="Q108">_xlfn.IFS(表1_53[[#This Row],[配件1]]="","",表1_53[[#This Row],[文本丨算力丨算力值]]=0,"",表1_53[[#This Row],[文本丨算力丨算力值]]&lt;&gt;"","算力")</f>
        <v/>
      </c>
    </row>
    <row r="109" spans="6:17" x14ac:dyDescent="0.2">
      <c r="F109" t="str">
        <f>IF(表1_53[[#This Row],[配件1]]&lt;&gt;"",_xlfn.XLOOKUP(表1_53[[#This Row],[配件1]],显卡利益点对照表[型号],显卡利益点对照表[标题1],"ERROR"),"")</f>
        <v/>
      </c>
      <c r="G109" t="str">
        <f>IF(表1_53[[#This Row],[配件1]]&lt;&gt;"",_xlfn.XLOOKUP(表1_53[[#This Row],[配件1]],显卡利益点对照表[型号],显卡利益点对照表[标题2],"ERROR"),"")</f>
        <v/>
      </c>
      <c r="H10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9" t="str">
        <f>IF(表1_53[[#This Row],[配件1]]&lt;&gt;"",_xlfn.XLOOKUP(表1_53[[#This Row],[配件1]],显卡利益点对照表[型号],显卡利益点对照表[利益点1],"ERROR"),"")</f>
        <v/>
      </c>
      <c r="J109" t="str">
        <f>IF(表1_53[[#This Row],[配件1]]&lt;&gt;"",_xlfn.XLOOKUP(表1_53[[#This Row],[配件1]],显卡利益点对照表[型号],显卡利益点对照表[利益点2],"ERROR"),"")</f>
        <v/>
      </c>
      <c r="K109" t="str">
        <f>IF(表1_53[[#This Row],[配件1]]&lt;&gt;"",_xlfn.XLOOKUP(表1_53[[#This Row],[配件1]],显卡利益点对照表[型号],显卡利益点对照表[利益点3],"ERROR"),"")</f>
        <v/>
      </c>
      <c r="L109" t="str">
        <f>IF(表1_53[[#This Row],[配件1]]&lt;&gt;"",_xlfn.XLOOKUP(表1_53[[#This Row],[配件1]],显卡利益点对照表[型号],显卡利益点对照表[算力],"ERROR"),"")</f>
        <v/>
      </c>
      <c r="M109" t="str">
        <f>IF(表1_53[[#This Row],[配件1]]&lt;&gt;"",_xlfn.XLOOKUP(表1_53[[#This Row],[配件1]],显卡利益点对照表[型号],显卡利益点对照表[可显性],"ERROR"),"")</f>
        <v/>
      </c>
      <c r="N10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9" t="str" cm="1">
        <f t="array" ref="Q109">_xlfn.IFS(表1_53[[#This Row],[配件1]]="","",表1_53[[#This Row],[文本丨算力丨算力值]]=0,"",表1_53[[#This Row],[文本丨算力丨算力值]]&lt;&gt;"","算力")</f>
        <v/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9831-6029-4AAD-B367-72DD88945B4D}">
  <sheetPr codeName="Sheet6">
    <tabColor rgb="FFFFC000"/>
  </sheetPr>
  <dimension ref="A1:N80"/>
  <sheetViews>
    <sheetView zoomScale="85" zoomScaleNormal="85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M35" sqref="M35"/>
    </sheetView>
  </sheetViews>
  <sheetFormatPr defaultRowHeight="14.25" outlineLevelCol="1" x14ac:dyDescent="0.2"/>
  <cols>
    <col min="1" max="1" width="11" bestFit="1" customWidth="1"/>
    <col min="2" max="2" width="33.625" style="22" bestFit="1" customWidth="1"/>
    <col min="3" max="3" width="34.375" customWidth="1" outlineLevel="1"/>
    <col min="4" max="4" width="25.875" customWidth="1" outlineLevel="1"/>
    <col min="5" max="7" width="17.625" bestFit="1" customWidth="1"/>
    <col min="8" max="10" width="20.625" bestFit="1" customWidth="1"/>
    <col min="11" max="11" width="29.125" bestFit="1" customWidth="1"/>
    <col min="12" max="12" width="29.125" customWidth="1"/>
    <col min="13" max="13" width="26.25" customWidth="1"/>
    <col min="14" max="14" width="24.125" customWidth="1"/>
    <col min="15" max="15" width="17.375" bestFit="1" customWidth="1"/>
  </cols>
  <sheetData>
    <row r="1" spans="1:14" x14ac:dyDescent="0.2">
      <c r="A1" t="s">
        <v>188</v>
      </c>
      <c r="B1" s="22" t="s">
        <v>288</v>
      </c>
    </row>
    <row r="2" spans="1:14" x14ac:dyDescent="0.2">
      <c r="A2" t="s">
        <v>1</v>
      </c>
      <c r="B2" s="22" t="s">
        <v>599</v>
      </c>
    </row>
    <row r="3" spans="1:14" x14ac:dyDescent="0.2">
      <c r="A3" t="s">
        <v>2</v>
      </c>
      <c r="B3" s="22" t="s">
        <v>596</v>
      </c>
    </row>
    <row r="4" spans="1:14" x14ac:dyDescent="0.2">
      <c r="A4" t="s">
        <v>3</v>
      </c>
      <c r="B4" s="22" t="s">
        <v>4</v>
      </c>
    </row>
    <row r="5" spans="1:14" x14ac:dyDescent="0.2">
      <c r="A5" t="s">
        <v>5</v>
      </c>
      <c r="B5" s="23" t="s">
        <v>190</v>
      </c>
    </row>
    <row r="6" spans="1:14" ht="15" thickBot="1" x14ac:dyDescent="0.25"/>
    <row r="7" spans="1:14" ht="19.5" customHeight="1" thickTop="1" x14ac:dyDescent="0.2">
      <c r="E7" s="29" t="s">
        <v>191</v>
      </c>
      <c r="F7" s="30"/>
      <c r="G7" s="31"/>
      <c r="H7" s="41" t="s">
        <v>192</v>
      </c>
      <c r="I7" s="42"/>
      <c r="J7" s="42"/>
      <c r="K7" s="35" t="s">
        <v>193</v>
      </c>
      <c r="L7" s="44"/>
      <c r="M7" s="36"/>
      <c r="N7" s="39" t="s">
        <v>194</v>
      </c>
    </row>
    <row r="8" spans="1:14" ht="19.5" customHeight="1" thickBot="1" x14ac:dyDescent="0.25">
      <c r="E8" s="32"/>
      <c r="F8" s="33"/>
      <c r="G8" s="34"/>
      <c r="H8" s="41"/>
      <c r="I8" s="42"/>
      <c r="J8" s="42"/>
      <c r="K8" s="37"/>
      <c r="L8" s="45"/>
      <c r="M8" s="38"/>
      <c r="N8" s="40"/>
    </row>
    <row r="9" spans="1:14" ht="15.75" thickTop="1" thickBot="1" x14ac:dyDescent="0.25"/>
    <row r="10" spans="1:14" ht="61.5" customHeight="1" thickTop="1" thickBot="1" x14ac:dyDescent="0.25">
      <c r="B10" s="21" t="s">
        <v>16</v>
      </c>
      <c r="C10" s="17" t="s">
        <v>263</v>
      </c>
      <c r="D10" s="17" t="s">
        <v>264</v>
      </c>
      <c r="E10" s="18" t="s">
        <v>18</v>
      </c>
      <c r="F10" s="19" t="s">
        <v>195</v>
      </c>
      <c r="G10" s="19" t="s">
        <v>196</v>
      </c>
      <c r="H10" s="19" t="s">
        <v>197</v>
      </c>
      <c r="I10" s="19" t="s">
        <v>198</v>
      </c>
      <c r="J10" s="19" t="s">
        <v>199</v>
      </c>
      <c r="K10" s="10" t="s">
        <v>200</v>
      </c>
      <c r="L10" s="10" t="s">
        <v>589</v>
      </c>
      <c r="M10" s="10" t="s">
        <v>590</v>
      </c>
      <c r="N10" s="10" t="s">
        <v>202</v>
      </c>
    </row>
    <row r="11" spans="1:14" ht="15" thickTop="1" x14ac:dyDescent="0.2">
      <c r="K11" t="str">
        <f>IF(表1_536[[#This Row],[配件1]]&lt;&gt;"",_xlfn.XLOOKUP(表1_536[[#This Row],[配件1]],显卡利益点对照表[型号],显卡利益点对照表[可显性],"ERROR"),"")</f>
        <v/>
      </c>
    </row>
    <row r="12" spans="1:14" x14ac:dyDescent="0.2">
      <c r="B12" s="22">
        <v>10166472874125</v>
      </c>
      <c r="C12" t="s">
        <v>565</v>
      </c>
      <c r="E12" t="s">
        <v>606</v>
      </c>
      <c r="F12" t="s">
        <v>623</v>
      </c>
      <c r="G12" t="s">
        <v>624</v>
      </c>
      <c r="H12" t="s">
        <v>245</v>
      </c>
      <c r="I12" t="s">
        <v>626</v>
      </c>
      <c r="J12" t="s">
        <v>625</v>
      </c>
      <c r="K12" t="str">
        <f>IF(表1_536[[#This Row],[配件1]]&lt;&gt;"",_xlfn.XLOOKUP(表1_536[[#This Row],[配件1]],显卡利益点对照表[型号],显卡利益点对照表[可显性],"ERROR"),"")</f>
        <v>GV-N5060WF2MAX OC-8GD</v>
      </c>
      <c r="L12" t="s">
        <v>595</v>
      </c>
      <c r="M12" t="s">
        <v>593</v>
      </c>
      <c r="N12" t="s">
        <v>594</v>
      </c>
    </row>
    <row r="13" spans="1:14" x14ac:dyDescent="0.2">
      <c r="B13" s="22">
        <v>10166472874127</v>
      </c>
      <c r="C13" t="s">
        <v>482</v>
      </c>
      <c r="E13" t="s">
        <v>608</v>
      </c>
      <c r="F13" t="s">
        <v>623</v>
      </c>
      <c r="G13" t="s">
        <v>624</v>
      </c>
      <c r="H13" t="s">
        <v>256</v>
      </c>
      <c r="I13" t="s">
        <v>626</v>
      </c>
      <c r="J13" t="s">
        <v>625</v>
      </c>
      <c r="K13" t="str">
        <f>IF(表1_536[[#This Row],[配件1]]&lt;&gt;"",_xlfn.XLOOKUP(表1_536[[#This Row],[配件1]],显卡利益点对照表[型号],显卡利益点对照表[可显性],"ERROR"),"")</f>
        <v>GV-N5060GAMING OC-8GD</v>
      </c>
      <c r="L13" t="s">
        <v>595</v>
      </c>
      <c r="M13" t="s">
        <v>593</v>
      </c>
      <c r="N13" t="s">
        <v>594</v>
      </c>
    </row>
    <row r="14" spans="1:14" x14ac:dyDescent="0.2">
      <c r="B14" s="22">
        <v>10166472874129</v>
      </c>
      <c r="C14" t="s">
        <v>483</v>
      </c>
      <c r="E14" t="s">
        <v>610</v>
      </c>
      <c r="F14" t="s">
        <v>623</v>
      </c>
      <c r="G14" t="s">
        <v>624</v>
      </c>
      <c r="H14" t="s">
        <v>257</v>
      </c>
      <c r="I14" t="s">
        <v>626</v>
      </c>
      <c r="J14" t="s">
        <v>625</v>
      </c>
      <c r="K14" t="str">
        <f>IF(表1_536[[#This Row],[配件1]]&lt;&gt;"",_xlfn.XLOOKUP(表1_536[[#This Row],[配件1]],显卡利益点对照表[型号],显卡利益点对照表[可显性],"ERROR"),"")</f>
        <v>GV-N5060AERO OC-8GD</v>
      </c>
      <c r="L14" t="s">
        <v>595</v>
      </c>
      <c r="M14" t="s">
        <v>593</v>
      </c>
      <c r="N14" t="s">
        <v>594</v>
      </c>
    </row>
    <row r="15" spans="1:14" x14ac:dyDescent="0.2">
      <c r="B15" s="22">
        <v>10166472874131</v>
      </c>
      <c r="C15" t="s">
        <v>591</v>
      </c>
      <c r="E15" t="s">
        <v>611</v>
      </c>
      <c r="F15" t="s">
        <v>623</v>
      </c>
      <c r="G15" t="s">
        <v>624</v>
      </c>
      <c r="H15" t="s">
        <v>245</v>
      </c>
      <c r="I15" t="s">
        <v>626</v>
      </c>
      <c r="J15" t="s">
        <v>625</v>
      </c>
      <c r="K15" t="str">
        <f>IF(表1_536[[#This Row],[配件1]]&lt;&gt;"",_xlfn.XLOOKUP(表1_536[[#This Row],[配件1]],显卡利益点对照表[型号],显卡利益点对照表[可显性],"ERROR"),"")</f>
        <v>GV-N506TWF2MAX OC-8GD</v>
      </c>
      <c r="L15" t="s">
        <v>595</v>
      </c>
      <c r="M15" t="s">
        <v>593</v>
      </c>
      <c r="N15" t="s">
        <v>594</v>
      </c>
    </row>
    <row r="16" spans="1:14" x14ac:dyDescent="0.2">
      <c r="B16" s="22">
        <v>10166472874133</v>
      </c>
      <c r="C16" t="s">
        <v>271</v>
      </c>
      <c r="E16" t="s">
        <v>612</v>
      </c>
      <c r="F16" t="s">
        <v>623</v>
      </c>
      <c r="G16" t="s">
        <v>624</v>
      </c>
      <c r="H16" t="s">
        <v>256</v>
      </c>
      <c r="I16" t="s">
        <v>626</v>
      </c>
      <c r="J16" t="s">
        <v>625</v>
      </c>
      <c r="K16" t="str">
        <f>IF(表1_536[[#This Row],[配件1]]&lt;&gt;"",_xlfn.XLOOKUP(表1_536[[#This Row],[配件1]],显卡利益点对照表[型号],显卡利益点对照表[可显性],"ERROR"),"")</f>
        <v>GV-N506TGAMING OC-16GD</v>
      </c>
      <c r="L16" t="s">
        <v>595</v>
      </c>
      <c r="M16" t="s">
        <v>593</v>
      </c>
      <c r="N16" t="s">
        <v>594</v>
      </c>
    </row>
    <row r="17" spans="2:14" x14ac:dyDescent="0.2">
      <c r="B17" s="22">
        <v>10166472874135</v>
      </c>
      <c r="C17" t="s">
        <v>592</v>
      </c>
      <c r="E17" t="s">
        <v>611</v>
      </c>
      <c r="F17" t="s">
        <v>623</v>
      </c>
      <c r="G17" t="s">
        <v>624</v>
      </c>
      <c r="H17" t="s">
        <v>245</v>
      </c>
      <c r="I17" t="s">
        <v>626</v>
      </c>
      <c r="J17" t="s">
        <v>625</v>
      </c>
      <c r="K17" t="str">
        <f>IF(表1_536[[#This Row],[配件1]]&lt;&gt;"",_xlfn.XLOOKUP(表1_536[[#This Row],[配件1]],显卡利益点对照表[型号],显卡利益点对照表[可显性],"ERROR"),"")</f>
        <v>GV-N506TWF2MAX OC-16GD</v>
      </c>
      <c r="L17" t="s">
        <v>595</v>
      </c>
      <c r="M17" t="s">
        <v>593</v>
      </c>
      <c r="N17" t="s">
        <v>594</v>
      </c>
    </row>
    <row r="18" spans="2:14" x14ac:dyDescent="0.2">
      <c r="B18" s="22">
        <v>10166472874137</v>
      </c>
      <c r="C18" t="s">
        <v>272</v>
      </c>
      <c r="E18" t="s">
        <v>612</v>
      </c>
      <c r="F18" t="s">
        <v>623</v>
      </c>
      <c r="G18" t="s">
        <v>624</v>
      </c>
      <c r="H18" t="s">
        <v>256</v>
      </c>
      <c r="I18" t="s">
        <v>626</v>
      </c>
      <c r="J18" t="s">
        <v>625</v>
      </c>
      <c r="K18" t="str">
        <f>IF(表1_536[[#This Row],[配件1]]&lt;&gt;"",_xlfn.XLOOKUP(表1_536[[#This Row],[配件1]],显卡利益点对照表[型号],显卡利益点对照表[可显性],"ERROR"),"")</f>
        <v>GV-N506TGAMING OC-16GD</v>
      </c>
      <c r="L18" t="s">
        <v>595</v>
      </c>
      <c r="M18" t="s">
        <v>593</v>
      </c>
      <c r="N18" t="s">
        <v>594</v>
      </c>
    </row>
    <row r="19" spans="2:14" x14ac:dyDescent="0.2">
      <c r="B19" s="22">
        <v>10166472874139</v>
      </c>
      <c r="C19" t="s">
        <v>268</v>
      </c>
      <c r="E19" t="s">
        <v>613</v>
      </c>
      <c r="F19" t="s">
        <v>623</v>
      </c>
      <c r="G19" t="s">
        <v>624</v>
      </c>
      <c r="H19" t="s">
        <v>257</v>
      </c>
      <c r="I19" t="s">
        <v>626</v>
      </c>
      <c r="J19" t="s">
        <v>625</v>
      </c>
      <c r="K19" t="str">
        <f>IF(表1_536[[#This Row],[配件1]]&lt;&gt;"",_xlfn.XLOOKUP(表1_536[[#This Row],[配件1]],显卡利益点对照表[型号],显卡利益点对照表[可显性],"ERROR"),"")</f>
        <v>GV-N506TAERO OC-16GD</v>
      </c>
      <c r="L19" t="s">
        <v>595</v>
      </c>
      <c r="M19" t="s">
        <v>593</v>
      </c>
      <c r="N19" t="s">
        <v>594</v>
      </c>
    </row>
    <row r="20" spans="2:14" x14ac:dyDescent="0.2">
      <c r="B20" s="22">
        <v>10146186725161</v>
      </c>
      <c r="C20" t="s">
        <v>68</v>
      </c>
      <c r="E20" t="s">
        <v>614</v>
      </c>
      <c r="F20" t="s">
        <v>623</v>
      </c>
      <c r="G20" t="s">
        <v>624</v>
      </c>
      <c r="H20" t="s">
        <v>341</v>
      </c>
      <c r="I20" t="s">
        <v>626</v>
      </c>
      <c r="J20" t="s">
        <v>625</v>
      </c>
      <c r="K20" t="str">
        <f>IF(表1_536[[#This Row],[配件1]]&lt;&gt;"",_xlfn.XLOOKUP(表1_536[[#This Row],[配件1]],显卡利益点对照表[型号],显卡利益点对照表[可显性],"ERROR"),"")</f>
        <v>GV-N5070EAGLE OC-12GD</v>
      </c>
      <c r="L20" t="s">
        <v>595</v>
      </c>
      <c r="M20" t="s">
        <v>593</v>
      </c>
      <c r="N20" t="s">
        <v>594</v>
      </c>
    </row>
    <row r="21" spans="2:14" x14ac:dyDescent="0.2">
      <c r="B21" s="22">
        <v>10146186725163</v>
      </c>
      <c r="C21" t="s">
        <v>71</v>
      </c>
      <c r="E21" t="s">
        <v>616</v>
      </c>
      <c r="F21" t="s">
        <v>623</v>
      </c>
      <c r="G21" t="s">
        <v>624</v>
      </c>
      <c r="H21" t="s">
        <v>341</v>
      </c>
      <c r="I21" t="s">
        <v>626</v>
      </c>
      <c r="J21" t="s">
        <v>625</v>
      </c>
      <c r="K21" t="str">
        <f>IF(表1_536[[#This Row],[配件1]]&lt;&gt;"",_xlfn.XLOOKUP(表1_536[[#This Row],[配件1]],显卡利益点对照表[型号],显卡利益点对照表[可显性],"ERROR"),"")</f>
        <v>GV-N5070EAGLEOC ICE-12GD</v>
      </c>
      <c r="L21" t="s">
        <v>595</v>
      </c>
      <c r="M21" t="s">
        <v>593</v>
      </c>
      <c r="N21" t="s">
        <v>594</v>
      </c>
    </row>
    <row r="22" spans="2:14" x14ac:dyDescent="0.2">
      <c r="B22" s="22">
        <v>10146186725165</v>
      </c>
      <c r="C22" t="s">
        <v>72</v>
      </c>
      <c r="E22" t="s">
        <v>617</v>
      </c>
      <c r="F22" t="s">
        <v>623</v>
      </c>
      <c r="G22" t="s">
        <v>624</v>
      </c>
      <c r="H22" t="s">
        <v>215</v>
      </c>
      <c r="I22" t="s">
        <v>626</v>
      </c>
      <c r="J22" t="s">
        <v>625</v>
      </c>
      <c r="K22" t="str">
        <f>IF(表1_536[[#This Row],[配件1]]&lt;&gt;"",_xlfn.XLOOKUP(表1_536[[#This Row],[配件1]],显卡利益点对照表[型号],显卡利益点对照表[可显性],"ERROR"),"")</f>
        <v>GV-N5070GAMING OC-12GD</v>
      </c>
      <c r="L22" t="s">
        <v>595</v>
      </c>
      <c r="M22" t="s">
        <v>593</v>
      </c>
      <c r="N22" t="s">
        <v>594</v>
      </c>
    </row>
    <row r="23" spans="2:14" x14ac:dyDescent="0.2">
      <c r="B23" s="22">
        <v>10146186725167</v>
      </c>
      <c r="C23" t="s">
        <v>77</v>
      </c>
      <c r="E23" t="s">
        <v>618</v>
      </c>
      <c r="F23" t="s">
        <v>623</v>
      </c>
      <c r="G23" t="s">
        <v>624</v>
      </c>
      <c r="H23" t="s">
        <v>343</v>
      </c>
      <c r="I23" t="s">
        <v>626</v>
      </c>
      <c r="J23" t="s">
        <v>625</v>
      </c>
      <c r="K23" t="str">
        <f>IF(表1_536[[#This Row],[配件1]]&lt;&gt;"",_xlfn.XLOOKUP(表1_536[[#This Row],[配件1]],显卡利益点对照表[型号],显卡利益点对照表[可显性],"ERROR"),"")</f>
        <v>GV-N5070AERO OC-12GD</v>
      </c>
      <c r="L23" t="s">
        <v>595</v>
      </c>
      <c r="M23" t="s">
        <v>593</v>
      </c>
      <c r="N23" t="s">
        <v>594</v>
      </c>
    </row>
    <row r="24" spans="2:14" x14ac:dyDescent="0.2">
      <c r="B24" s="22">
        <v>10146186725169</v>
      </c>
      <c r="C24" t="s">
        <v>90</v>
      </c>
      <c r="E24" t="s">
        <v>619</v>
      </c>
      <c r="F24" t="s">
        <v>623</v>
      </c>
      <c r="G24" t="s">
        <v>624</v>
      </c>
      <c r="H24" t="s">
        <v>341</v>
      </c>
      <c r="I24" t="s">
        <v>626</v>
      </c>
      <c r="J24" t="s">
        <v>625</v>
      </c>
      <c r="K24" t="str">
        <f>IF(表1_536[[#This Row],[配件1]]&lt;&gt;"",_xlfn.XLOOKUP(表1_536[[#This Row],[配件1]],显卡利益点对照表[型号],显卡利益点对照表[可显性],"ERROR"),"")</f>
        <v>GV-N507TEAGLE OC-16GD</v>
      </c>
      <c r="L24" t="s">
        <v>595</v>
      </c>
      <c r="M24" t="s">
        <v>593</v>
      </c>
      <c r="N24" t="s">
        <v>594</v>
      </c>
    </row>
    <row r="25" spans="2:14" x14ac:dyDescent="0.2">
      <c r="B25" s="22">
        <v>10146186725171</v>
      </c>
      <c r="C25" t="s">
        <v>91</v>
      </c>
      <c r="E25" t="s">
        <v>620</v>
      </c>
      <c r="F25" t="s">
        <v>623</v>
      </c>
      <c r="G25" t="s">
        <v>624</v>
      </c>
      <c r="H25" t="s">
        <v>341</v>
      </c>
      <c r="I25" t="s">
        <v>626</v>
      </c>
      <c r="J25" t="s">
        <v>625</v>
      </c>
      <c r="K25" t="str">
        <f>IF(表1_536[[#This Row],[配件1]]&lt;&gt;"",_xlfn.XLOOKUP(表1_536[[#This Row],[配件1]],显卡利益点对照表[型号],显卡利益点对照表[可显性],"ERROR"),"")</f>
        <v>GV-N507TEAGLE OC ICE-16GD</v>
      </c>
      <c r="L25" t="s">
        <v>595</v>
      </c>
      <c r="M25" t="s">
        <v>593</v>
      </c>
      <c r="N25" t="s">
        <v>594</v>
      </c>
    </row>
    <row r="26" spans="2:14" x14ac:dyDescent="0.2">
      <c r="B26" s="22">
        <v>10146186725173</v>
      </c>
      <c r="C26" t="s">
        <v>93</v>
      </c>
      <c r="E26" t="s">
        <v>621</v>
      </c>
      <c r="F26" t="s">
        <v>623</v>
      </c>
      <c r="G26" t="s">
        <v>624</v>
      </c>
      <c r="H26" t="s">
        <v>215</v>
      </c>
      <c r="I26" t="s">
        <v>626</v>
      </c>
      <c r="J26" t="s">
        <v>625</v>
      </c>
      <c r="K26" t="str">
        <f>IF(表1_536[[#This Row],[配件1]]&lt;&gt;"",_xlfn.XLOOKUP(表1_536[[#This Row],[配件1]],显卡利益点对照表[型号],显卡利益点对照表[可显性],"ERROR"),"")</f>
        <v>GV-N507TGAMING OC-16GD</v>
      </c>
      <c r="L26" t="s">
        <v>595</v>
      </c>
      <c r="M26" t="s">
        <v>593</v>
      </c>
      <c r="N26" t="s">
        <v>594</v>
      </c>
    </row>
    <row r="27" spans="2:14" x14ac:dyDescent="0.2">
      <c r="B27" s="22">
        <v>10146186725175</v>
      </c>
      <c r="C27" t="s">
        <v>96</v>
      </c>
      <c r="E27" t="s">
        <v>622</v>
      </c>
      <c r="F27" t="s">
        <v>623</v>
      </c>
      <c r="G27" t="s">
        <v>624</v>
      </c>
      <c r="H27" t="s">
        <v>343</v>
      </c>
      <c r="I27" t="s">
        <v>626</v>
      </c>
      <c r="J27" t="s">
        <v>625</v>
      </c>
      <c r="K27" t="str">
        <f>IF(表1_536[[#This Row],[配件1]]&lt;&gt;"",_xlfn.XLOOKUP(表1_536[[#This Row],[配件1]],显卡利益点对照表[型号],显卡利益点对照表[可显性],"ERROR"),"")</f>
        <v>GV-N507TAERO OC-16GD</v>
      </c>
      <c r="L27" t="s">
        <v>595</v>
      </c>
      <c r="M27" t="s">
        <v>593</v>
      </c>
      <c r="N27" t="s">
        <v>594</v>
      </c>
    </row>
    <row r="28" spans="2:14" x14ac:dyDescent="0.2">
      <c r="K28" t="str">
        <f>IF(表1_536[[#This Row],[配件1]]&lt;&gt;"",_xlfn.XLOOKUP(表1_536[[#This Row],[配件1]],显卡利益点对照表[型号],显卡利益点对照表[可显性],"ERROR"),"")</f>
        <v/>
      </c>
    </row>
    <row r="29" spans="2:14" x14ac:dyDescent="0.2">
      <c r="B29" s="22">
        <v>10166472909496</v>
      </c>
      <c r="C29" t="s">
        <v>591</v>
      </c>
      <c r="E29" t="s">
        <v>611</v>
      </c>
      <c r="F29" t="s">
        <v>627</v>
      </c>
      <c r="G29" t="s">
        <v>624</v>
      </c>
      <c r="H29" t="s">
        <v>245</v>
      </c>
      <c r="I29" t="s">
        <v>628</v>
      </c>
      <c r="J29" t="s">
        <v>625</v>
      </c>
      <c r="K29" t="str">
        <f>IF(表1_536[[#This Row],[配件1]]&lt;&gt;"",_xlfn.XLOOKUP(表1_536[[#This Row],[配件1]],显卡利益点对照表[型号],显卡利益点对照表[可显性],"ERROR"),"")</f>
        <v>GV-N506TWF2MAX OC-8GD</v>
      </c>
      <c r="L29" t="s">
        <v>627</v>
      </c>
      <c r="M29" t="s">
        <v>593</v>
      </c>
      <c r="N29" t="s">
        <v>594</v>
      </c>
    </row>
    <row r="30" spans="2:14" x14ac:dyDescent="0.2">
      <c r="B30" s="22">
        <v>10166472909498</v>
      </c>
      <c r="C30" t="s">
        <v>271</v>
      </c>
      <c r="E30" t="s">
        <v>612</v>
      </c>
      <c r="F30" t="s">
        <v>627</v>
      </c>
      <c r="G30" t="s">
        <v>624</v>
      </c>
      <c r="H30" t="s">
        <v>256</v>
      </c>
      <c r="I30" t="s">
        <v>628</v>
      </c>
      <c r="J30" t="s">
        <v>625</v>
      </c>
      <c r="K30" t="str">
        <f>IF(表1_536[[#This Row],[配件1]]&lt;&gt;"",_xlfn.XLOOKUP(表1_536[[#This Row],[配件1]],显卡利益点对照表[型号],显卡利益点对照表[可显性],"ERROR"),"")</f>
        <v>GV-N506TGAMING OC-16GD</v>
      </c>
      <c r="L30" t="s">
        <v>627</v>
      </c>
      <c r="M30" t="s">
        <v>593</v>
      </c>
      <c r="N30" t="s">
        <v>594</v>
      </c>
    </row>
    <row r="31" spans="2:14" x14ac:dyDescent="0.2">
      <c r="B31" s="22">
        <v>10166472909500</v>
      </c>
      <c r="C31" t="s">
        <v>592</v>
      </c>
      <c r="E31" t="s">
        <v>611</v>
      </c>
      <c r="F31" t="s">
        <v>627</v>
      </c>
      <c r="G31" t="s">
        <v>624</v>
      </c>
      <c r="H31" t="s">
        <v>245</v>
      </c>
      <c r="I31" t="s">
        <v>628</v>
      </c>
      <c r="J31" t="s">
        <v>625</v>
      </c>
      <c r="K31" t="str">
        <f>IF(表1_536[[#This Row],[配件1]]&lt;&gt;"",_xlfn.XLOOKUP(表1_536[[#This Row],[配件1]],显卡利益点对照表[型号],显卡利益点对照表[可显性],"ERROR"),"")</f>
        <v>GV-N506TWF2MAX OC-16GD</v>
      </c>
      <c r="L31" t="s">
        <v>627</v>
      </c>
      <c r="M31" t="s">
        <v>593</v>
      </c>
      <c r="N31" t="s">
        <v>594</v>
      </c>
    </row>
    <row r="32" spans="2:14" x14ac:dyDescent="0.2">
      <c r="B32" s="22">
        <v>10166472909502</v>
      </c>
      <c r="C32" t="s">
        <v>272</v>
      </c>
      <c r="E32" t="s">
        <v>612</v>
      </c>
      <c r="F32" t="s">
        <v>627</v>
      </c>
      <c r="G32" t="s">
        <v>624</v>
      </c>
      <c r="H32" t="s">
        <v>256</v>
      </c>
      <c r="I32" t="s">
        <v>628</v>
      </c>
      <c r="J32" t="s">
        <v>625</v>
      </c>
      <c r="K32" t="str">
        <f>IF(表1_536[[#This Row],[配件1]]&lt;&gt;"",_xlfn.XLOOKUP(表1_536[[#This Row],[配件1]],显卡利益点对照表[型号],显卡利益点对照表[可显性],"ERROR"),"")</f>
        <v>GV-N506TGAMING OC-16GD</v>
      </c>
      <c r="L32" t="s">
        <v>627</v>
      </c>
      <c r="M32" t="s">
        <v>593</v>
      </c>
      <c r="N32" t="s">
        <v>594</v>
      </c>
    </row>
    <row r="33" spans="2:14" x14ac:dyDescent="0.2">
      <c r="B33" s="22">
        <v>10166472909504</v>
      </c>
      <c r="C33" t="s">
        <v>268</v>
      </c>
      <c r="E33" t="s">
        <v>613</v>
      </c>
      <c r="F33" t="s">
        <v>627</v>
      </c>
      <c r="G33" t="s">
        <v>624</v>
      </c>
      <c r="H33" t="s">
        <v>257</v>
      </c>
      <c r="I33" t="s">
        <v>628</v>
      </c>
      <c r="J33" t="s">
        <v>625</v>
      </c>
      <c r="K33" t="str">
        <f>IF(表1_536[[#This Row],[配件1]]&lt;&gt;"",_xlfn.XLOOKUP(表1_536[[#This Row],[配件1]],显卡利益点对照表[型号],显卡利益点对照表[可显性],"ERROR"),"")</f>
        <v>GV-N506TAERO OC-16GD</v>
      </c>
      <c r="L33" t="s">
        <v>627</v>
      </c>
      <c r="M33" t="s">
        <v>593</v>
      </c>
      <c r="N33" t="s">
        <v>594</v>
      </c>
    </row>
    <row r="34" spans="2:14" x14ac:dyDescent="0.2">
      <c r="K34" t="str">
        <f>IF(表1_536[[#This Row],[配件1]]&lt;&gt;"",_xlfn.XLOOKUP(表1_536[[#This Row],[配件1]],显卡利益点对照表[型号],显卡利益点对照表[可显性],"ERROR"),"")</f>
        <v/>
      </c>
    </row>
    <row r="35" spans="2:14" x14ac:dyDescent="0.2">
      <c r="B35" s="22">
        <v>10146232466821</v>
      </c>
      <c r="C35" t="s">
        <v>72</v>
      </c>
      <c r="E35" t="s">
        <v>634</v>
      </c>
      <c r="F35" t="s">
        <v>642</v>
      </c>
      <c r="G35" t="s">
        <v>643</v>
      </c>
      <c r="H35" t="s">
        <v>644</v>
      </c>
      <c r="I35" t="s">
        <v>631</v>
      </c>
      <c r="J35" t="s">
        <v>625</v>
      </c>
      <c r="K35" t="str">
        <f>IF(表1_536[[#This Row],[配件1]]&lt;&gt;"",_xlfn.XLOOKUP(表1_536[[#This Row],[配件1]],显卡利益点对照表[型号],显卡利益点对照表[可显性],"ERROR"),"")</f>
        <v>GV-N5070GAMING OC-12GD</v>
      </c>
      <c r="L35" t="s">
        <v>630</v>
      </c>
      <c r="M35" t="s">
        <v>629</v>
      </c>
      <c r="N35" t="s">
        <v>594</v>
      </c>
    </row>
    <row r="36" spans="2:14" x14ac:dyDescent="0.2">
      <c r="B36" s="22">
        <v>10146232466822</v>
      </c>
      <c r="C36" t="s">
        <v>77</v>
      </c>
      <c r="E36" t="s">
        <v>641</v>
      </c>
      <c r="F36" t="s">
        <v>642</v>
      </c>
      <c r="G36" t="s">
        <v>643</v>
      </c>
      <c r="H36" t="s">
        <v>645</v>
      </c>
      <c r="I36" t="s">
        <v>631</v>
      </c>
      <c r="J36" t="s">
        <v>625</v>
      </c>
      <c r="K36" t="str">
        <f>IF(表1_536[[#This Row],[配件1]]&lt;&gt;"",_xlfn.XLOOKUP(表1_536[[#This Row],[配件1]],显卡利益点对照表[型号],显卡利益点对照表[可显性],"ERROR"),"")</f>
        <v>GV-N5070AERO OC-12GD</v>
      </c>
      <c r="L36" t="s">
        <v>630</v>
      </c>
      <c r="M36" t="s">
        <v>629</v>
      </c>
      <c r="N36" t="s">
        <v>594</v>
      </c>
    </row>
    <row r="37" spans="2:14" x14ac:dyDescent="0.2">
      <c r="B37" s="22">
        <v>10146232466825</v>
      </c>
      <c r="C37" t="s">
        <v>80</v>
      </c>
      <c r="E37" t="s">
        <v>636</v>
      </c>
      <c r="F37" t="s">
        <v>642</v>
      </c>
      <c r="G37" t="s">
        <v>643</v>
      </c>
      <c r="H37" t="s">
        <v>644</v>
      </c>
      <c r="I37" t="s">
        <v>631</v>
      </c>
      <c r="J37" t="s">
        <v>625</v>
      </c>
      <c r="K37" t="str">
        <f>IF(表1_536[[#This Row],[配件1]]&lt;&gt;"",_xlfn.XLOOKUP(表1_536[[#This Row],[配件1]],显卡利益点对照表[型号],显卡利益点对照表[可显性],"ERROR"),"")</f>
        <v>GV-N5070AORUS M-12GD</v>
      </c>
      <c r="L37" t="s">
        <v>630</v>
      </c>
      <c r="M37" t="s">
        <v>629</v>
      </c>
      <c r="N37" t="s">
        <v>594</v>
      </c>
    </row>
    <row r="38" spans="2:14" x14ac:dyDescent="0.2">
      <c r="B38" s="22">
        <v>10146232466823</v>
      </c>
      <c r="C38" t="s">
        <v>93</v>
      </c>
      <c r="E38" t="s">
        <v>633</v>
      </c>
      <c r="F38" t="s">
        <v>642</v>
      </c>
      <c r="G38" t="s">
        <v>643</v>
      </c>
      <c r="H38" t="s">
        <v>644</v>
      </c>
      <c r="I38" t="s">
        <v>631</v>
      </c>
      <c r="J38" t="s">
        <v>625</v>
      </c>
      <c r="K38" t="str">
        <f>IF(表1_536[[#This Row],[配件1]]&lt;&gt;"",_xlfn.XLOOKUP(表1_536[[#This Row],[配件1]],显卡利益点对照表[型号],显卡利益点对照表[可显性],"ERROR"),"")</f>
        <v>GV-N507TGAMING OC-16GD</v>
      </c>
      <c r="L38" t="s">
        <v>630</v>
      </c>
      <c r="M38" t="s">
        <v>629</v>
      </c>
      <c r="N38" t="s">
        <v>594</v>
      </c>
    </row>
    <row r="39" spans="2:14" x14ac:dyDescent="0.2">
      <c r="B39" s="22">
        <v>10146232466824</v>
      </c>
      <c r="C39" t="s">
        <v>96</v>
      </c>
      <c r="E39" t="s">
        <v>635</v>
      </c>
      <c r="F39" t="s">
        <v>642</v>
      </c>
      <c r="G39" t="s">
        <v>643</v>
      </c>
      <c r="H39" t="s">
        <v>645</v>
      </c>
      <c r="I39" t="s">
        <v>631</v>
      </c>
      <c r="J39" t="s">
        <v>625</v>
      </c>
      <c r="K39" t="str">
        <f>IF(表1_536[[#This Row],[配件1]]&lt;&gt;"",_xlfn.XLOOKUP(表1_536[[#This Row],[配件1]],显卡利益点对照表[型号],显卡利益点对照表[可显性],"ERROR"),"")</f>
        <v>GV-N507TAERO OC-16GD</v>
      </c>
      <c r="L39" t="s">
        <v>630</v>
      </c>
      <c r="M39" t="s">
        <v>629</v>
      </c>
      <c r="N39" t="s">
        <v>594</v>
      </c>
    </row>
    <row r="40" spans="2:14" x14ac:dyDescent="0.2">
      <c r="B40" s="22">
        <v>10146232466826</v>
      </c>
      <c r="C40" t="s">
        <v>97</v>
      </c>
      <c r="E40" t="s">
        <v>636</v>
      </c>
      <c r="F40" t="s">
        <v>642</v>
      </c>
      <c r="G40" t="s">
        <v>643</v>
      </c>
      <c r="H40" t="s">
        <v>644</v>
      </c>
      <c r="I40" t="s">
        <v>631</v>
      </c>
      <c r="J40" t="s">
        <v>625</v>
      </c>
      <c r="K40" t="str">
        <f>IF(表1_536[[#This Row],[配件1]]&lt;&gt;"",_xlfn.XLOOKUP(表1_536[[#This Row],[配件1]],显卡利益点对照表[型号],显卡利益点对照表[可显性],"ERROR"),"")</f>
        <v>GV-N507TAORUS M-16GD</v>
      </c>
      <c r="L40" t="s">
        <v>630</v>
      </c>
      <c r="M40" t="s">
        <v>629</v>
      </c>
      <c r="N40" t="s">
        <v>594</v>
      </c>
    </row>
    <row r="41" spans="2:14" x14ac:dyDescent="0.2">
      <c r="B41" s="22">
        <v>10146232466827</v>
      </c>
      <c r="C41" t="s">
        <v>107</v>
      </c>
      <c r="E41" t="s">
        <v>637</v>
      </c>
      <c r="F41" t="s">
        <v>642</v>
      </c>
      <c r="G41" t="s">
        <v>643</v>
      </c>
      <c r="H41" t="s">
        <v>644</v>
      </c>
      <c r="I41" t="s">
        <v>631</v>
      </c>
      <c r="J41" t="s">
        <v>625</v>
      </c>
      <c r="K41" t="str">
        <f>IF(表1_536[[#This Row],[配件1]]&lt;&gt;"",_xlfn.XLOOKUP(表1_536[[#This Row],[配件1]],显卡利益点对照表[型号],显卡利益点对照表[可显性],"ERROR"),"")</f>
        <v>GV-N5080GAMING OC-16GD</v>
      </c>
      <c r="L41" t="s">
        <v>630</v>
      </c>
      <c r="M41" t="s">
        <v>629</v>
      </c>
      <c r="N41" t="s">
        <v>594</v>
      </c>
    </row>
    <row r="42" spans="2:14" x14ac:dyDescent="0.2">
      <c r="B42" s="22">
        <v>10146232466828</v>
      </c>
      <c r="C42" t="s">
        <v>109</v>
      </c>
      <c r="E42" t="s">
        <v>638</v>
      </c>
      <c r="F42" t="s">
        <v>642</v>
      </c>
      <c r="G42" t="s">
        <v>643</v>
      </c>
      <c r="H42" t="s">
        <v>645</v>
      </c>
      <c r="I42" t="s">
        <v>631</v>
      </c>
      <c r="J42" t="s">
        <v>625</v>
      </c>
      <c r="K42" t="str">
        <f>IF(表1_536[[#This Row],[配件1]]&lt;&gt;"",_xlfn.XLOOKUP(表1_536[[#This Row],[配件1]],显卡利益点对照表[型号],显卡利益点对照表[可显性],"ERROR"),"")</f>
        <v>GV-N5080AERO OC-16GD</v>
      </c>
      <c r="L42" t="s">
        <v>630</v>
      </c>
      <c r="M42" t="s">
        <v>629</v>
      </c>
      <c r="N42" t="s">
        <v>594</v>
      </c>
    </row>
    <row r="43" spans="2:14" x14ac:dyDescent="0.2">
      <c r="B43" s="22">
        <v>10146232466829</v>
      </c>
      <c r="C43" t="s">
        <v>110</v>
      </c>
      <c r="E43" t="s">
        <v>639</v>
      </c>
      <c r="F43" t="s">
        <v>642</v>
      </c>
      <c r="G43" t="s">
        <v>643</v>
      </c>
      <c r="H43" t="s">
        <v>644</v>
      </c>
      <c r="I43" t="s">
        <v>631</v>
      </c>
      <c r="J43" t="s">
        <v>625</v>
      </c>
      <c r="K43" t="str">
        <f>IF(表1_536[[#This Row],[配件1]]&lt;&gt;"",_xlfn.XLOOKUP(表1_536[[#This Row],[配件1]],显卡利益点对照表[型号],显卡利益点对照表[可显性],"ERROR"),"")</f>
        <v>GV-N5080AORUS M-16GD</v>
      </c>
      <c r="L43" t="s">
        <v>630</v>
      </c>
      <c r="M43" t="s">
        <v>629</v>
      </c>
      <c r="N43" t="s">
        <v>594</v>
      </c>
    </row>
    <row r="44" spans="2:14" x14ac:dyDescent="0.2">
      <c r="B44" s="22">
        <v>10146232466830</v>
      </c>
      <c r="C44" t="s">
        <v>112</v>
      </c>
      <c r="E44" t="s">
        <v>640</v>
      </c>
      <c r="F44" t="s">
        <v>642</v>
      </c>
      <c r="G44" t="s">
        <v>643</v>
      </c>
      <c r="H44" t="s">
        <v>644</v>
      </c>
      <c r="I44" t="s">
        <v>631</v>
      </c>
      <c r="J44" t="s">
        <v>625</v>
      </c>
      <c r="K44" t="str">
        <f>IF(表1_536[[#This Row],[配件1]]&lt;&gt;"",_xlfn.XLOOKUP(表1_536[[#This Row],[配件1]],显卡利益点对照表[型号],显卡利益点对照表[可显性],"ERROR"),"")</f>
        <v>GV-N5080AORUSM ICE-16GD</v>
      </c>
      <c r="L44" t="s">
        <v>630</v>
      </c>
      <c r="M44" t="s">
        <v>629</v>
      </c>
      <c r="N44" t="s">
        <v>594</v>
      </c>
    </row>
    <row r="45" spans="2:14" x14ac:dyDescent="0.2">
      <c r="B45" s="22">
        <v>10146232466831</v>
      </c>
      <c r="C45" t="s">
        <v>632</v>
      </c>
      <c r="E45" t="s">
        <v>646</v>
      </c>
      <c r="F45" t="s">
        <v>642</v>
      </c>
      <c r="G45" t="s">
        <v>643</v>
      </c>
      <c r="H45" t="s">
        <v>644</v>
      </c>
      <c r="I45" t="s">
        <v>631</v>
      </c>
      <c r="J45" t="s">
        <v>625</v>
      </c>
      <c r="K45" t="str">
        <f>IF(表1_536[[#This Row],[配件1]]&lt;&gt;"",_xlfn.XLOOKUP(表1_536[[#This Row],[配件1]],显卡利益点对照表[型号],显卡利益点对照表[可显性],"ERROR"),"")</f>
        <v>GV-N509DGAMING OC-32GD</v>
      </c>
      <c r="L45" t="s">
        <v>630</v>
      </c>
      <c r="M45" t="s">
        <v>629</v>
      </c>
      <c r="N45" t="s">
        <v>594</v>
      </c>
    </row>
    <row r="46" spans="2:14" x14ac:dyDescent="0.2">
      <c r="B46" s="22">
        <v>10146232466832</v>
      </c>
      <c r="C46" t="s">
        <v>127</v>
      </c>
      <c r="E46" t="s">
        <v>647</v>
      </c>
      <c r="F46" t="s">
        <v>642</v>
      </c>
      <c r="G46" t="s">
        <v>643</v>
      </c>
      <c r="H46" t="s">
        <v>644</v>
      </c>
      <c r="I46" t="s">
        <v>631</v>
      </c>
      <c r="J46" t="s">
        <v>625</v>
      </c>
      <c r="K46" t="str">
        <f>IF(表1_536[[#This Row],[配件1]]&lt;&gt;"",_xlfn.XLOOKUP(表1_536[[#This Row],[配件1]],显卡利益点对照表[型号],显卡利益点对照表[可显性],"ERROR"),"")</f>
        <v>GV-N509DAORUS M-32GD</v>
      </c>
      <c r="L46" t="s">
        <v>630</v>
      </c>
      <c r="M46" t="s">
        <v>629</v>
      </c>
      <c r="N46" t="s">
        <v>594</v>
      </c>
    </row>
    <row r="47" spans="2:14" x14ac:dyDescent="0.2">
      <c r="B47" s="22">
        <v>10146232466833</v>
      </c>
      <c r="C47" t="s">
        <v>129</v>
      </c>
      <c r="E47" t="s">
        <v>648</v>
      </c>
      <c r="F47" t="s">
        <v>642</v>
      </c>
      <c r="G47" t="s">
        <v>643</v>
      </c>
      <c r="H47" t="s">
        <v>644</v>
      </c>
      <c r="I47" t="s">
        <v>631</v>
      </c>
      <c r="J47" t="s">
        <v>625</v>
      </c>
      <c r="K47" t="str">
        <f>IF(表1_536[[#This Row],[配件1]]&lt;&gt;"",_xlfn.XLOOKUP(表1_536[[#This Row],[配件1]],显卡利益点对照表[型号],显卡利益点对照表[可显性],"ERROR"),"")</f>
        <v>GV-N509DAORUSM ICE-32GD</v>
      </c>
      <c r="L47" t="s">
        <v>630</v>
      </c>
      <c r="M47" t="s">
        <v>629</v>
      </c>
      <c r="N47" t="s">
        <v>594</v>
      </c>
    </row>
    <row r="49" spans="11:11" x14ac:dyDescent="0.2">
      <c r="K49" t="str">
        <f>IF(表1_536[[#This Row],[配件1]]&lt;&gt;"",_xlfn.XLOOKUP(表1_536[[#This Row],[配件1]],显卡利益点对照表[型号],显卡利益点对照表[可显性],"ERROR"),"")</f>
        <v/>
      </c>
    </row>
    <row r="65" spans="5:11" x14ac:dyDescent="0.2">
      <c r="E65" t="s">
        <v>600</v>
      </c>
      <c r="F65" t="s">
        <v>242</v>
      </c>
      <c r="G65" t="s">
        <v>607</v>
      </c>
      <c r="H65" t="s">
        <v>601</v>
      </c>
      <c r="I65" t="s">
        <v>244</v>
      </c>
      <c r="J65" t="s">
        <v>245</v>
      </c>
      <c r="K65" t="s">
        <v>246</v>
      </c>
    </row>
    <row r="66" spans="5:11" x14ac:dyDescent="0.2">
      <c r="E66" t="s">
        <v>600</v>
      </c>
      <c r="F66" t="s">
        <v>254</v>
      </c>
      <c r="G66" t="s">
        <v>609</v>
      </c>
      <c r="H66" t="s">
        <v>255</v>
      </c>
      <c r="I66" t="s">
        <v>244</v>
      </c>
      <c r="J66" t="s">
        <v>256</v>
      </c>
      <c r="K66" t="s">
        <v>216</v>
      </c>
    </row>
    <row r="67" spans="5:11" x14ac:dyDescent="0.2">
      <c r="E67" t="s">
        <v>600</v>
      </c>
      <c r="F67" t="s">
        <v>602</v>
      </c>
      <c r="G67" t="s">
        <v>610</v>
      </c>
      <c r="H67" t="s">
        <v>224</v>
      </c>
      <c r="I67" t="s">
        <v>244</v>
      </c>
      <c r="J67" t="s">
        <v>257</v>
      </c>
      <c r="K67" t="s">
        <v>216</v>
      </c>
    </row>
    <row r="68" spans="5:11" x14ac:dyDescent="0.2">
      <c r="E68" t="s">
        <v>241</v>
      </c>
      <c r="F68" t="s">
        <v>242</v>
      </c>
      <c r="G68" t="s">
        <v>611</v>
      </c>
      <c r="H68" t="s">
        <v>248</v>
      </c>
      <c r="I68" t="s">
        <v>244</v>
      </c>
      <c r="J68" t="s">
        <v>245</v>
      </c>
      <c r="K68" t="s">
        <v>246</v>
      </c>
    </row>
    <row r="69" spans="5:11" x14ac:dyDescent="0.2">
      <c r="E69" t="s">
        <v>241</v>
      </c>
      <c r="F69" t="s">
        <v>254</v>
      </c>
      <c r="G69" t="s">
        <v>612</v>
      </c>
      <c r="H69" t="s">
        <v>255</v>
      </c>
      <c r="I69" t="s">
        <v>244</v>
      </c>
      <c r="J69" t="s">
        <v>256</v>
      </c>
      <c r="K69" t="s">
        <v>605</v>
      </c>
    </row>
    <row r="70" spans="5:11" x14ac:dyDescent="0.2">
      <c r="E70" t="s">
        <v>241</v>
      </c>
      <c r="F70" t="s">
        <v>211</v>
      </c>
      <c r="G70" t="s">
        <v>611</v>
      </c>
      <c r="H70" t="s">
        <v>248</v>
      </c>
      <c r="I70" t="s">
        <v>244</v>
      </c>
      <c r="J70" t="s">
        <v>245</v>
      </c>
      <c r="K70" t="s">
        <v>576</v>
      </c>
    </row>
    <row r="71" spans="5:11" x14ac:dyDescent="0.2">
      <c r="E71" t="s">
        <v>241</v>
      </c>
      <c r="F71" t="s">
        <v>212</v>
      </c>
      <c r="G71" t="s">
        <v>612</v>
      </c>
      <c r="H71" t="s">
        <v>255</v>
      </c>
      <c r="I71" t="s">
        <v>244</v>
      </c>
      <c r="J71" t="s">
        <v>256</v>
      </c>
      <c r="K71" t="s">
        <v>605</v>
      </c>
    </row>
    <row r="72" spans="5:11" x14ac:dyDescent="0.2">
      <c r="E72" t="s">
        <v>241</v>
      </c>
      <c r="F72" t="s">
        <v>603</v>
      </c>
      <c r="G72" t="s">
        <v>613</v>
      </c>
      <c r="H72" t="s">
        <v>224</v>
      </c>
      <c r="I72" t="s">
        <v>244</v>
      </c>
      <c r="J72" t="s">
        <v>257</v>
      </c>
      <c r="K72" t="s">
        <v>605</v>
      </c>
    </row>
    <row r="73" spans="5:11" x14ac:dyDescent="0.2">
      <c r="E73" t="s">
        <v>604</v>
      </c>
      <c r="F73" t="s">
        <v>376</v>
      </c>
      <c r="G73" t="s">
        <v>615</v>
      </c>
      <c r="H73" t="s">
        <v>345</v>
      </c>
      <c r="I73" t="s">
        <v>340</v>
      </c>
      <c r="J73" t="s">
        <v>341</v>
      </c>
      <c r="K73" t="s">
        <v>342</v>
      </c>
    </row>
    <row r="74" spans="5:11" x14ac:dyDescent="0.2">
      <c r="E74" t="s">
        <v>604</v>
      </c>
      <c r="F74" t="s">
        <v>377</v>
      </c>
      <c r="G74" t="s">
        <v>616</v>
      </c>
      <c r="H74" t="s">
        <v>346</v>
      </c>
      <c r="I74" t="s">
        <v>340</v>
      </c>
      <c r="J74" t="s">
        <v>341</v>
      </c>
      <c r="K74" t="s">
        <v>342</v>
      </c>
    </row>
    <row r="75" spans="5:11" x14ac:dyDescent="0.2">
      <c r="E75" t="s">
        <v>604</v>
      </c>
      <c r="F75" t="s">
        <v>378</v>
      </c>
      <c r="G75" t="s">
        <v>617</v>
      </c>
      <c r="H75" t="s">
        <v>347</v>
      </c>
      <c r="I75" t="s">
        <v>260</v>
      </c>
      <c r="J75" t="s">
        <v>215</v>
      </c>
      <c r="K75" t="s">
        <v>342</v>
      </c>
    </row>
    <row r="76" spans="5:11" x14ac:dyDescent="0.2">
      <c r="E76" t="s">
        <v>604</v>
      </c>
      <c r="F76" t="s">
        <v>379</v>
      </c>
      <c r="G76" t="s">
        <v>618</v>
      </c>
      <c r="H76" t="s">
        <v>224</v>
      </c>
      <c r="I76" t="s">
        <v>260</v>
      </c>
      <c r="J76" t="s">
        <v>343</v>
      </c>
      <c r="K76" t="s">
        <v>342</v>
      </c>
    </row>
    <row r="77" spans="5:11" x14ac:dyDescent="0.2">
      <c r="E77" t="s">
        <v>333</v>
      </c>
      <c r="F77" t="s">
        <v>335</v>
      </c>
      <c r="G77" t="s">
        <v>619</v>
      </c>
      <c r="H77" t="s">
        <v>345</v>
      </c>
      <c r="I77" t="s">
        <v>340</v>
      </c>
      <c r="J77" t="s">
        <v>341</v>
      </c>
      <c r="K77" t="s">
        <v>342</v>
      </c>
    </row>
    <row r="78" spans="5:11" x14ac:dyDescent="0.2">
      <c r="E78" t="s">
        <v>333</v>
      </c>
      <c r="F78" t="s">
        <v>336</v>
      </c>
      <c r="G78" t="s">
        <v>620</v>
      </c>
      <c r="H78" t="s">
        <v>346</v>
      </c>
      <c r="I78" t="s">
        <v>340</v>
      </c>
      <c r="J78" t="s">
        <v>341</v>
      </c>
      <c r="K78" t="s">
        <v>342</v>
      </c>
    </row>
    <row r="79" spans="5:11" x14ac:dyDescent="0.2">
      <c r="E79" t="s">
        <v>333</v>
      </c>
      <c r="F79" t="s">
        <v>337</v>
      </c>
      <c r="G79" t="s">
        <v>621</v>
      </c>
      <c r="H79" t="s">
        <v>347</v>
      </c>
      <c r="I79" t="s">
        <v>260</v>
      </c>
      <c r="J79" t="s">
        <v>215</v>
      </c>
      <c r="K79" t="s">
        <v>342</v>
      </c>
    </row>
    <row r="80" spans="5:11" x14ac:dyDescent="0.2">
      <c r="E80" t="s">
        <v>333</v>
      </c>
      <c r="F80" t="s">
        <v>338</v>
      </c>
      <c r="G80" t="s">
        <v>622</v>
      </c>
      <c r="H80" t="s">
        <v>224</v>
      </c>
      <c r="I80" t="s">
        <v>260</v>
      </c>
      <c r="J80" t="s">
        <v>343</v>
      </c>
      <c r="K80" t="s">
        <v>342</v>
      </c>
    </row>
  </sheetData>
  <mergeCells count="4">
    <mergeCell ref="E7:G8"/>
    <mergeCell ref="H7:J8"/>
    <mergeCell ref="K7:M8"/>
    <mergeCell ref="N7:N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6DDC-9AE6-46A3-BAAB-F8EEC0C44997}">
  <sheetPr codeName="Sheet7">
    <tabColor rgb="FFFFC000"/>
  </sheetPr>
  <dimension ref="A1:L80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E25" sqref="E25"/>
    </sheetView>
  </sheetViews>
  <sheetFormatPr defaultRowHeight="14.25" outlineLevelCol="1" x14ac:dyDescent="0.2"/>
  <cols>
    <col min="1" max="1" width="11" bestFit="1" customWidth="1"/>
    <col min="2" max="2" width="33.625" style="22" bestFit="1" customWidth="1"/>
    <col min="3" max="3" width="34.375" customWidth="1" outlineLevel="1"/>
    <col min="4" max="4" width="25.875" customWidth="1" outlineLevel="1"/>
    <col min="5" max="7" width="17.625" bestFit="1" customWidth="1"/>
    <col min="8" max="10" width="20.625" bestFit="1" customWidth="1"/>
    <col min="11" max="11" width="24.875" bestFit="1" customWidth="1"/>
    <col min="12" max="12" width="29.125" bestFit="1" customWidth="1"/>
    <col min="13" max="13" width="17.375" bestFit="1" customWidth="1"/>
  </cols>
  <sheetData>
    <row r="1" spans="1:12" x14ac:dyDescent="0.2">
      <c r="A1" t="s">
        <v>188</v>
      </c>
      <c r="B1" s="22" t="s">
        <v>288</v>
      </c>
    </row>
    <row r="2" spans="1:12" x14ac:dyDescent="0.2">
      <c r="A2" t="s">
        <v>1</v>
      </c>
      <c r="B2" s="22" t="s">
        <v>691</v>
      </c>
    </row>
    <row r="3" spans="1:12" x14ac:dyDescent="0.2">
      <c r="A3" t="s">
        <v>2</v>
      </c>
      <c r="B3" s="22" t="s">
        <v>664</v>
      </c>
    </row>
    <row r="4" spans="1:12" x14ac:dyDescent="0.2">
      <c r="A4" t="s">
        <v>3</v>
      </c>
      <c r="B4" s="22" t="s">
        <v>4</v>
      </c>
    </row>
    <row r="5" spans="1:12" x14ac:dyDescent="0.2">
      <c r="A5" t="s">
        <v>5</v>
      </c>
      <c r="B5" s="23" t="s">
        <v>190</v>
      </c>
    </row>
    <row r="6" spans="1:12" ht="15" thickBot="1" x14ac:dyDescent="0.25"/>
    <row r="7" spans="1:12" ht="19.5" customHeight="1" thickTop="1" x14ac:dyDescent="0.2">
      <c r="E7" s="29" t="s">
        <v>191</v>
      </c>
      <c r="F7" s="30"/>
      <c r="G7" s="31"/>
      <c r="H7" s="41" t="s">
        <v>192</v>
      </c>
      <c r="I7" s="42"/>
      <c r="J7" s="42"/>
      <c r="K7" s="28"/>
      <c r="L7" s="35" t="s">
        <v>193</v>
      </c>
    </row>
    <row r="8" spans="1:12" ht="19.5" customHeight="1" thickBot="1" x14ac:dyDescent="0.25">
      <c r="E8" s="32"/>
      <c r="F8" s="33"/>
      <c r="G8" s="34"/>
      <c r="H8" s="41"/>
      <c r="I8" s="42"/>
      <c r="J8" s="42"/>
      <c r="K8" s="28"/>
      <c r="L8" s="37"/>
    </row>
    <row r="9" spans="1:12" ht="15.75" thickTop="1" thickBot="1" x14ac:dyDescent="0.25"/>
    <row r="10" spans="1:12" ht="61.5" customHeight="1" thickTop="1" thickBot="1" x14ac:dyDescent="0.25">
      <c r="B10" s="21" t="s">
        <v>16</v>
      </c>
      <c r="C10" s="17" t="s">
        <v>263</v>
      </c>
      <c r="D10" s="17" t="s">
        <v>264</v>
      </c>
      <c r="E10" s="18" t="s">
        <v>18</v>
      </c>
      <c r="F10" s="19" t="s">
        <v>195</v>
      </c>
      <c r="G10" s="19" t="s">
        <v>196</v>
      </c>
      <c r="H10" s="19" t="s">
        <v>197</v>
      </c>
      <c r="I10" s="19" t="s">
        <v>198</v>
      </c>
      <c r="J10" s="19" t="s">
        <v>199</v>
      </c>
      <c r="K10" s="19" t="s">
        <v>656</v>
      </c>
      <c r="L10" s="10" t="s">
        <v>667</v>
      </c>
    </row>
    <row r="11" spans="1:12" ht="15" thickTop="1" x14ac:dyDescent="0.2"/>
    <row r="12" spans="1:12" x14ac:dyDescent="0.2">
      <c r="B12" s="22" t="s">
        <v>657</v>
      </c>
      <c r="C12" t="s">
        <v>658</v>
      </c>
      <c r="E12" t="s">
        <v>649</v>
      </c>
      <c r="F12" t="s">
        <v>653</v>
      </c>
      <c r="G12" t="s">
        <v>651</v>
      </c>
      <c r="H12" t="s">
        <v>654</v>
      </c>
      <c r="I12" t="s">
        <v>665</v>
      </c>
      <c r="J12" t="s">
        <v>655</v>
      </c>
      <c r="K12" t="s">
        <v>666</v>
      </c>
      <c r="L12" t="s">
        <v>657</v>
      </c>
    </row>
    <row r="13" spans="1:12" x14ac:dyDescent="0.2">
      <c r="B13" s="22" t="s">
        <v>659</v>
      </c>
      <c r="C13" t="s">
        <v>662</v>
      </c>
      <c r="E13" t="s">
        <v>649</v>
      </c>
      <c r="F13" t="s">
        <v>653</v>
      </c>
      <c r="G13" t="s">
        <v>652</v>
      </c>
      <c r="H13" t="s">
        <v>654</v>
      </c>
      <c r="I13" t="s">
        <v>665</v>
      </c>
      <c r="J13" t="s">
        <v>655</v>
      </c>
      <c r="K13" t="s">
        <v>666</v>
      </c>
      <c r="L13" t="s">
        <v>659</v>
      </c>
    </row>
    <row r="14" spans="1:12" x14ac:dyDescent="0.2">
      <c r="B14" s="22" t="s">
        <v>660</v>
      </c>
      <c r="C14" t="s">
        <v>663</v>
      </c>
      <c r="E14" t="s">
        <v>649</v>
      </c>
      <c r="F14" t="s">
        <v>650</v>
      </c>
      <c r="G14" t="s">
        <v>651</v>
      </c>
      <c r="H14" t="s">
        <v>654</v>
      </c>
      <c r="I14" t="s">
        <v>665</v>
      </c>
      <c r="J14" t="s">
        <v>655</v>
      </c>
      <c r="K14" t="s">
        <v>666</v>
      </c>
      <c r="L14" t="s">
        <v>660</v>
      </c>
    </row>
    <row r="15" spans="1:12" x14ac:dyDescent="0.2">
      <c r="B15" s="22" t="s">
        <v>661</v>
      </c>
      <c r="C15" t="s">
        <v>661</v>
      </c>
      <c r="E15" t="s">
        <v>649</v>
      </c>
      <c r="F15" t="s">
        <v>650</v>
      </c>
      <c r="G15" t="s">
        <v>652</v>
      </c>
      <c r="H15" t="s">
        <v>654</v>
      </c>
      <c r="I15" t="s">
        <v>665</v>
      </c>
      <c r="J15" t="s">
        <v>655</v>
      </c>
      <c r="K15" t="s">
        <v>666</v>
      </c>
      <c r="L15" t="s">
        <v>661</v>
      </c>
    </row>
    <row r="18" spans="2:12" x14ac:dyDescent="0.2">
      <c r="B18" t="s">
        <v>669</v>
      </c>
      <c r="C18" t="s">
        <v>668</v>
      </c>
      <c r="E18" t="s">
        <v>669</v>
      </c>
      <c r="F18" t="s">
        <v>673</v>
      </c>
      <c r="G18" t="s">
        <v>674</v>
      </c>
      <c r="H18" t="s">
        <v>672</v>
      </c>
      <c r="I18" t="s">
        <v>671</v>
      </c>
      <c r="J18" t="s">
        <v>670</v>
      </c>
      <c r="K18" t="s">
        <v>675</v>
      </c>
      <c r="L18" t="s">
        <v>668</v>
      </c>
    </row>
    <row r="19" spans="2:12" x14ac:dyDescent="0.2">
      <c r="B19"/>
    </row>
    <row r="22" spans="2:12" x14ac:dyDescent="0.2">
      <c r="B22" s="22" t="s">
        <v>681</v>
      </c>
      <c r="C22" t="s">
        <v>681</v>
      </c>
      <c r="E22" t="s">
        <v>681</v>
      </c>
      <c r="F22" t="s">
        <v>688</v>
      </c>
      <c r="H22" t="s">
        <v>684</v>
      </c>
      <c r="I22" t="s">
        <v>686</v>
      </c>
      <c r="J22" t="s">
        <v>687</v>
      </c>
      <c r="K22" t="s">
        <v>685</v>
      </c>
      <c r="L22" t="s">
        <v>681</v>
      </c>
    </row>
    <row r="23" spans="2:12" x14ac:dyDescent="0.2">
      <c r="B23" s="22" t="s">
        <v>682</v>
      </c>
      <c r="C23" t="s">
        <v>682</v>
      </c>
      <c r="E23" t="s">
        <v>682</v>
      </c>
      <c r="F23" t="s">
        <v>689</v>
      </c>
      <c r="H23" t="s">
        <v>684</v>
      </c>
      <c r="I23" t="s">
        <v>686</v>
      </c>
      <c r="J23" t="s">
        <v>687</v>
      </c>
      <c r="K23" t="s">
        <v>685</v>
      </c>
      <c r="L23" t="s">
        <v>683</v>
      </c>
    </row>
    <row r="24" spans="2:12" x14ac:dyDescent="0.2">
      <c r="B24" t="s">
        <v>676</v>
      </c>
      <c r="C24" t="s">
        <v>676</v>
      </c>
      <c r="E24" t="s">
        <v>676</v>
      </c>
      <c r="F24" t="s">
        <v>690</v>
      </c>
      <c r="H24" t="s">
        <v>672</v>
      </c>
      <c r="I24" t="s">
        <v>678</v>
      </c>
      <c r="J24" t="s">
        <v>679</v>
      </c>
      <c r="K24" t="s">
        <v>680</v>
      </c>
      <c r="L24" t="s">
        <v>677</v>
      </c>
    </row>
    <row r="65" spans="5:12" x14ac:dyDescent="0.2">
      <c r="E65" t="s">
        <v>600</v>
      </c>
      <c r="F65" t="s">
        <v>242</v>
      </c>
      <c r="G65" t="s">
        <v>607</v>
      </c>
      <c r="H65" t="s">
        <v>601</v>
      </c>
      <c r="I65" t="s">
        <v>244</v>
      </c>
      <c r="J65" t="s">
        <v>245</v>
      </c>
      <c r="L65" t="s">
        <v>246</v>
      </c>
    </row>
    <row r="66" spans="5:12" x14ac:dyDescent="0.2">
      <c r="E66" t="s">
        <v>600</v>
      </c>
      <c r="F66" t="s">
        <v>254</v>
      </c>
      <c r="G66" t="s">
        <v>609</v>
      </c>
      <c r="H66" t="s">
        <v>255</v>
      </c>
      <c r="I66" t="s">
        <v>244</v>
      </c>
      <c r="J66" t="s">
        <v>256</v>
      </c>
      <c r="L66" t="s">
        <v>216</v>
      </c>
    </row>
    <row r="67" spans="5:12" x14ac:dyDescent="0.2">
      <c r="E67" t="s">
        <v>600</v>
      </c>
      <c r="F67" t="s">
        <v>602</v>
      </c>
      <c r="G67" t="s">
        <v>610</v>
      </c>
      <c r="H67" t="s">
        <v>224</v>
      </c>
      <c r="I67" t="s">
        <v>244</v>
      </c>
      <c r="J67" t="s">
        <v>257</v>
      </c>
      <c r="L67" t="s">
        <v>216</v>
      </c>
    </row>
    <row r="68" spans="5:12" x14ac:dyDescent="0.2">
      <c r="E68" t="s">
        <v>241</v>
      </c>
      <c r="F68" t="s">
        <v>242</v>
      </c>
      <c r="G68" t="s">
        <v>611</v>
      </c>
      <c r="H68" t="s">
        <v>248</v>
      </c>
      <c r="I68" t="s">
        <v>244</v>
      </c>
      <c r="J68" t="s">
        <v>245</v>
      </c>
      <c r="L68" t="s">
        <v>246</v>
      </c>
    </row>
    <row r="69" spans="5:12" x14ac:dyDescent="0.2">
      <c r="E69" t="s">
        <v>241</v>
      </c>
      <c r="F69" t="s">
        <v>254</v>
      </c>
      <c r="G69" t="s">
        <v>612</v>
      </c>
      <c r="H69" t="s">
        <v>255</v>
      </c>
      <c r="I69" t="s">
        <v>244</v>
      </c>
      <c r="J69" t="s">
        <v>256</v>
      </c>
      <c r="L69" t="s">
        <v>605</v>
      </c>
    </row>
    <row r="70" spans="5:12" x14ac:dyDescent="0.2">
      <c r="E70" t="s">
        <v>241</v>
      </c>
      <c r="F70" t="s">
        <v>211</v>
      </c>
      <c r="G70" t="s">
        <v>611</v>
      </c>
      <c r="H70" t="s">
        <v>248</v>
      </c>
      <c r="I70" t="s">
        <v>244</v>
      </c>
      <c r="J70" t="s">
        <v>245</v>
      </c>
      <c r="L70" t="s">
        <v>576</v>
      </c>
    </row>
    <row r="71" spans="5:12" x14ac:dyDescent="0.2">
      <c r="E71" t="s">
        <v>241</v>
      </c>
      <c r="F71" t="s">
        <v>212</v>
      </c>
      <c r="G71" t="s">
        <v>612</v>
      </c>
      <c r="H71" t="s">
        <v>255</v>
      </c>
      <c r="I71" t="s">
        <v>244</v>
      </c>
      <c r="J71" t="s">
        <v>256</v>
      </c>
      <c r="L71" t="s">
        <v>605</v>
      </c>
    </row>
    <row r="72" spans="5:12" x14ac:dyDescent="0.2">
      <c r="E72" t="s">
        <v>241</v>
      </c>
      <c r="F72" t="s">
        <v>603</v>
      </c>
      <c r="G72" t="s">
        <v>613</v>
      </c>
      <c r="H72" t="s">
        <v>224</v>
      </c>
      <c r="I72" t="s">
        <v>244</v>
      </c>
      <c r="J72" t="s">
        <v>257</v>
      </c>
      <c r="L72" t="s">
        <v>605</v>
      </c>
    </row>
    <row r="73" spans="5:12" x14ac:dyDescent="0.2">
      <c r="E73" t="s">
        <v>604</v>
      </c>
      <c r="F73" t="s">
        <v>376</v>
      </c>
      <c r="G73" t="s">
        <v>615</v>
      </c>
      <c r="H73" t="s">
        <v>345</v>
      </c>
      <c r="I73" t="s">
        <v>340</v>
      </c>
      <c r="J73" t="s">
        <v>341</v>
      </c>
      <c r="L73" t="s">
        <v>342</v>
      </c>
    </row>
    <row r="74" spans="5:12" x14ac:dyDescent="0.2">
      <c r="E74" t="s">
        <v>604</v>
      </c>
      <c r="F74" t="s">
        <v>377</v>
      </c>
      <c r="G74" t="s">
        <v>616</v>
      </c>
      <c r="H74" t="s">
        <v>346</v>
      </c>
      <c r="I74" t="s">
        <v>340</v>
      </c>
      <c r="J74" t="s">
        <v>341</v>
      </c>
      <c r="L74" t="s">
        <v>342</v>
      </c>
    </row>
    <row r="75" spans="5:12" x14ac:dyDescent="0.2">
      <c r="E75" t="s">
        <v>604</v>
      </c>
      <c r="F75" t="s">
        <v>378</v>
      </c>
      <c r="G75" t="s">
        <v>617</v>
      </c>
      <c r="H75" t="s">
        <v>347</v>
      </c>
      <c r="I75" t="s">
        <v>260</v>
      </c>
      <c r="J75" t="s">
        <v>215</v>
      </c>
      <c r="L75" t="s">
        <v>342</v>
      </c>
    </row>
    <row r="76" spans="5:12" x14ac:dyDescent="0.2">
      <c r="E76" t="s">
        <v>604</v>
      </c>
      <c r="F76" t="s">
        <v>379</v>
      </c>
      <c r="G76" t="s">
        <v>618</v>
      </c>
      <c r="H76" t="s">
        <v>224</v>
      </c>
      <c r="I76" t="s">
        <v>260</v>
      </c>
      <c r="J76" t="s">
        <v>343</v>
      </c>
      <c r="L76" t="s">
        <v>342</v>
      </c>
    </row>
    <row r="77" spans="5:12" x14ac:dyDescent="0.2">
      <c r="E77" t="s">
        <v>333</v>
      </c>
      <c r="F77" t="s">
        <v>335</v>
      </c>
      <c r="G77" t="s">
        <v>619</v>
      </c>
      <c r="H77" t="s">
        <v>345</v>
      </c>
      <c r="I77" t="s">
        <v>340</v>
      </c>
      <c r="J77" t="s">
        <v>341</v>
      </c>
      <c r="L77" t="s">
        <v>342</v>
      </c>
    </row>
    <row r="78" spans="5:12" x14ac:dyDescent="0.2">
      <c r="E78" t="s">
        <v>333</v>
      </c>
      <c r="F78" t="s">
        <v>336</v>
      </c>
      <c r="G78" t="s">
        <v>620</v>
      </c>
      <c r="H78" t="s">
        <v>346</v>
      </c>
      <c r="I78" t="s">
        <v>340</v>
      </c>
      <c r="J78" t="s">
        <v>341</v>
      </c>
      <c r="L78" t="s">
        <v>342</v>
      </c>
    </row>
    <row r="79" spans="5:12" x14ac:dyDescent="0.2">
      <c r="E79" t="s">
        <v>333</v>
      </c>
      <c r="F79" t="s">
        <v>337</v>
      </c>
      <c r="G79" t="s">
        <v>621</v>
      </c>
      <c r="H79" t="s">
        <v>347</v>
      </c>
      <c r="I79" t="s">
        <v>260</v>
      </c>
      <c r="J79" t="s">
        <v>215</v>
      </c>
      <c r="L79" t="s">
        <v>342</v>
      </c>
    </row>
    <row r="80" spans="5:12" x14ac:dyDescent="0.2">
      <c r="E80" t="s">
        <v>333</v>
      </c>
      <c r="F80" t="s">
        <v>338</v>
      </c>
      <c r="G80" t="s">
        <v>622</v>
      </c>
      <c r="H80" t="s">
        <v>224</v>
      </c>
      <c r="I80" t="s">
        <v>260</v>
      </c>
      <c r="J80" t="s">
        <v>343</v>
      </c>
      <c r="L80" t="s">
        <v>342</v>
      </c>
    </row>
  </sheetData>
  <mergeCells count="3">
    <mergeCell ref="E7:G8"/>
    <mergeCell ref="H7:J8"/>
    <mergeCell ref="L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74"/>
  <sheetViews>
    <sheetView topLeftCell="A145" zoomScale="115" zoomScaleNormal="115" workbookViewId="0">
      <selection activeCell="B167" sqref="B167"/>
    </sheetView>
  </sheetViews>
  <sheetFormatPr defaultRowHeight="14.25" x14ac:dyDescent="0.2"/>
  <cols>
    <col min="2" max="2" width="37.5" bestFit="1" customWidth="1"/>
    <col min="3" max="3" width="36.75" customWidth="1"/>
    <col min="4" max="4" width="18.37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2.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262</v>
      </c>
      <c r="C8" t="s">
        <v>265</v>
      </c>
      <c r="D8" t="s">
        <v>234</v>
      </c>
      <c r="E8" t="s">
        <v>235</v>
      </c>
      <c r="F8" t="s">
        <v>236</v>
      </c>
      <c r="G8" t="s">
        <v>237</v>
      </c>
      <c r="H8" t="s">
        <v>238</v>
      </c>
      <c r="I8" t="s">
        <v>239</v>
      </c>
      <c r="J8" t="s">
        <v>240</v>
      </c>
      <c r="K8" t="s">
        <v>261</v>
      </c>
      <c r="L8" t="s">
        <v>205</v>
      </c>
    </row>
    <row r="10" spans="2:12" x14ac:dyDescent="0.2">
      <c r="B10" t="s">
        <v>522</v>
      </c>
      <c r="C10" t="s">
        <v>507</v>
      </c>
      <c r="D10" t="s">
        <v>516</v>
      </c>
      <c r="E10" t="s">
        <v>327</v>
      </c>
      <c r="F10" t="s">
        <v>328</v>
      </c>
      <c r="G10" t="s">
        <v>519</v>
      </c>
      <c r="H10" t="s">
        <v>520</v>
      </c>
      <c r="I10" t="s">
        <v>246</v>
      </c>
      <c r="J10" t="s">
        <v>507</v>
      </c>
      <c r="K10" t="s">
        <v>222</v>
      </c>
      <c r="L10" t="s">
        <v>518</v>
      </c>
    </row>
    <row r="11" spans="2:12" x14ac:dyDescent="0.2">
      <c r="B11" t="s">
        <v>523</v>
      </c>
      <c r="C11" t="s">
        <v>508</v>
      </c>
      <c r="D11" t="s">
        <v>516</v>
      </c>
      <c r="E11" t="s">
        <v>242</v>
      </c>
      <c r="F11" t="s">
        <v>517</v>
      </c>
      <c r="G11" t="s">
        <v>519</v>
      </c>
      <c r="H11" t="s">
        <v>245</v>
      </c>
      <c r="I11" t="s">
        <v>246</v>
      </c>
      <c r="J11" t="s">
        <v>508</v>
      </c>
      <c r="K11" t="s">
        <v>222</v>
      </c>
      <c r="L11" t="s">
        <v>518</v>
      </c>
    </row>
    <row r="12" spans="2:12" x14ac:dyDescent="0.2">
      <c r="B12" t="s">
        <v>524</v>
      </c>
      <c r="C12" t="s">
        <v>506</v>
      </c>
      <c r="D12" t="s">
        <v>516</v>
      </c>
      <c r="E12" t="s">
        <v>254</v>
      </c>
      <c r="F12" t="s">
        <v>255</v>
      </c>
      <c r="G12" t="s">
        <v>519</v>
      </c>
      <c r="H12" t="s">
        <v>521</v>
      </c>
      <c r="I12" t="s">
        <v>246</v>
      </c>
      <c r="J12" t="s">
        <v>506</v>
      </c>
      <c r="K12" t="s">
        <v>222</v>
      </c>
      <c r="L12" t="s">
        <v>518</v>
      </c>
    </row>
    <row r="19" spans="2:12" x14ac:dyDescent="0.2">
      <c r="B19" t="s">
        <v>478</v>
      </c>
      <c r="C19" t="s">
        <v>297</v>
      </c>
      <c r="D19" t="s">
        <v>331</v>
      </c>
      <c r="E19" t="s">
        <v>327</v>
      </c>
      <c r="F19" t="s">
        <v>328</v>
      </c>
      <c r="G19" t="s">
        <v>244</v>
      </c>
      <c r="H19" t="s">
        <v>332</v>
      </c>
      <c r="I19" t="s">
        <v>246</v>
      </c>
      <c r="J19" t="s">
        <v>297</v>
      </c>
      <c r="K19" t="s">
        <v>222</v>
      </c>
      <c r="L19" t="s">
        <v>464</v>
      </c>
    </row>
    <row r="20" spans="2:12" x14ac:dyDescent="0.2">
      <c r="B20" t="s">
        <v>479</v>
      </c>
      <c r="C20" t="s">
        <v>295</v>
      </c>
      <c r="D20" t="s">
        <v>331</v>
      </c>
      <c r="E20" t="s">
        <v>242</v>
      </c>
      <c r="F20" t="s">
        <v>243</v>
      </c>
      <c r="G20" t="s">
        <v>244</v>
      </c>
      <c r="H20" t="s">
        <v>245</v>
      </c>
      <c r="I20" t="s">
        <v>246</v>
      </c>
      <c r="J20" t="s">
        <v>295</v>
      </c>
      <c r="K20" t="s">
        <v>222</v>
      </c>
      <c r="L20" t="s">
        <v>464</v>
      </c>
    </row>
    <row r="21" spans="2:12" x14ac:dyDescent="0.2">
      <c r="B21" t="s">
        <v>485</v>
      </c>
      <c r="C21" t="s">
        <v>296</v>
      </c>
      <c r="D21" t="s">
        <v>331</v>
      </c>
      <c r="E21" t="s">
        <v>242</v>
      </c>
      <c r="F21" t="s">
        <v>248</v>
      </c>
      <c r="G21" t="s">
        <v>244</v>
      </c>
      <c r="H21" t="s">
        <v>245</v>
      </c>
      <c r="I21" t="s">
        <v>246</v>
      </c>
      <c r="J21" t="s">
        <v>296</v>
      </c>
      <c r="K21" t="s">
        <v>222</v>
      </c>
      <c r="L21" t="s">
        <v>464</v>
      </c>
    </row>
    <row r="22" spans="2:12" x14ac:dyDescent="0.2">
      <c r="B22" t="s">
        <v>565</v>
      </c>
      <c r="C22" t="s">
        <v>556</v>
      </c>
      <c r="D22" t="s">
        <v>331</v>
      </c>
      <c r="E22" t="s">
        <v>242</v>
      </c>
      <c r="F22" t="s">
        <v>574</v>
      </c>
      <c r="G22" t="s">
        <v>244</v>
      </c>
      <c r="H22" t="s">
        <v>245</v>
      </c>
      <c r="I22" t="s">
        <v>246</v>
      </c>
      <c r="J22" t="s">
        <v>556</v>
      </c>
      <c r="K22" t="s">
        <v>222</v>
      </c>
      <c r="L22" t="s">
        <v>464</v>
      </c>
    </row>
    <row r="23" spans="2:12" x14ac:dyDescent="0.2">
      <c r="B23" t="s">
        <v>480</v>
      </c>
      <c r="C23" t="s">
        <v>294</v>
      </c>
      <c r="D23" t="s">
        <v>331</v>
      </c>
      <c r="E23" t="s">
        <v>249</v>
      </c>
      <c r="F23" t="s">
        <v>250</v>
      </c>
      <c r="G23" t="s">
        <v>244</v>
      </c>
      <c r="H23" t="s">
        <v>245</v>
      </c>
      <c r="I23" t="s">
        <v>246</v>
      </c>
      <c r="J23" t="s">
        <v>294</v>
      </c>
      <c r="K23" t="s">
        <v>222</v>
      </c>
      <c r="L23" t="s">
        <v>464</v>
      </c>
    </row>
    <row r="24" spans="2:12" x14ac:dyDescent="0.2">
      <c r="B24" t="s">
        <v>566</v>
      </c>
      <c r="C24" t="s">
        <v>558</v>
      </c>
      <c r="D24" t="s">
        <v>331</v>
      </c>
      <c r="E24" t="s">
        <v>249</v>
      </c>
      <c r="F24" t="s">
        <v>575</v>
      </c>
      <c r="G24" t="s">
        <v>244</v>
      </c>
      <c r="H24" t="s">
        <v>571</v>
      </c>
      <c r="I24" t="s">
        <v>246</v>
      </c>
      <c r="J24" t="s">
        <v>558</v>
      </c>
      <c r="K24" t="s">
        <v>222</v>
      </c>
      <c r="L24" t="s">
        <v>464</v>
      </c>
    </row>
    <row r="25" spans="2:12" x14ac:dyDescent="0.2">
      <c r="B25" t="s">
        <v>481</v>
      </c>
      <c r="C25" t="s">
        <v>292</v>
      </c>
      <c r="D25" t="s">
        <v>331</v>
      </c>
      <c r="E25" t="s">
        <v>251</v>
      </c>
      <c r="F25" t="s">
        <v>252</v>
      </c>
      <c r="G25" t="s">
        <v>244</v>
      </c>
      <c r="H25" t="s">
        <v>245</v>
      </c>
      <c r="I25" t="s">
        <v>246</v>
      </c>
      <c r="J25" t="s">
        <v>292</v>
      </c>
      <c r="K25" t="s">
        <v>222</v>
      </c>
      <c r="L25" t="s">
        <v>464</v>
      </c>
    </row>
    <row r="26" spans="2:12" x14ac:dyDescent="0.2">
      <c r="B26" t="s">
        <v>482</v>
      </c>
      <c r="C26" t="s">
        <v>293</v>
      </c>
      <c r="D26" t="s">
        <v>331</v>
      </c>
      <c r="E26" t="s">
        <v>254</v>
      </c>
      <c r="F26" t="s">
        <v>255</v>
      </c>
      <c r="G26" t="s">
        <v>244</v>
      </c>
      <c r="H26" t="s">
        <v>256</v>
      </c>
      <c r="I26" t="s">
        <v>216</v>
      </c>
      <c r="J26" t="s">
        <v>291</v>
      </c>
      <c r="K26" t="s">
        <v>222</v>
      </c>
      <c r="L26" t="s">
        <v>464</v>
      </c>
    </row>
    <row r="27" spans="2:12" x14ac:dyDescent="0.2">
      <c r="B27" t="s">
        <v>483</v>
      </c>
      <c r="C27" t="s">
        <v>291</v>
      </c>
      <c r="D27" t="s">
        <v>331</v>
      </c>
      <c r="E27" t="s">
        <v>329</v>
      </c>
      <c r="F27" t="s">
        <v>224</v>
      </c>
      <c r="G27" t="s">
        <v>244</v>
      </c>
      <c r="H27" t="s">
        <v>257</v>
      </c>
      <c r="I27" t="s">
        <v>216</v>
      </c>
      <c r="J27" t="s">
        <v>293</v>
      </c>
      <c r="K27" t="s">
        <v>222</v>
      </c>
      <c r="L27" t="s">
        <v>464</v>
      </c>
    </row>
    <row r="28" spans="2:12" x14ac:dyDescent="0.2">
      <c r="B28" t="s">
        <v>484</v>
      </c>
      <c r="C28" t="s">
        <v>290</v>
      </c>
      <c r="D28" t="s">
        <v>331</v>
      </c>
      <c r="E28" t="s">
        <v>488</v>
      </c>
      <c r="F28" t="s">
        <v>259</v>
      </c>
      <c r="G28" t="s">
        <v>260</v>
      </c>
      <c r="H28" t="s">
        <v>215</v>
      </c>
      <c r="I28" t="s">
        <v>225</v>
      </c>
      <c r="J28" t="s">
        <v>290</v>
      </c>
      <c r="K28" t="s">
        <v>222</v>
      </c>
      <c r="L28" t="s">
        <v>464</v>
      </c>
    </row>
    <row r="30" spans="2:12" x14ac:dyDescent="0.2">
      <c r="B30" t="s">
        <v>266</v>
      </c>
      <c r="C30" t="s">
        <v>573</v>
      </c>
      <c r="D30" t="s">
        <v>241</v>
      </c>
      <c r="E30" t="s">
        <v>242</v>
      </c>
      <c r="F30" t="s">
        <v>243</v>
      </c>
      <c r="G30" t="s">
        <v>244</v>
      </c>
      <c r="H30" t="s">
        <v>245</v>
      </c>
      <c r="I30" t="s">
        <v>246</v>
      </c>
      <c r="J30" t="s">
        <v>573</v>
      </c>
      <c r="K30" t="s">
        <v>222</v>
      </c>
      <c r="L30" t="s">
        <v>465</v>
      </c>
    </row>
    <row r="31" spans="2:12" x14ac:dyDescent="0.2">
      <c r="B31" t="s">
        <v>270</v>
      </c>
      <c r="C31" t="s">
        <v>315</v>
      </c>
      <c r="D31" t="s">
        <v>241</v>
      </c>
      <c r="E31" t="s">
        <v>247</v>
      </c>
      <c r="F31" t="s">
        <v>243</v>
      </c>
      <c r="G31" t="s">
        <v>244</v>
      </c>
      <c r="H31" t="s">
        <v>245</v>
      </c>
      <c r="I31" t="s">
        <v>576</v>
      </c>
      <c r="J31" t="s">
        <v>315</v>
      </c>
      <c r="K31" t="s">
        <v>222</v>
      </c>
      <c r="L31" t="s">
        <v>465</v>
      </c>
    </row>
    <row r="32" spans="2:12" x14ac:dyDescent="0.2">
      <c r="B32" t="s">
        <v>461</v>
      </c>
      <c r="C32" t="s">
        <v>317</v>
      </c>
      <c r="D32" t="s">
        <v>241</v>
      </c>
      <c r="E32" t="s">
        <v>242</v>
      </c>
      <c r="F32" t="s">
        <v>248</v>
      </c>
      <c r="G32" t="s">
        <v>244</v>
      </c>
      <c r="H32" t="s">
        <v>245</v>
      </c>
      <c r="I32" t="s">
        <v>246</v>
      </c>
      <c r="J32" t="s">
        <v>176</v>
      </c>
      <c r="K32" t="s">
        <v>222</v>
      </c>
      <c r="L32" t="s">
        <v>465</v>
      </c>
    </row>
    <row r="33" spans="2:12" x14ac:dyDescent="0.2">
      <c r="B33" t="s">
        <v>598</v>
      </c>
      <c r="C33" t="s">
        <v>560</v>
      </c>
      <c r="D33" t="s">
        <v>241</v>
      </c>
      <c r="E33" t="s">
        <v>242</v>
      </c>
      <c r="F33" t="s">
        <v>248</v>
      </c>
      <c r="G33" t="s">
        <v>244</v>
      </c>
      <c r="H33" t="s">
        <v>245</v>
      </c>
      <c r="I33" t="s">
        <v>246</v>
      </c>
      <c r="J33" t="s">
        <v>560</v>
      </c>
      <c r="K33" t="s">
        <v>222</v>
      </c>
      <c r="L33" t="s">
        <v>465</v>
      </c>
    </row>
    <row r="34" spans="2:12" x14ac:dyDescent="0.2">
      <c r="B34" t="s">
        <v>462</v>
      </c>
      <c r="C34" t="s">
        <v>176</v>
      </c>
      <c r="D34" t="s">
        <v>241</v>
      </c>
      <c r="E34" t="s">
        <v>211</v>
      </c>
      <c r="F34" t="s">
        <v>248</v>
      </c>
      <c r="G34" t="s">
        <v>244</v>
      </c>
      <c r="H34" t="s">
        <v>245</v>
      </c>
      <c r="I34" t="s">
        <v>576</v>
      </c>
      <c r="J34" t="s">
        <v>176</v>
      </c>
      <c r="K34" t="s">
        <v>222</v>
      </c>
      <c r="L34" t="s">
        <v>465</v>
      </c>
    </row>
    <row r="35" spans="2:12" x14ac:dyDescent="0.2">
      <c r="B35" t="s">
        <v>597</v>
      </c>
      <c r="C35" t="s">
        <v>564</v>
      </c>
      <c r="D35" t="s">
        <v>241</v>
      </c>
      <c r="E35" t="s">
        <v>211</v>
      </c>
      <c r="F35" t="s">
        <v>248</v>
      </c>
      <c r="G35" t="s">
        <v>244</v>
      </c>
      <c r="H35" t="s">
        <v>245</v>
      </c>
      <c r="I35" t="s">
        <v>576</v>
      </c>
      <c r="J35" t="s">
        <v>564</v>
      </c>
      <c r="K35" t="s">
        <v>222</v>
      </c>
      <c r="L35" t="s">
        <v>465</v>
      </c>
    </row>
    <row r="36" spans="2:12" x14ac:dyDescent="0.2">
      <c r="B36" t="s">
        <v>275</v>
      </c>
      <c r="C36" t="s">
        <v>318</v>
      </c>
      <c r="D36" t="s">
        <v>241</v>
      </c>
      <c r="E36" t="s">
        <v>249</v>
      </c>
      <c r="F36" t="s">
        <v>250</v>
      </c>
      <c r="G36" t="s">
        <v>244</v>
      </c>
      <c r="H36" t="s">
        <v>245</v>
      </c>
      <c r="I36" t="s">
        <v>246</v>
      </c>
      <c r="J36" t="s">
        <v>178</v>
      </c>
      <c r="K36" t="s">
        <v>222</v>
      </c>
      <c r="L36" t="s">
        <v>465</v>
      </c>
    </row>
    <row r="37" spans="2:12" x14ac:dyDescent="0.2">
      <c r="B37" t="s">
        <v>567</v>
      </c>
      <c r="C37" t="s">
        <v>562</v>
      </c>
      <c r="D37" t="s">
        <v>241</v>
      </c>
      <c r="E37" t="s">
        <v>249</v>
      </c>
      <c r="F37" t="s">
        <v>575</v>
      </c>
      <c r="G37" t="s">
        <v>244</v>
      </c>
      <c r="H37" t="s">
        <v>571</v>
      </c>
      <c r="I37" t="s">
        <v>246</v>
      </c>
      <c r="J37" t="s">
        <v>562</v>
      </c>
      <c r="K37" t="s">
        <v>222</v>
      </c>
      <c r="L37" t="s">
        <v>465</v>
      </c>
    </row>
    <row r="38" spans="2:12" x14ac:dyDescent="0.2">
      <c r="B38" t="s">
        <v>277</v>
      </c>
      <c r="C38" t="s">
        <v>178</v>
      </c>
      <c r="D38" t="s">
        <v>241</v>
      </c>
      <c r="E38" t="s">
        <v>276</v>
      </c>
      <c r="F38" t="s">
        <v>250</v>
      </c>
      <c r="G38" t="s">
        <v>244</v>
      </c>
      <c r="H38" t="s">
        <v>245</v>
      </c>
      <c r="I38" t="s">
        <v>576</v>
      </c>
      <c r="J38" t="s">
        <v>178</v>
      </c>
      <c r="K38" t="s">
        <v>222</v>
      </c>
      <c r="L38" t="s">
        <v>465</v>
      </c>
    </row>
    <row r="39" spans="2:12" x14ac:dyDescent="0.2">
      <c r="B39" t="s">
        <v>568</v>
      </c>
      <c r="C39" t="s">
        <v>572</v>
      </c>
      <c r="D39" t="s">
        <v>241</v>
      </c>
      <c r="E39" t="s">
        <v>276</v>
      </c>
      <c r="F39" t="s">
        <v>575</v>
      </c>
      <c r="G39" t="s">
        <v>244</v>
      </c>
      <c r="H39" t="s">
        <v>571</v>
      </c>
      <c r="I39" t="s">
        <v>576</v>
      </c>
      <c r="J39" t="s">
        <v>572</v>
      </c>
      <c r="K39" t="s">
        <v>222</v>
      </c>
      <c r="L39" t="s">
        <v>465</v>
      </c>
    </row>
    <row r="40" spans="2:12" x14ac:dyDescent="0.2">
      <c r="B40" t="s">
        <v>274</v>
      </c>
      <c r="C40" t="s">
        <v>319</v>
      </c>
      <c r="D40" t="s">
        <v>241</v>
      </c>
      <c r="E40" t="s">
        <v>251</v>
      </c>
      <c r="F40" t="s">
        <v>252</v>
      </c>
      <c r="G40" t="s">
        <v>244</v>
      </c>
      <c r="H40" t="s">
        <v>245</v>
      </c>
      <c r="I40" t="s">
        <v>246</v>
      </c>
      <c r="J40" t="s">
        <v>180</v>
      </c>
      <c r="K40" t="s">
        <v>222</v>
      </c>
      <c r="L40" t="s">
        <v>465</v>
      </c>
    </row>
    <row r="41" spans="2:12" x14ac:dyDescent="0.2">
      <c r="B41" t="s">
        <v>273</v>
      </c>
      <c r="C41" t="s">
        <v>180</v>
      </c>
      <c r="D41" t="s">
        <v>241</v>
      </c>
      <c r="E41" t="s">
        <v>253</v>
      </c>
      <c r="F41" t="s">
        <v>252</v>
      </c>
      <c r="G41" t="s">
        <v>244</v>
      </c>
      <c r="H41" t="s">
        <v>245</v>
      </c>
      <c r="I41" t="s">
        <v>576</v>
      </c>
      <c r="J41" t="s">
        <v>180</v>
      </c>
      <c r="K41" t="s">
        <v>222</v>
      </c>
      <c r="L41" t="s">
        <v>465</v>
      </c>
    </row>
    <row r="42" spans="2:12" x14ac:dyDescent="0.2">
      <c r="B42" t="s">
        <v>271</v>
      </c>
      <c r="C42" t="s">
        <v>320</v>
      </c>
      <c r="D42" t="s">
        <v>241</v>
      </c>
      <c r="E42" t="s">
        <v>254</v>
      </c>
      <c r="F42" t="s">
        <v>255</v>
      </c>
      <c r="G42" t="s">
        <v>244</v>
      </c>
      <c r="H42" t="s">
        <v>256</v>
      </c>
      <c r="I42" t="s">
        <v>571</v>
      </c>
      <c r="J42" t="s">
        <v>182</v>
      </c>
      <c r="K42" t="s">
        <v>222</v>
      </c>
      <c r="L42" t="s">
        <v>465</v>
      </c>
    </row>
    <row r="43" spans="2:12" x14ac:dyDescent="0.2">
      <c r="B43" t="s">
        <v>272</v>
      </c>
      <c r="C43" t="s">
        <v>182</v>
      </c>
      <c r="D43" t="s">
        <v>241</v>
      </c>
      <c r="E43" t="s">
        <v>212</v>
      </c>
      <c r="F43" t="s">
        <v>255</v>
      </c>
      <c r="G43" t="s">
        <v>244</v>
      </c>
      <c r="H43" t="s">
        <v>256</v>
      </c>
      <c r="I43" t="s">
        <v>571</v>
      </c>
      <c r="J43" t="s">
        <v>182</v>
      </c>
      <c r="K43" t="s">
        <v>222</v>
      </c>
      <c r="L43" t="s">
        <v>465</v>
      </c>
    </row>
    <row r="44" spans="2:12" x14ac:dyDescent="0.2">
      <c r="B44" t="s">
        <v>269</v>
      </c>
      <c r="C44" t="s">
        <v>321</v>
      </c>
      <c r="D44" t="s">
        <v>241</v>
      </c>
      <c r="E44" t="s">
        <v>329</v>
      </c>
      <c r="F44" t="s">
        <v>224</v>
      </c>
      <c r="G44" t="s">
        <v>244</v>
      </c>
      <c r="H44" t="s">
        <v>257</v>
      </c>
      <c r="I44" t="s">
        <v>571</v>
      </c>
      <c r="J44" t="s">
        <v>184</v>
      </c>
      <c r="K44" t="s">
        <v>222</v>
      </c>
      <c r="L44" t="s">
        <v>465</v>
      </c>
    </row>
    <row r="45" spans="2:12" x14ac:dyDescent="0.2">
      <c r="B45" t="s">
        <v>268</v>
      </c>
      <c r="C45" t="s">
        <v>184</v>
      </c>
      <c r="D45" t="s">
        <v>241</v>
      </c>
      <c r="E45" t="s">
        <v>330</v>
      </c>
      <c r="F45" t="s">
        <v>224</v>
      </c>
      <c r="G45" t="s">
        <v>244</v>
      </c>
      <c r="H45" t="s">
        <v>257</v>
      </c>
      <c r="I45" t="s">
        <v>571</v>
      </c>
      <c r="J45" t="s">
        <v>184</v>
      </c>
      <c r="K45" t="s">
        <v>222</v>
      </c>
      <c r="L45" t="s">
        <v>465</v>
      </c>
    </row>
    <row r="46" spans="2:12" x14ac:dyDescent="0.2">
      <c r="B46" t="s">
        <v>267</v>
      </c>
      <c r="C46" t="s">
        <v>185</v>
      </c>
      <c r="D46" t="s">
        <v>241</v>
      </c>
      <c r="E46" t="s">
        <v>258</v>
      </c>
      <c r="F46" t="s">
        <v>259</v>
      </c>
      <c r="G46" t="s">
        <v>260</v>
      </c>
      <c r="H46" t="s">
        <v>215</v>
      </c>
      <c r="I46" t="s">
        <v>225</v>
      </c>
      <c r="J46" t="s">
        <v>185</v>
      </c>
      <c r="K46" t="s">
        <v>222</v>
      </c>
      <c r="L46" t="s">
        <v>465</v>
      </c>
    </row>
    <row r="50" spans="2:12" x14ac:dyDescent="0.2">
      <c r="B50" t="s">
        <v>374</v>
      </c>
      <c r="C50" t="s">
        <v>381</v>
      </c>
      <c r="D50" t="s">
        <v>373</v>
      </c>
      <c r="E50" t="s">
        <v>375</v>
      </c>
      <c r="F50" t="s">
        <v>344</v>
      </c>
      <c r="G50" t="s">
        <v>340</v>
      </c>
      <c r="H50" t="s">
        <v>341</v>
      </c>
      <c r="I50" t="s">
        <v>342</v>
      </c>
      <c r="J50" t="s">
        <v>382</v>
      </c>
      <c r="K50" t="s">
        <v>222</v>
      </c>
      <c r="L50" t="s">
        <v>469</v>
      </c>
    </row>
    <row r="51" spans="2:12" x14ac:dyDescent="0.2">
      <c r="B51" t="s">
        <v>59</v>
      </c>
      <c r="C51" t="s">
        <v>382</v>
      </c>
      <c r="D51" t="s">
        <v>373</v>
      </c>
      <c r="E51" t="s">
        <v>375</v>
      </c>
      <c r="F51" t="s">
        <v>344</v>
      </c>
      <c r="G51" t="s">
        <v>340</v>
      </c>
      <c r="H51" t="s">
        <v>341</v>
      </c>
      <c r="I51" t="s">
        <v>342</v>
      </c>
      <c r="J51" t="s">
        <v>382</v>
      </c>
      <c r="K51" t="s">
        <v>222</v>
      </c>
      <c r="L51" t="s">
        <v>469</v>
      </c>
    </row>
    <row r="52" spans="2:12" x14ac:dyDescent="0.2">
      <c r="B52" t="s">
        <v>68</v>
      </c>
      <c r="C52" t="s">
        <v>383</v>
      </c>
      <c r="D52" t="s">
        <v>373</v>
      </c>
      <c r="E52" t="s">
        <v>376</v>
      </c>
      <c r="F52" t="s">
        <v>345</v>
      </c>
      <c r="G52" t="s">
        <v>340</v>
      </c>
      <c r="H52" t="s">
        <v>341</v>
      </c>
      <c r="I52" t="s">
        <v>342</v>
      </c>
      <c r="J52" t="s">
        <v>383</v>
      </c>
      <c r="K52" t="s">
        <v>222</v>
      </c>
      <c r="L52" t="s">
        <v>469</v>
      </c>
    </row>
    <row r="53" spans="2:12" x14ac:dyDescent="0.2">
      <c r="B53" t="s">
        <v>71</v>
      </c>
      <c r="C53" t="s">
        <v>384</v>
      </c>
      <c r="D53" t="s">
        <v>373</v>
      </c>
      <c r="E53" t="s">
        <v>377</v>
      </c>
      <c r="F53" t="s">
        <v>346</v>
      </c>
      <c r="G53" t="s">
        <v>340</v>
      </c>
      <c r="H53" t="s">
        <v>341</v>
      </c>
      <c r="I53" t="s">
        <v>342</v>
      </c>
      <c r="J53" t="s">
        <v>384</v>
      </c>
      <c r="K53" t="s">
        <v>222</v>
      </c>
      <c r="L53" t="s">
        <v>469</v>
      </c>
    </row>
    <row r="54" spans="2:12" x14ac:dyDescent="0.2">
      <c r="B54" t="s">
        <v>72</v>
      </c>
      <c r="C54" t="s">
        <v>385</v>
      </c>
      <c r="D54" t="s">
        <v>373</v>
      </c>
      <c r="E54" t="s">
        <v>378</v>
      </c>
      <c r="F54" t="s">
        <v>347</v>
      </c>
      <c r="G54" t="s">
        <v>260</v>
      </c>
      <c r="H54" t="s">
        <v>215</v>
      </c>
      <c r="I54" t="s">
        <v>342</v>
      </c>
      <c r="J54" t="s">
        <v>385</v>
      </c>
      <c r="K54" t="s">
        <v>222</v>
      </c>
      <c r="L54" t="s">
        <v>469</v>
      </c>
    </row>
    <row r="55" spans="2:12" x14ac:dyDescent="0.2">
      <c r="B55" t="s">
        <v>77</v>
      </c>
      <c r="C55" t="s">
        <v>386</v>
      </c>
      <c r="D55" t="s">
        <v>373</v>
      </c>
      <c r="E55" t="s">
        <v>379</v>
      </c>
      <c r="F55" t="s">
        <v>224</v>
      </c>
      <c r="G55" t="s">
        <v>260</v>
      </c>
      <c r="H55" t="s">
        <v>343</v>
      </c>
      <c r="I55" t="s">
        <v>342</v>
      </c>
      <c r="J55" t="s">
        <v>386</v>
      </c>
      <c r="K55" t="s">
        <v>222</v>
      </c>
      <c r="L55" t="s">
        <v>469</v>
      </c>
    </row>
    <row r="56" spans="2:12" x14ac:dyDescent="0.2">
      <c r="B56" t="s">
        <v>80</v>
      </c>
      <c r="C56" t="s">
        <v>387</v>
      </c>
      <c r="D56" t="s">
        <v>373</v>
      </c>
      <c r="E56" t="s">
        <v>380</v>
      </c>
      <c r="F56" t="s">
        <v>348</v>
      </c>
      <c r="G56" t="s">
        <v>260</v>
      </c>
      <c r="H56" t="s">
        <v>460</v>
      </c>
      <c r="I56" t="s">
        <v>225</v>
      </c>
      <c r="J56" t="s">
        <v>387</v>
      </c>
      <c r="K56" t="s">
        <v>222</v>
      </c>
      <c r="L56" t="s">
        <v>469</v>
      </c>
    </row>
    <row r="59" spans="2:12" x14ac:dyDescent="0.2">
      <c r="B59" t="s">
        <v>388</v>
      </c>
      <c r="C59" t="s">
        <v>391</v>
      </c>
      <c r="D59" t="s">
        <v>333</v>
      </c>
      <c r="E59" t="s">
        <v>334</v>
      </c>
      <c r="F59" t="s">
        <v>389</v>
      </c>
      <c r="G59" t="s">
        <v>340</v>
      </c>
      <c r="H59" t="s">
        <v>341</v>
      </c>
      <c r="I59" t="s">
        <v>342</v>
      </c>
      <c r="J59" t="s">
        <v>390</v>
      </c>
      <c r="K59" t="s">
        <v>222</v>
      </c>
      <c r="L59" t="s">
        <v>466</v>
      </c>
    </row>
    <row r="60" spans="2:12" x14ac:dyDescent="0.2">
      <c r="B60" t="s">
        <v>83</v>
      </c>
      <c r="C60" t="s">
        <v>393</v>
      </c>
      <c r="D60" t="s">
        <v>333</v>
      </c>
      <c r="E60" t="s">
        <v>334</v>
      </c>
      <c r="F60" t="s">
        <v>344</v>
      </c>
      <c r="G60" t="s">
        <v>340</v>
      </c>
      <c r="H60" t="s">
        <v>341</v>
      </c>
      <c r="I60" t="s">
        <v>342</v>
      </c>
      <c r="J60" t="s">
        <v>392</v>
      </c>
      <c r="K60" t="s">
        <v>222</v>
      </c>
      <c r="L60" t="s">
        <v>466</v>
      </c>
    </row>
    <row r="61" spans="2:12" x14ac:dyDescent="0.2">
      <c r="B61" t="s">
        <v>90</v>
      </c>
      <c r="C61" t="s">
        <v>395</v>
      </c>
      <c r="D61" t="s">
        <v>333</v>
      </c>
      <c r="E61" t="s">
        <v>335</v>
      </c>
      <c r="F61" t="s">
        <v>345</v>
      </c>
      <c r="G61" t="s">
        <v>340</v>
      </c>
      <c r="H61" t="s">
        <v>341</v>
      </c>
      <c r="I61" t="s">
        <v>342</v>
      </c>
      <c r="J61" t="s">
        <v>394</v>
      </c>
      <c r="K61" t="s">
        <v>222</v>
      </c>
      <c r="L61" t="s">
        <v>466</v>
      </c>
    </row>
    <row r="62" spans="2:12" x14ac:dyDescent="0.2">
      <c r="B62" t="s">
        <v>91</v>
      </c>
      <c r="C62" t="s">
        <v>397</v>
      </c>
      <c r="D62" t="s">
        <v>333</v>
      </c>
      <c r="E62" t="s">
        <v>336</v>
      </c>
      <c r="F62" t="s">
        <v>346</v>
      </c>
      <c r="G62" t="s">
        <v>340</v>
      </c>
      <c r="H62" t="s">
        <v>341</v>
      </c>
      <c r="I62" t="s">
        <v>342</v>
      </c>
      <c r="J62" t="s">
        <v>396</v>
      </c>
      <c r="K62" t="s">
        <v>222</v>
      </c>
      <c r="L62" t="s">
        <v>466</v>
      </c>
    </row>
    <row r="63" spans="2:12" x14ac:dyDescent="0.2">
      <c r="B63" t="s">
        <v>93</v>
      </c>
      <c r="C63" t="s">
        <v>399</v>
      </c>
      <c r="D63" t="s">
        <v>333</v>
      </c>
      <c r="E63" t="s">
        <v>337</v>
      </c>
      <c r="F63" t="s">
        <v>347</v>
      </c>
      <c r="G63" t="s">
        <v>260</v>
      </c>
      <c r="H63" t="s">
        <v>215</v>
      </c>
      <c r="I63" t="s">
        <v>342</v>
      </c>
      <c r="J63" t="s">
        <v>398</v>
      </c>
      <c r="K63" t="s">
        <v>222</v>
      </c>
      <c r="L63" t="s">
        <v>466</v>
      </c>
    </row>
    <row r="64" spans="2:12" x14ac:dyDescent="0.2">
      <c r="B64" t="s">
        <v>96</v>
      </c>
      <c r="C64" t="s">
        <v>401</v>
      </c>
      <c r="D64" t="s">
        <v>333</v>
      </c>
      <c r="E64" t="s">
        <v>338</v>
      </c>
      <c r="F64" t="s">
        <v>224</v>
      </c>
      <c r="G64" t="s">
        <v>260</v>
      </c>
      <c r="H64" t="s">
        <v>343</v>
      </c>
      <c r="I64" t="s">
        <v>342</v>
      </c>
      <c r="J64" t="s">
        <v>400</v>
      </c>
      <c r="K64" t="s">
        <v>222</v>
      </c>
      <c r="L64" t="s">
        <v>466</v>
      </c>
    </row>
    <row r="65" spans="2:12" x14ac:dyDescent="0.2">
      <c r="B65" t="s">
        <v>97</v>
      </c>
      <c r="C65" t="s">
        <v>403</v>
      </c>
      <c r="D65" t="s">
        <v>333</v>
      </c>
      <c r="E65" t="s">
        <v>339</v>
      </c>
      <c r="F65" t="s">
        <v>348</v>
      </c>
      <c r="G65" t="s">
        <v>260</v>
      </c>
      <c r="H65" t="s">
        <v>460</v>
      </c>
      <c r="I65" t="s">
        <v>225</v>
      </c>
      <c r="J65" t="s">
        <v>402</v>
      </c>
      <c r="K65" t="s">
        <v>222</v>
      </c>
      <c r="L65" t="s">
        <v>466</v>
      </c>
    </row>
    <row r="67" spans="2:12" x14ac:dyDescent="0.2">
      <c r="B67" t="s">
        <v>100</v>
      </c>
      <c r="C67" t="s">
        <v>405</v>
      </c>
      <c r="D67" t="s">
        <v>358</v>
      </c>
      <c r="E67" t="s">
        <v>334</v>
      </c>
      <c r="F67" t="s">
        <v>359</v>
      </c>
      <c r="G67" t="s">
        <v>352</v>
      </c>
      <c r="H67" t="s">
        <v>360</v>
      </c>
      <c r="I67" t="s">
        <v>361</v>
      </c>
      <c r="J67" t="s">
        <v>404</v>
      </c>
      <c r="K67" t="s">
        <v>222</v>
      </c>
      <c r="L67" t="s">
        <v>467</v>
      </c>
    </row>
    <row r="68" spans="2:12" x14ac:dyDescent="0.2">
      <c r="B68" t="s">
        <v>107</v>
      </c>
      <c r="C68" t="s">
        <v>407</v>
      </c>
      <c r="D68" t="s">
        <v>362</v>
      </c>
      <c r="E68" t="s">
        <v>337</v>
      </c>
      <c r="F68" t="s">
        <v>363</v>
      </c>
      <c r="G68" t="s">
        <v>260</v>
      </c>
      <c r="H68" t="s">
        <v>364</v>
      </c>
      <c r="I68" t="s">
        <v>361</v>
      </c>
      <c r="J68" t="s">
        <v>406</v>
      </c>
      <c r="K68" t="s">
        <v>222</v>
      </c>
      <c r="L68" t="s">
        <v>467</v>
      </c>
    </row>
    <row r="69" spans="2:12" x14ac:dyDescent="0.2">
      <c r="B69" t="s">
        <v>109</v>
      </c>
      <c r="C69" t="s">
        <v>409</v>
      </c>
      <c r="D69" t="s">
        <v>362</v>
      </c>
      <c r="E69" t="s">
        <v>338</v>
      </c>
      <c r="F69" t="s">
        <v>365</v>
      </c>
      <c r="G69" t="s">
        <v>260</v>
      </c>
      <c r="H69" t="s">
        <v>343</v>
      </c>
      <c r="I69" t="s">
        <v>361</v>
      </c>
      <c r="J69" t="s">
        <v>408</v>
      </c>
      <c r="K69" t="s">
        <v>222</v>
      </c>
      <c r="L69" t="s">
        <v>467</v>
      </c>
    </row>
    <row r="70" spans="2:12" x14ac:dyDescent="0.2">
      <c r="B70" t="s">
        <v>110</v>
      </c>
      <c r="C70" t="s">
        <v>411</v>
      </c>
      <c r="D70" t="s">
        <v>362</v>
      </c>
      <c r="E70" t="s">
        <v>339</v>
      </c>
      <c r="F70" t="s">
        <v>366</v>
      </c>
      <c r="G70" t="s">
        <v>260</v>
      </c>
      <c r="H70" t="s">
        <v>460</v>
      </c>
      <c r="I70" t="s">
        <v>367</v>
      </c>
      <c r="J70" t="s">
        <v>410</v>
      </c>
      <c r="K70" t="s">
        <v>222</v>
      </c>
      <c r="L70" t="s">
        <v>467</v>
      </c>
    </row>
    <row r="71" spans="2:12" x14ac:dyDescent="0.2">
      <c r="B71" t="s">
        <v>112</v>
      </c>
      <c r="C71" t="s">
        <v>413</v>
      </c>
      <c r="D71" t="s">
        <v>362</v>
      </c>
      <c r="E71" t="s">
        <v>368</v>
      </c>
      <c r="F71" t="s">
        <v>369</v>
      </c>
      <c r="G71" t="s">
        <v>260</v>
      </c>
      <c r="H71" t="s">
        <v>460</v>
      </c>
      <c r="I71" t="s">
        <v>367</v>
      </c>
      <c r="J71" t="s">
        <v>412</v>
      </c>
      <c r="K71" t="s">
        <v>222</v>
      </c>
      <c r="L71" t="s">
        <v>467</v>
      </c>
    </row>
    <row r="72" spans="2:12" x14ac:dyDescent="0.2">
      <c r="B72" t="s">
        <v>114</v>
      </c>
      <c r="C72" t="s">
        <v>415</v>
      </c>
      <c r="D72" t="s">
        <v>362</v>
      </c>
      <c r="E72" t="s">
        <v>370</v>
      </c>
      <c r="F72" t="s">
        <v>371</v>
      </c>
      <c r="G72" t="s">
        <v>260</v>
      </c>
      <c r="H72" t="s">
        <v>364</v>
      </c>
      <c r="I72" t="s">
        <v>372</v>
      </c>
      <c r="J72" t="s">
        <v>414</v>
      </c>
      <c r="K72" t="s">
        <v>222</v>
      </c>
      <c r="L72" t="s">
        <v>467</v>
      </c>
    </row>
    <row r="74" spans="2:12" x14ac:dyDescent="0.2">
      <c r="B74" t="s">
        <v>349</v>
      </c>
      <c r="C74" t="s">
        <v>417</v>
      </c>
      <c r="D74" t="s">
        <v>350</v>
      </c>
      <c r="E74" t="s">
        <v>351</v>
      </c>
      <c r="F74" t="s">
        <v>459</v>
      </c>
      <c r="G74" t="s">
        <v>352</v>
      </c>
      <c r="H74" t="s">
        <v>353</v>
      </c>
      <c r="I74" t="s">
        <v>342</v>
      </c>
      <c r="J74" t="s">
        <v>417</v>
      </c>
      <c r="K74" t="s">
        <v>222</v>
      </c>
      <c r="L74" t="s">
        <v>468</v>
      </c>
    </row>
    <row r="75" spans="2:12" x14ac:dyDescent="0.2">
      <c r="B75" t="s">
        <v>632</v>
      </c>
      <c r="C75" t="s">
        <v>419</v>
      </c>
      <c r="D75" t="s">
        <v>350</v>
      </c>
      <c r="E75" t="s">
        <v>354</v>
      </c>
      <c r="F75" t="s">
        <v>347</v>
      </c>
      <c r="G75" t="s">
        <v>260</v>
      </c>
      <c r="H75" t="s">
        <v>215</v>
      </c>
      <c r="I75" t="s">
        <v>342</v>
      </c>
      <c r="J75" t="s">
        <v>419</v>
      </c>
      <c r="K75" t="s">
        <v>222</v>
      </c>
      <c r="L75" t="s">
        <v>468</v>
      </c>
    </row>
    <row r="76" spans="2:12" x14ac:dyDescent="0.2">
      <c r="B76" t="s">
        <v>127</v>
      </c>
      <c r="C76" t="s">
        <v>421</v>
      </c>
      <c r="D76" t="s">
        <v>350</v>
      </c>
      <c r="E76" t="s">
        <v>355</v>
      </c>
      <c r="F76" t="s">
        <v>348</v>
      </c>
      <c r="G76" t="s">
        <v>260</v>
      </c>
      <c r="H76" t="s">
        <v>356</v>
      </c>
      <c r="I76" t="s">
        <v>225</v>
      </c>
      <c r="J76" t="s">
        <v>421</v>
      </c>
      <c r="K76" t="s">
        <v>222</v>
      </c>
      <c r="L76" t="s">
        <v>468</v>
      </c>
    </row>
    <row r="77" spans="2:12" x14ac:dyDescent="0.2">
      <c r="B77" t="s">
        <v>129</v>
      </c>
      <c r="C77" t="s">
        <v>423</v>
      </c>
      <c r="D77" t="s">
        <v>350</v>
      </c>
      <c r="E77" t="s">
        <v>357</v>
      </c>
      <c r="F77" t="s">
        <v>369</v>
      </c>
      <c r="G77" t="s">
        <v>260</v>
      </c>
      <c r="H77" t="s">
        <v>356</v>
      </c>
      <c r="I77" t="s">
        <v>225</v>
      </c>
      <c r="J77" t="s">
        <v>423</v>
      </c>
      <c r="K77" t="s">
        <v>222</v>
      </c>
      <c r="L77" t="s">
        <v>468</v>
      </c>
    </row>
    <row r="81" spans="2:10" x14ac:dyDescent="0.2">
      <c r="B81" t="s">
        <v>448</v>
      </c>
      <c r="C81" t="s">
        <v>442</v>
      </c>
      <c r="D81" t="s">
        <v>449</v>
      </c>
      <c r="E81" t="s">
        <v>453</v>
      </c>
      <c r="F81" t="s">
        <v>347</v>
      </c>
      <c r="G81" t="s">
        <v>352</v>
      </c>
      <c r="H81" t="s">
        <v>286</v>
      </c>
      <c r="I81" t="s">
        <v>458</v>
      </c>
      <c r="J81" t="s">
        <v>442</v>
      </c>
    </row>
    <row r="82" spans="2:10" x14ac:dyDescent="0.2">
      <c r="B82" t="s">
        <v>502</v>
      </c>
      <c r="C82" t="s">
        <v>491</v>
      </c>
      <c r="D82" t="s">
        <v>494</v>
      </c>
      <c r="E82" t="s">
        <v>453</v>
      </c>
      <c r="F82" t="s">
        <v>347</v>
      </c>
      <c r="G82" t="s">
        <v>504</v>
      </c>
      <c r="H82" t="s">
        <v>456</v>
      </c>
      <c r="I82" t="s">
        <v>457</v>
      </c>
      <c r="J82" t="s">
        <v>491</v>
      </c>
    </row>
    <row r="83" spans="2:10" x14ac:dyDescent="0.2">
      <c r="B83" t="s">
        <v>503</v>
      </c>
      <c r="C83" t="s">
        <v>493</v>
      </c>
      <c r="D83" t="s">
        <v>494</v>
      </c>
      <c r="E83" t="s">
        <v>454</v>
      </c>
      <c r="F83" t="s">
        <v>347</v>
      </c>
      <c r="G83" t="s">
        <v>504</v>
      </c>
      <c r="H83" t="s">
        <v>456</v>
      </c>
      <c r="I83" t="s">
        <v>457</v>
      </c>
      <c r="J83" t="s">
        <v>493</v>
      </c>
    </row>
    <row r="84" spans="2:10" x14ac:dyDescent="0.2">
      <c r="B84" t="s">
        <v>444</v>
      </c>
      <c r="C84" t="s">
        <v>440</v>
      </c>
      <c r="D84" t="s">
        <v>450</v>
      </c>
      <c r="E84" t="s">
        <v>378</v>
      </c>
      <c r="F84" t="s">
        <v>347</v>
      </c>
      <c r="G84" t="s">
        <v>353</v>
      </c>
      <c r="H84" t="s">
        <v>456</v>
      </c>
      <c r="I84" t="s">
        <v>457</v>
      </c>
      <c r="J84" t="s">
        <v>440</v>
      </c>
    </row>
    <row r="85" spans="2:10" x14ac:dyDescent="0.2">
      <c r="B85" t="s">
        <v>445</v>
      </c>
      <c r="C85" t="s">
        <v>438</v>
      </c>
      <c r="D85" t="s">
        <v>451</v>
      </c>
      <c r="E85" t="s">
        <v>454</v>
      </c>
      <c r="F85" t="s">
        <v>347</v>
      </c>
      <c r="G85" t="s">
        <v>353</v>
      </c>
      <c r="H85" t="s">
        <v>456</v>
      </c>
      <c r="I85" t="s">
        <v>457</v>
      </c>
      <c r="J85" t="s">
        <v>438</v>
      </c>
    </row>
    <row r="86" spans="2:10" x14ac:dyDescent="0.2">
      <c r="B86" t="s">
        <v>446</v>
      </c>
      <c r="C86" t="s">
        <v>436</v>
      </c>
      <c r="D86" t="s">
        <v>452</v>
      </c>
      <c r="E86" t="s">
        <v>454</v>
      </c>
      <c r="F86" t="s">
        <v>347</v>
      </c>
      <c r="G86" t="s">
        <v>353</v>
      </c>
      <c r="H86" t="s">
        <v>456</v>
      </c>
      <c r="I86" t="s">
        <v>457</v>
      </c>
      <c r="J86" t="s">
        <v>436</v>
      </c>
    </row>
    <row r="87" spans="2:10" x14ac:dyDescent="0.2">
      <c r="B87" t="s">
        <v>447</v>
      </c>
      <c r="C87" t="s">
        <v>434</v>
      </c>
      <c r="D87" t="s">
        <v>452</v>
      </c>
      <c r="E87" t="s">
        <v>455</v>
      </c>
      <c r="F87" t="s">
        <v>259</v>
      </c>
      <c r="G87" t="s">
        <v>260</v>
      </c>
      <c r="H87" t="s">
        <v>456</v>
      </c>
      <c r="I87" t="s">
        <v>215</v>
      </c>
      <c r="J87" t="s">
        <v>434</v>
      </c>
    </row>
    <row r="90" spans="2:10" x14ac:dyDescent="0.2">
      <c r="B90" s="24" t="s">
        <v>537</v>
      </c>
      <c r="C90" t="s">
        <v>537</v>
      </c>
      <c r="D90" t="s">
        <v>542</v>
      </c>
      <c r="E90" t="s">
        <v>538</v>
      </c>
      <c r="F90" t="s">
        <v>539</v>
      </c>
      <c r="G90" t="s">
        <v>352</v>
      </c>
      <c r="H90" t="s">
        <v>539</v>
      </c>
      <c r="J90" t="s">
        <v>537</v>
      </c>
    </row>
    <row r="91" spans="2:10" x14ac:dyDescent="0.2">
      <c r="B91" s="25" t="s">
        <v>529</v>
      </c>
      <c r="C91" t="s">
        <v>529</v>
      </c>
      <c r="D91" t="s">
        <v>541</v>
      </c>
      <c r="E91" t="s">
        <v>543</v>
      </c>
      <c r="F91" t="s">
        <v>540</v>
      </c>
      <c r="G91" t="s">
        <v>352</v>
      </c>
      <c r="H91" t="s">
        <v>520</v>
      </c>
      <c r="J91" t="s">
        <v>529</v>
      </c>
    </row>
    <row r="92" spans="2:10" x14ac:dyDescent="0.2">
      <c r="B92" s="25" t="s">
        <v>530</v>
      </c>
      <c r="C92" t="s">
        <v>530</v>
      </c>
      <c r="D92" t="s">
        <v>541</v>
      </c>
      <c r="E92" t="s">
        <v>544</v>
      </c>
      <c r="F92" t="s">
        <v>548</v>
      </c>
      <c r="G92" t="s">
        <v>352</v>
      </c>
      <c r="H92" t="s">
        <v>554</v>
      </c>
      <c r="J92" t="s">
        <v>530</v>
      </c>
    </row>
    <row r="93" spans="2:10" x14ac:dyDescent="0.2">
      <c r="B93" s="25" t="s">
        <v>531</v>
      </c>
      <c r="C93" t="s">
        <v>531</v>
      </c>
      <c r="D93" t="s">
        <v>541</v>
      </c>
      <c r="E93" t="s">
        <v>547</v>
      </c>
      <c r="F93" t="s">
        <v>549</v>
      </c>
      <c r="G93" t="s">
        <v>352</v>
      </c>
      <c r="H93" t="s">
        <v>554</v>
      </c>
      <c r="J93" t="s">
        <v>531</v>
      </c>
    </row>
    <row r="94" spans="2:10" x14ac:dyDescent="0.2">
      <c r="B94" s="25" t="s">
        <v>532</v>
      </c>
      <c r="C94" t="s">
        <v>532</v>
      </c>
      <c r="D94" t="s">
        <v>541</v>
      </c>
      <c r="E94" t="s">
        <v>546</v>
      </c>
      <c r="F94" t="s">
        <v>550</v>
      </c>
      <c r="G94" t="s">
        <v>352</v>
      </c>
      <c r="H94" t="s">
        <v>257</v>
      </c>
      <c r="J94" t="s">
        <v>532</v>
      </c>
    </row>
    <row r="95" spans="2:10" x14ac:dyDescent="0.2">
      <c r="B95" s="25" t="s">
        <v>533</v>
      </c>
      <c r="C95" t="s">
        <v>533</v>
      </c>
      <c r="D95" t="s">
        <v>541</v>
      </c>
      <c r="E95" t="s">
        <v>453</v>
      </c>
      <c r="F95" t="s">
        <v>363</v>
      </c>
      <c r="G95" t="s">
        <v>352</v>
      </c>
      <c r="H95" t="s">
        <v>554</v>
      </c>
      <c r="J95" t="s">
        <v>533</v>
      </c>
    </row>
    <row r="96" spans="2:10" x14ac:dyDescent="0.2">
      <c r="B96" s="25" t="s">
        <v>534</v>
      </c>
      <c r="C96" t="s">
        <v>534</v>
      </c>
      <c r="D96" t="s">
        <v>541</v>
      </c>
      <c r="E96" t="s">
        <v>545</v>
      </c>
      <c r="F96" t="s">
        <v>365</v>
      </c>
      <c r="G96" t="s">
        <v>352</v>
      </c>
      <c r="H96" t="s">
        <v>257</v>
      </c>
      <c r="J96" t="s">
        <v>534</v>
      </c>
    </row>
    <row r="97" spans="2:10" x14ac:dyDescent="0.2">
      <c r="B97" s="25"/>
    </row>
    <row r="98" spans="2:10" x14ac:dyDescent="0.2">
      <c r="B98" s="25" t="s">
        <v>535</v>
      </c>
      <c r="C98" t="s">
        <v>535</v>
      </c>
      <c r="D98" t="s">
        <v>551</v>
      </c>
      <c r="E98" t="s">
        <v>547</v>
      </c>
      <c r="F98" t="s">
        <v>345</v>
      </c>
      <c r="G98" t="s">
        <v>352</v>
      </c>
      <c r="H98" t="s">
        <v>554</v>
      </c>
      <c r="J98" t="s">
        <v>535</v>
      </c>
    </row>
    <row r="99" spans="2:10" x14ac:dyDescent="0.2">
      <c r="B99" s="25"/>
    </row>
    <row r="100" spans="2:10" x14ac:dyDescent="0.2">
      <c r="B100" s="25" t="s">
        <v>536</v>
      </c>
      <c r="C100" t="s">
        <v>536</v>
      </c>
      <c r="D100" t="s">
        <v>552</v>
      </c>
      <c r="E100" t="s">
        <v>553</v>
      </c>
      <c r="F100" t="s">
        <v>347</v>
      </c>
      <c r="G100" t="s">
        <v>260</v>
      </c>
      <c r="H100" t="s">
        <v>554</v>
      </c>
      <c r="J100" t="s">
        <v>536</v>
      </c>
    </row>
    <row r="101" spans="2:10" x14ac:dyDescent="0.2">
      <c r="B101" s="25"/>
    </row>
    <row r="102" spans="2:10" x14ac:dyDescent="0.2">
      <c r="B102" s="25"/>
    </row>
    <row r="161" spans="2:4" x14ac:dyDescent="0.2">
      <c r="B161" t="s">
        <v>262</v>
      </c>
      <c r="C161" t="s">
        <v>234</v>
      </c>
      <c r="D161" t="s">
        <v>240</v>
      </c>
    </row>
    <row r="162" spans="2:4" x14ac:dyDescent="0.2">
      <c r="B162" t="s">
        <v>285</v>
      </c>
      <c r="C162" t="s">
        <v>203</v>
      </c>
      <c r="D162" t="s">
        <v>204</v>
      </c>
    </row>
    <row r="163" spans="2:4" x14ac:dyDescent="0.2">
      <c r="B163" t="s">
        <v>206</v>
      </c>
      <c r="C163" t="s">
        <v>203</v>
      </c>
      <c r="D163" t="s">
        <v>207</v>
      </c>
    </row>
    <row r="164" spans="2:4" x14ac:dyDescent="0.2">
      <c r="B164" t="s">
        <v>278</v>
      </c>
      <c r="C164" t="s">
        <v>208</v>
      </c>
      <c r="D164" t="s">
        <v>281</v>
      </c>
    </row>
    <row r="165" spans="2:4" x14ac:dyDescent="0.2">
      <c r="B165" t="s">
        <v>209</v>
      </c>
      <c r="C165" t="s">
        <v>208</v>
      </c>
      <c r="D165" t="s">
        <v>210</v>
      </c>
    </row>
    <row r="166" spans="2:4" x14ac:dyDescent="0.2">
      <c r="B166" t="s">
        <v>214</v>
      </c>
      <c r="C166" t="s">
        <v>213</v>
      </c>
      <c r="D166" t="s">
        <v>214</v>
      </c>
    </row>
    <row r="167" spans="2:4" x14ac:dyDescent="0.2">
      <c r="B167" t="s">
        <v>217</v>
      </c>
      <c r="C167" t="s">
        <v>218</v>
      </c>
      <c r="D167" t="s">
        <v>219</v>
      </c>
    </row>
    <row r="168" spans="2:4" x14ac:dyDescent="0.2">
      <c r="B168" t="s">
        <v>220</v>
      </c>
      <c r="C168" t="s">
        <v>218</v>
      </c>
      <c r="D168" t="s">
        <v>221</v>
      </c>
    </row>
    <row r="169" spans="2:4" x14ac:dyDescent="0.2">
      <c r="B169" t="s">
        <v>223</v>
      </c>
      <c r="C169" t="s">
        <v>213</v>
      </c>
      <c r="D169" t="s">
        <v>282</v>
      </c>
    </row>
    <row r="170" spans="2:4" x14ac:dyDescent="0.2">
      <c r="B170" t="s">
        <v>226</v>
      </c>
      <c r="C170" t="s">
        <v>227</v>
      </c>
      <c r="D170" t="s">
        <v>228</v>
      </c>
    </row>
    <row r="171" spans="2:4" x14ac:dyDescent="0.2">
      <c r="B171" t="s">
        <v>555</v>
      </c>
      <c r="C171" s="11" t="s">
        <v>287</v>
      </c>
      <c r="D171" t="s">
        <v>283</v>
      </c>
    </row>
    <row r="172" spans="2:4" x14ac:dyDescent="0.2">
      <c r="B172" t="s">
        <v>229</v>
      </c>
      <c r="C172" s="11" t="s">
        <v>287</v>
      </c>
      <c r="D172" t="s">
        <v>230</v>
      </c>
    </row>
    <row r="173" spans="2:4" x14ac:dyDescent="0.2">
      <c r="B173" t="s">
        <v>231</v>
      </c>
      <c r="C173" t="s">
        <v>208</v>
      </c>
      <c r="D173" t="s">
        <v>232</v>
      </c>
    </row>
    <row r="174" spans="2:4" x14ac:dyDescent="0.2">
      <c r="B174" t="s">
        <v>233</v>
      </c>
      <c r="C174" t="s">
        <v>218</v>
      </c>
      <c r="D174" t="s">
        <v>284</v>
      </c>
    </row>
  </sheetData>
  <phoneticPr fontId="6" type="noConversion"/>
  <conditionalFormatting sqref="C9:C108">
    <cfRule type="duplicateValues" dxfId="0" priority="1"/>
  </conditionalFormatting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20</vt:i4>
      </vt:variant>
    </vt:vector>
  </HeadingPairs>
  <TitlesOfParts>
    <vt:vector size="25" baseType="lpstr">
      <vt:lpstr>显卡参数新</vt:lpstr>
      <vt:lpstr>显卡</vt:lpstr>
      <vt:lpstr>板U卡</vt:lpstr>
      <vt:lpstr>电源</vt:lpstr>
      <vt:lpstr>利益点对照表</vt:lpstr>
      <vt:lpstr>板U卡!export_folder</vt:lpstr>
      <vt:lpstr>电源!export_folder</vt:lpstr>
      <vt:lpstr>显卡!export_folder</vt:lpstr>
      <vt:lpstr>显卡参数新!export_folder</vt:lpstr>
      <vt:lpstr>板U卡!file_format</vt:lpstr>
      <vt:lpstr>电源!file_format</vt:lpstr>
      <vt:lpstr>显卡!file_format</vt:lpstr>
      <vt:lpstr>显卡参数新!file_format</vt:lpstr>
      <vt:lpstr>板U卡!psd_file_path</vt:lpstr>
      <vt:lpstr>电源!psd_file_path</vt:lpstr>
      <vt:lpstr>显卡!psd_file_path</vt:lpstr>
      <vt:lpstr>显卡参数新!psd_file_path</vt:lpstr>
      <vt:lpstr>板U卡!psd_name</vt:lpstr>
      <vt:lpstr>电源!psd_name</vt:lpstr>
      <vt:lpstr>显卡!psd_name</vt:lpstr>
      <vt:lpstr>显卡参数新!psd_name</vt:lpstr>
      <vt:lpstr>板U卡!suffix</vt:lpstr>
      <vt:lpstr>电源!suffix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2025-07-22T07:51:04Z</dcterms:modified>
</cp:coreProperties>
</file>