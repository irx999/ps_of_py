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79B64837-1BAF-48C3-AA8F-95956607F671}" xr6:coauthVersionLast="47" xr6:coauthVersionMax="47" xr10:uidLastSave="{00000000-0000-0000-0000-000000000000}"/>
  <bookViews>
    <workbookView xWindow="38280" yWindow="-120" windowWidth="38640" windowHeight="21120" activeTab="1" xr2:uid="{00000000-000D-0000-FFFF-FFFF00000000}"/>
  </bookViews>
  <sheets>
    <sheet name="主板" sheetId="1" r:id="rId1"/>
    <sheet name="显卡参数新" sheetId="13" r:id="rId2"/>
    <sheet name="显示器参数" sheetId="14" r:id="rId3"/>
    <sheet name="显卡" sheetId="5" r:id="rId4"/>
    <sheet name="刘波" sheetId="3" r:id="rId5"/>
    <sheet name="显卡参数" sheetId="8" r:id="rId6"/>
    <sheet name="主板参数" sheetId="4" r:id="rId7"/>
    <sheet name="显卡大促" sheetId="6" r:id="rId8"/>
    <sheet name="机电散大促" sheetId="7" r:id="rId9"/>
    <sheet name="名单" sheetId="10" r:id="rId10"/>
    <sheet name="透明图生成器" sheetId="12" r:id="rId11"/>
    <sheet name="Sheet1" sheetId="9" r:id="rId12"/>
  </sheets>
  <definedNames>
    <definedName name="export_folder" localSheetId="8">机电散大促!$B$3</definedName>
    <definedName name="export_folder" localSheetId="4">刘波!$B$3</definedName>
    <definedName name="export_folder" localSheetId="9">名单!$B$3</definedName>
    <definedName name="export_folder" localSheetId="10">透明图生成器!$B$3</definedName>
    <definedName name="export_folder" localSheetId="3">显卡!$B$3</definedName>
    <definedName name="export_folder" localSheetId="5">显卡参数!$B$3</definedName>
    <definedName name="export_folder" localSheetId="1">显卡参数新!$B$3</definedName>
    <definedName name="export_folder" localSheetId="7">显卡大促!$B$3</definedName>
    <definedName name="export_folder" localSheetId="2">显示器参数!$B$3</definedName>
    <definedName name="export_folder" localSheetId="6">主板参数!$B$3</definedName>
    <definedName name="export_folder">主板!$B$3</definedName>
    <definedName name="file_format" localSheetId="8">机电散大促!$B$4</definedName>
    <definedName name="file_format" localSheetId="4">刘波!$B$4</definedName>
    <definedName name="file_format" localSheetId="9">名单!$B$4</definedName>
    <definedName name="file_format" localSheetId="10">透明图生成器!$B$4</definedName>
    <definedName name="file_format" localSheetId="3">显卡!$B$4</definedName>
    <definedName name="file_format" localSheetId="5">显卡参数!$B$4</definedName>
    <definedName name="file_format" localSheetId="1">显卡参数新!$B$4</definedName>
    <definedName name="file_format" localSheetId="7">显卡大促!$B$4</definedName>
    <definedName name="file_format" localSheetId="2">显示器参数!$B$4</definedName>
    <definedName name="file_format" localSheetId="6">主板参数!$B$4</definedName>
    <definedName name="file_format">主板!$B$4</definedName>
    <definedName name="psd_file_path" localSheetId="8">机电散大促!$B$1</definedName>
    <definedName name="psd_file_path" localSheetId="9">名单!$B$1</definedName>
    <definedName name="psd_file_path" localSheetId="10">透明图生成器!$B$1</definedName>
    <definedName name="psd_file_path" localSheetId="3">显卡!$B$1</definedName>
    <definedName name="psd_file_path" localSheetId="1">显卡参数新!$B$1</definedName>
    <definedName name="psd_file_path" localSheetId="7">显卡大促!$B$1</definedName>
    <definedName name="psd_file_path" localSheetId="2">显示器参数!$B$1</definedName>
    <definedName name="psd_file_path">主板参数!$B$1</definedName>
    <definedName name="psd_name" localSheetId="8">机电散大促!$B$2</definedName>
    <definedName name="psd_name" localSheetId="4">刘波!$B$2</definedName>
    <definedName name="psd_name" localSheetId="9">名单!$B$2</definedName>
    <definedName name="psd_name" localSheetId="10">透明图生成器!$B$2</definedName>
    <definedName name="psd_name" localSheetId="3">显卡!$B$2</definedName>
    <definedName name="psd_name" localSheetId="5">显卡参数!$B$2</definedName>
    <definedName name="psd_name" localSheetId="1">显卡参数新!$B$2</definedName>
    <definedName name="psd_name" localSheetId="7">显卡大促!$B$2</definedName>
    <definedName name="psd_name" localSheetId="2">显示器参数!$B$2</definedName>
    <definedName name="psd_name" localSheetId="6">主板参数!$B$2</definedName>
    <definedName name="psd_name">主板!$B$2</definedName>
    <definedName name="suffix" localSheetId="8">机电散大促!$B$5</definedName>
    <definedName name="suffix" localSheetId="4">刘波!$B$5</definedName>
    <definedName name="suffix" localSheetId="9">名单!$B$5</definedName>
    <definedName name="suffix" localSheetId="10">透明图生成器!$B$5</definedName>
    <definedName name="suffix" localSheetId="3">显卡!$B$5</definedName>
    <definedName name="suffix" localSheetId="5">显卡参数!$B$5</definedName>
    <definedName name="suffix" localSheetId="1">显卡参数新!$B$5</definedName>
    <definedName name="suffix" localSheetId="7">显卡大促!$B$5</definedName>
    <definedName name="suffix" localSheetId="2">显示器参数!$B$5</definedName>
    <definedName name="suffix" localSheetId="6">主板参数!$B$5</definedName>
    <definedName name="suffix">主板!$B$5</definedName>
  </definedNames>
  <calcPr calcId="191029" iterate="1" iterateCount="500" iterateDelta="0.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2" i="14" l="1" a="1"/>
  <c r="T22" i="14" s="1"/>
  <c r="T35" i="13" a="1"/>
  <c r="T35" i="13" s="1"/>
  <c r="S13" i="1" a="1"/>
  <c r="S13" i="1" s="1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<sst xmlns="http://schemas.openxmlformats.org/spreadsheetml/2006/main" count="7451" uniqueCount="1598">
  <si>
    <t>导出文件名</t>
  </si>
  <si>
    <t>导出路径</t>
    <phoneticPr fontId="1" type="noConversion"/>
  </si>
  <si>
    <t>导出格式</t>
    <phoneticPr fontId="1" type="noConversion"/>
  </si>
  <si>
    <t>PSD名称</t>
    <phoneticPr fontId="1" type="noConversion"/>
  </si>
  <si>
    <t>可显性丨CPU丨图层4</t>
    <phoneticPr fontId="1" type="noConversion"/>
  </si>
  <si>
    <t>可显性丨主板丨图层5</t>
    <phoneticPr fontId="1" type="noConversion"/>
  </si>
  <si>
    <t>文本丨标题丨标题1</t>
    <phoneticPr fontId="1" type="noConversion"/>
  </si>
  <si>
    <t>文本丨标题丨标题2</t>
    <phoneticPr fontId="1" type="noConversion"/>
  </si>
  <si>
    <t>文本丨标题丨标题3</t>
    <phoneticPr fontId="1" type="noConversion"/>
  </si>
  <si>
    <t>MB</t>
    <phoneticPr fontId="1" type="noConversion"/>
  </si>
  <si>
    <t>png</t>
    <phoneticPr fontId="1" type="noConversion"/>
  </si>
  <si>
    <t>文本丨利益点丨利益点1</t>
  </si>
  <si>
    <t>文本丨利益点丨利益点2</t>
  </si>
  <si>
    <t>文本丨利益点丨利益点3</t>
  </si>
  <si>
    <t>可显性丨其他丨图层6</t>
    <phoneticPr fontId="1" type="noConversion"/>
  </si>
  <si>
    <t>备注2</t>
  </si>
  <si>
    <t>备注1</t>
    <phoneticPr fontId="1" type="noConversion"/>
  </si>
  <si>
    <t>文件名后缀</t>
    <phoneticPr fontId="1" type="noConversion"/>
  </si>
  <si>
    <t>（1）</t>
    <phoneticPr fontId="1" type="noConversion"/>
  </si>
  <si>
    <t>可显性丨其他丨图层8</t>
  </si>
  <si>
    <t>可显性丨丨图</t>
    <phoneticPr fontId="1" type="noConversion"/>
  </si>
  <si>
    <t>X870E-AORUS-MASTER</t>
  </si>
  <si>
    <t>X870E-AORUS-PRO-ICE</t>
  </si>
  <si>
    <t>X870-AORUS-ELITE-WIFI7-ICE</t>
  </si>
  <si>
    <t>X870-AORUS-ELITE-WIFI7</t>
  </si>
  <si>
    <t>X870-GAMING-X-WIFI7</t>
  </si>
  <si>
    <t>X870-EAGLE-WIFI7</t>
  </si>
  <si>
    <t>X870E</t>
  </si>
  <si>
    <t>X870</t>
  </si>
  <si>
    <t>14+2+2相供电</t>
    <phoneticPr fontId="1" type="noConversion"/>
  </si>
  <si>
    <t>16+2+2相供电</t>
  </si>
  <si>
    <t>魔鹰</t>
  </si>
  <si>
    <t>小雕</t>
  </si>
  <si>
    <t>电竞冰雕</t>
  </si>
  <si>
    <t>超级雕</t>
  </si>
  <si>
    <t>EAGLE</t>
    <phoneticPr fontId="1" type="noConversion"/>
  </si>
  <si>
    <t>GAMING X</t>
    <phoneticPr fontId="1" type="noConversion"/>
  </si>
  <si>
    <t xml:space="preserve">ELITE </t>
    <phoneticPr fontId="1" type="noConversion"/>
  </si>
  <si>
    <t>ELITE ICE</t>
    <phoneticPr fontId="1" type="noConversion"/>
  </si>
  <si>
    <t>冰雕</t>
    <phoneticPr fontId="1" type="noConversion"/>
  </si>
  <si>
    <t>PRO ICE</t>
    <phoneticPr fontId="1" type="noConversion"/>
  </si>
  <si>
    <t>MASTER</t>
    <phoneticPr fontId="1" type="noConversion"/>
  </si>
  <si>
    <t>双USB4 接口</t>
    <phoneticPr fontId="1" type="noConversion"/>
  </si>
  <si>
    <t>蓝牙网卡</t>
    <phoneticPr fontId="1" type="noConversion"/>
  </si>
  <si>
    <t>猎鹰</t>
    <phoneticPr fontId="1" type="noConversion"/>
  </si>
  <si>
    <t>AMD  技嘉 logo</t>
    <phoneticPr fontId="1" type="noConversion"/>
  </si>
  <si>
    <t>9000系列 锐龙9</t>
    <phoneticPr fontId="1" type="noConversion"/>
  </si>
  <si>
    <t>黑色棍子</t>
    <phoneticPr fontId="1" type="noConversion"/>
  </si>
  <si>
    <t>黑色WIFI</t>
    <phoneticPr fontId="1" type="noConversion"/>
  </si>
  <si>
    <t>白色WIFI</t>
    <phoneticPr fontId="1" type="noConversion"/>
  </si>
  <si>
    <t>Z890 EAGLE WIFI7</t>
  </si>
  <si>
    <t>Z890 GAMING X WIFI7</t>
  </si>
  <si>
    <t>Z890 AORUS ELITE WIFI7</t>
  </si>
  <si>
    <t>Z890 AORUS ELITE WIFI7 ICE</t>
  </si>
  <si>
    <t>Z890 AERO G</t>
  </si>
  <si>
    <t>Z890 AORUS PRO ICE</t>
  </si>
  <si>
    <t>Z890 AORUS MASTER</t>
  </si>
  <si>
    <t>Z890</t>
    <phoneticPr fontId="1" type="noConversion"/>
  </si>
  <si>
    <t>Z890I</t>
    <phoneticPr fontId="1" type="noConversion"/>
  </si>
  <si>
    <t>迷你雕</t>
    <phoneticPr fontId="1" type="noConversion"/>
  </si>
  <si>
    <t>Z890M</t>
    <phoneticPr fontId="1" type="noConversion"/>
  </si>
  <si>
    <t>Z890M AORUS ELITE WIFI7 ICE</t>
    <phoneticPr fontId="1" type="noConversion"/>
  </si>
  <si>
    <t>Z890M AORUS ELITE WIFI7</t>
    <phoneticPr fontId="1" type="noConversion"/>
  </si>
  <si>
    <t>ELITE WIFI7 ICE</t>
    <phoneticPr fontId="1" type="noConversion"/>
  </si>
  <si>
    <t>小雕</t>
    <phoneticPr fontId="1" type="noConversion"/>
  </si>
  <si>
    <t>魔鹰</t>
    <phoneticPr fontId="1" type="noConversion"/>
  </si>
  <si>
    <t>雪鹰</t>
    <phoneticPr fontId="1" type="noConversion"/>
  </si>
  <si>
    <t>超级雕</t>
    <phoneticPr fontId="1" type="noConversion"/>
  </si>
  <si>
    <t>电竞冰雕</t>
    <phoneticPr fontId="1" type="noConversion"/>
  </si>
  <si>
    <t>Z890I-AORUS-ULTRA</t>
  </si>
  <si>
    <t>Z890M-AORUS-ELITE-WIFI7</t>
  </si>
  <si>
    <t>Z890M-AORUS-ELITE-WIFI7-ICE</t>
  </si>
  <si>
    <t>Z890-EAGLE-WIFI7</t>
  </si>
  <si>
    <t>Z890-GAMING-X-WIFI7</t>
  </si>
  <si>
    <t>Z890-AORUS-ELITE-WIFI7</t>
  </si>
  <si>
    <t>Z890-AORUS-ELITE-WIFI7-ICE</t>
  </si>
  <si>
    <t>Z890-AERO-G</t>
  </si>
  <si>
    <t>Z890-AORUS-PRO-ICE</t>
  </si>
  <si>
    <t>Z890-AORUS-MASTER</t>
  </si>
  <si>
    <t>intel logo</t>
  </si>
  <si>
    <t>双雷电4接口</t>
  </si>
  <si>
    <t>带USB4接口</t>
  </si>
  <si>
    <t>8+1+2相供电</t>
  </si>
  <si>
    <t>12+1+2相供电</t>
  </si>
  <si>
    <t>14+1+2相供电</t>
  </si>
  <si>
    <t>16+1+2相供电</t>
  </si>
  <si>
    <t>文本丨利益点丨利益点0</t>
    <phoneticPr fontId="1" type="noConversion"/>
  </si>
  <si>
    <t>AERO G 丨 45</t>
    <phoneticPr fontId="1" type="noConversion"/>
  </si>
  <si>
    <t>ELITE WIFI7 丨40</t>
    <phoneticPr fontId="1" type="noConversion"/>
  </si>
  <si>
    <t>Z890I AORUS ULTRA</t>
    <phoneticPr fontId="1" type="noConversion"/>
  </si>
  <si>
    <t>AORUS PRO ICE 丨32</t>
    <phoneticPr fontId="1" type="noConversion"/>
  </si>
  <si>
    <t>ELITE WIFI7 ICE丨32</t>
    <phoneticPr fontId="1" type="noConversion"/>
  </si>
  <si>
    <t>雷电4带DP-Alt</t>
    <phoneticPr fontId="1" type="noConversion"/>
  </si>
  <si>
    <t>刘波</t>
    <phoneticPr fontId="1" type="noConversion"/>
  </si>
  <si>
    <t>-U9（1）</t>
    <phoneticPr fontId="1" type="noConversion"/>
  </si>
  <si>
    <t>U9</t>
    <phoneticPr fontId="1" type="noConversion"/>
  </si>
  <si>
    <t>18+1+2相供电</t>
    <phoneticPr fontId="1" type="noConversion"/>
  </si>
  <si>
    <t>U7</t>
    <phoneticPr fontId="1" type="noConversion"/>
  </si>
  <si>
    <t>U5</t>
    <phoneticPr fontId="1" type="noConversion"/>
  </si>
  <si>
    <t>Z890 AORUS MASTER-1</t>
    <phoneticPr fontId="1" type="noConversion"/>
  </si>
  <si>
    <t>Z890 AORUS MASTER-2</t>
    <phoneticPr fontId="1" type="noConversion"/>
  </si>
  <si>
    <t>Z890 AORUS MASTER-3</t>
    <phoneticPr fontId="1" type="noConversion"/>
  </si>
  <si>
    <t>技嘉 Z790M AORUS ELITE</t>
  </si>
  <si>
    <t>技嘉 Z790M AORUS ELITE AX</t>
  </si>
  <si>
    <t>技嘉 Z790M AORUS ELITE AX ICE (冰雕)</t>
  </si>
  <si>
    <t>技嘉 Z790 EAGLE 猎鹰</t>
  </si>
  <si>
    <t>技嘉 Z790 EAGLE AX 猎鹰</t>
  </si>
  <si>
    <t>技嘉 Z790 AORUS ELITE AX-W 雪雕</t>
  </si>
  <si>
    <t>技嘉 Z790 AORUS ELITE X WIFI7</t>
  </si>
  <si>
    <t>技嘉 Z790 AORUS PRO X电竞雕</t>
  </si>
  <si>
    <t>技嘉 Z790 AORUS PRO X冰雕</t>
  </si>
  <si>
    <t>技嘉 Z790 AORUS MASTER X</t>
  </si>
  <si>
    <t>Z790M-AORUS-ELITE-rev-11</t>
  </si>
  <si>
    <t>Z790M-AORUS-ELITE-AX-rev-12</t>
  </si>
  <si>
    <t>Z790M-AORUS-ELITE-AX-ICE</t>
  </si>
  <si>
    <t>Z790-EAGLE-rev-10</t>
  </si>
  <si>
    <t>Z790-EAGLE-AX-rev-10</t>
  </si>
  <si>
    <t>Z790-AORUS-ELITE-X-WIFI7</t>
  </si>
  <si>
    <t>Z790-AORUS-PRO-X-WIFI7</t>
  </si>
  <si>
    <t>Z790-AORUS-PRO-X</t>
  </si>
  <si>
    <t>Z790-AORUS-MASTER-X</t>
  </si>
  <si>
    <t>Z790-AORUS-XTREME-X-ICE</t>
  </si>
  <si>
    <t>Z790-AORUS-TACHYON-rev-10</t>
    <phoneticPr fontId="1" type="noConversion"/>
  </si>
  <si>
    <t>Z790-AORUS-XTREME-X</t>
    <phoneticPr fontId="1" type="noConversion"/>
  </si>
  <si>
    <t>Z790-AORUS-ELITE-AX-W-rev-1x</t>
    <phoneticPr fontId="1" type="noConversion"/>
  </si>
  <si>
    <t>Z790</t>
    <phoneticPr fontId="1" type="noConversion"/>
  </si>
  <si>
    <t>Z790M</t>
    <phoneticPr fontId="1" type="noConversion"/>
  </si>
  <si>
    <t>AORUS ELITE</t>
    <phoneticPr fontId="1" type="noConversion"/>
  </si>
  <si>
    <t>AX ICE</t>
    <phoneticPr fontId="1" type="noConversion"/>
  </si>
  <si>
    <t>ELITE AX-W</t>
    <phoneticPr fontId="1" type="noConversion"/>
  </si>
  <si>
    <t>技嘉 Z790 AORUS TACHYON</t>
    <phoneticPr fontId="1" type="noConversion"/>
  </si>
  <si>
    <t>TACHYON</t>
    <phoneticPr fontId="1" type="noConversion"/>
  </si>
  <si>
    <t>技嘉 Z790 AORUS XTREME X</t>
    <phoneticPr fontId="1" type="noConversion"/>
  </si>
  <si>
    <t>XTREME X</t>
    <phoneticPr fontId="1" type="noConversion"/>
  </si>
  <si>
    <t>技嘉 Z790 AORUS XTREME X ICE 钛金雕</t>
    <phoneticPr fontId="1" type="noConversion"/>
  </si>
  <si>
    <t>小雕AX</t>
    <phoneticPr fontId="1" type="noConversion"/>
  </si>
  <si>
    <t>EAGLE AX</t>
    <phoneticPr fontId="1" type="noConversion"/>
  </si>
  <si>
    <t>雪雕</t>
    <phoneticPr fontId="1" type="noConversion"/>
  </si>
  <si>
    <t>小雕X</t>
    <phoneticPr fontId="1" type="noConversion"/>
  </si>
  <si>
    <t>电竞雕</t>
    <phoneticPr fontId="1" type="noConversion"/>
  </si>
  <si>
    <t>钛雕</t>
    <phoneticPr fontId="1" type="noConversion"/>
  </si>
  <si>
    <t>大雕X</t>
    <phoneticPr fontId="1" type="noConversion"/>
  </si>
  <si>
    <t>钛金雕</t>
    <phoneticPr fontId="1" type="noConversion"/>
  </si>
  <si>
    <t>PRO X WIFI7</t>
    <phoneticPr fontId="1" type="noConversion"/>
  </si>
  <si>
    <t>支持内存</t>
    <phoneticPr fontId="1" type="noConversion"/>
  </si>
  <si>
    <t>超频7600+</t>
    <phoneticPr fontId="1" type="noConversion"/>
  </si>
  <si>
    <t>2.5千兆高速网卡</t>
  </si>
  <si>
    <t>前置Type-C</t>
    <phoneticPr fontId="1" type="noConversion"/>
  </si>
  <si>
    <t>全覆盖散热片</t>
  </si>
  <si>
    <t>18+1+2相供电</t>
  </si>
  <si>
    <t>万兆高速网卡</t>
    <phoneticPr fontId="1" type="noConversion"/>
  </si>
  <si>
    <t>为超频而生</t>
    <phoneticPr fontId="1" type="noConversion"/>
  </si>
  <si>
    <t>LCD 显示屏</t>
    <phoneticPr fontId="1" type="noConversion"/>
  </si>
  <si>
    <t>专属黄金铭牌</t>
    <phoneticPr fontId="1" type="noConversion"/>
  </si>
  <si>
    <t>黑色低端</t>
    <phoneticPr fontId="1" type="noConversion"/>
  </si>
  <si>
    <t>12+1+1相供电</t>
  </si>
  <si>
    <t>20+1+2相供电</t>
  </si>
  <si>
    <t>15+1+2相供电</t>
  </si>
  <si>
    <t>24+1+2相供电</t>
  </si>
  <si>
    <t>MASTER X</t>
    <phoneticPr fontId="1" type="noConversion"/>
  </si>
  <si>
    <t>AORUS ELITE AX丨35</t>
    <phoneticPr fontId="1" type="noConversion"/>
  </si>
  <si>
    <t>XTREME X ICE丨43</t>
    <phoneticPr fontId="1" type="noConversion"/>
  </si>
  <si>
    <t>含Wi-Fi 6E</t>
    <phoneticPr fontId="1" type="noConversion"/>
  </si>
  <si>
    <t xml:space="preserve"> +蓝牙网卡</t>
    <phoneticPr fontId="1" type="noConversion"/>
  </si>
  <si>
    <t>含Wi-Fi7</t>
    <phoneticPr fontId="1" type="noConversion"/>
  </si>
  <si>
    <t>B760M</t>
    <phoneticPr fontId="1" type="noConversion"/>
  </si>
  <si>
    <t>电竞雕WiFi</t>
    <phoneticPr fontId="1" type="noConversion"/>
  </si>
  <si>
    <t>冰雕X</t>
    <phoneticPr fontId="1" type="noConversion"/>
  </si>
  <si>
    <t>AORUS PRO AX丨38</t>
    <phoneticPr fontId="1" type="noConversion"/>
  </si>
  <si>
    <t>技嘉 B760M AORUS PRO AX</t>
  </si>
  <si>
    <t>技嘉 B760M AORUS ELITE X AX 冰雕</t>
  </si>
  <si>
    <t>B760M-AORUS-ELITE-X-AX</t>
  </si>
  <si>
    <t>B760M-AORUS-PRO-AX-DDR4-rev-1x</t>
  </si>
  <si>
    <t>14+1+1相供电</t>
    <phoneticPr fontId="1" type="noConversion"/>
  </si>
  <si>
    <t>14代i7</t>
    <phoneticPr fontId="1" type="noConversion"/>
  </si>
  <si>
    <t>AORUS ELITE X AX丨32</t>
    <phoneticPr fontId="1" type="noConversion"/>
  </si>
  <si>
    <t>14代综合</t>
    <phoneticPr fontId="1" type="noConversion"/>
  </si>
  <si>
    <t>ELITE X WIFI7丨43</t>
    <phoneticPr fontId="1" type="noConversion"/>
  </si>
  <si>
    <t>文本丨规格丨规格1</t>
    <phoneticPr fontId="1" type="noConversion"/>
  </si>
  <si>
    <t>文本丨规格丨规格2</t>
    <phoneticPr fontId="1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</si>
  <si>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</si>
  <si>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</si>
  <si>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</si>
  <si>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</si>
  <si>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</si>
  <si>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</si>
  <si>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处理器</t>
    <phoneticPr fontId="1" type="noConversion"/>
  </si>
  <si>
    <t>供电</t>
    <phoneticPr fontId="1" type="noConversion"/>
  </si>
  <si>
    <t>内存</t>
    <phoneticPr fontId="1" type="noConversion"/>
  </si>
  <si>
    <t>存储</t>
    <phoneticPr fontId="1" type="noConversion"/>
  </si>
  <si>
    <t>核显</t>
    <phoneticPr fontId="1" type="noConversion"/>
  </si>
  <si>
    <t>wifi</t>
    <phoneticPr fontId="1" type="noConversion"/>
  </si>
  <si>
    <t>网卡</t>
    <phoneticPr fontId="1" type="noConversion"/>
  </si>
  <si>
    <t>尺寸</t>
    <phoneticPr fontId="1" type="noConversion"/>
  </si>
  <si>
    <t>X870E AORUS MASTER</t>
  </si>
  <si>
    <t>X870E AORUS PRO ICE</t>
  </si>
  <si>
    <t>X870 AORUS ELITE WIFI7 ICE</t>
  </si>
  <si>
    <t>X870 AORUS ELITE WIFI7</t>
  </si>
  <si>
    <t>X870 GAMING X WIFI7</t>
  </si>
  <si>
    <t>X870 EAGLE WIFI7</t>
  </si>
  <si>
    <t>16+2+2相供电设计</t>
    <phoneticPr fontId="1" type="noConversion"/>
  </si>
  <si>
    <t>14+2+2相供电设计</t>
    <phoneticPr fontId="1" type="noConversion"/>
  </si>
  <si>
    <t>DDR5*4最大支持256G</t>
    <phoneticPr fontId="1" type="noConversion"/>
  </si>
  <si>
    <t>USB4*2+HDMI</t>
  </si>
  <si>
    <t>5千兆网卡</t>
    <phoneticPr fontId="1" type="noConversion"/>
  </si>
  <si>
    <t>2.5G网卡</t>
  </si>
  <si>
    <t>WiFi 7+蓝牙5.4</t>
    <phoneticPr fontId="1" type="noConversion"/>
  </si>
  <si>
    <t>WiFi 7+蓝牙5.3</t>
    <phoneticPr fontId="1" type="noConversion"/>
  </si>
  <si>
    <t>AMD</t>
    <phoneticPr fontId="1" type="noConversion"/>
  </si>
  <si>
    <t>AM5锐龙7,8,9000系列</t>
  </si>
  <si>
    <t>USB4*2+HDMI前置</t>
    <phoneticPr fontId="1" type="noConversion"/>
  </si>
  <si>
    <t>4*M.2 含3*PCI-E 5.0</t>
  </si>
  <si>
    <t>3*M.2 含1*PCI-E 5.0</t>
  </si>
  <si>
    <t>ATX-30.5 x24.4cm</t>
  </si>
  <si>
    <t>ITX-17 x17cm</t>
    <phoneticPr fontId="1" type="noConversion"/>
  </si>
  <si>
    <t>2*M.2 含1*PCI-E 5.0</t>
    <phoneticPr fontId="1" type="noConversion"/>
  </si>
  <si>
    <t>USB4+HDMI+DP</t>
    <phoneticPr fontId="1" type="noConversion"/>
  </si>
  <si>
    <t>雷电4+HDMI+DP</t>
    <phoneticPr fontId="1" type="noConversion"/>
  </si>
  <si>
    <t>3*M.2 含1*PCI-E 5.0</t>
    <phoneticPr fontId="1" type="noConversion"/>
  </si>
  <si>
    <t>USB4+DP</t>
    <phoneticPr fontId="1" type="noConversion"/>
  </si>
  <si>
    <t>4*M.2 含1*PCI-E 5.0</t>
    <phoneticPr fontId="1" type="noConversion"/>
  </si>
  <si>
    <t>雷电4+HDMI前置</t>
    <phoneticPr fontId="1" type="noConversion"/>
  </si>
  <si>
    <t>万兆网卡</t>
    <phoneticPr fontId="1" type="noConversion"/>
  </si>
  <si>
    <t>5*M.2 含1*PCI-E 5.0</t>
    <phoneticPr fontId="1" type="noConversion"/>
  </si>
  <si>
    <t>M-atx-24.4 x24.4cm</t>
    <phoneticPr fontId="1" type="noConversion"/>
  </si>
  <si>
    <t>双USB4接口</t>
  </si>
  <si>
    <t>雷电4接口</t>
  </si>
  <si>
    <t>雷电4接口</t>
    <phoneticPr fontId="1" type="noConversion"/>
  </si>
  <si>
    <t>单USB4接口</t>
    <phoneticPr fontId="1" type="noConversion"/>
  </si>
  <si>
    <t>Intel Core Ultra处理器</t>
    <phoneticPr fontId="1" type="noConversion"/>
  </si>
  <si>
    <t>Z890M-AORUS-ELITE-WIFI7-ICE丨38</t>
    <phoneticPr fontId="1" type="noConversion"/>
  </si>
  <si>
    <t>Z890M-AORUS-ELITE-WIFI7丨38</t>
    <phoneticPr fontId="1" type="noConversion"/>
  </si>
  <si>
    <t>Z890-AORUS-ELITE-WIFI7-ICE丨38</t>
    <phoneticPr fontId="1" type="noConversion"/>
  </si>
  <si>
    <t>Z890-AORUS-ELITE-WIFI7丨38</t>
    <phoneticPr fontId="1" type="noConversion"/>
  </si>
  <si>
    <t>DIY旗舰店</t>
    <phoneticPr fontId="1" type="noConversion"/>
  </si>
  <si>
    <t>jpg</t>
    <phoneticPr fontId="1" type="noConversion"/>
  </si>
  <si>
    <t>PSD路径</t>
  </si>
  <si>
    <t>PSD路径</t>
    <phoneticPr fontId="1" type="noConversion"/>
  </si>
  <si>
    <t>显卡日常版本</t>
    <phoneticPr fontId="1" type="noConversion"/>
  </si>
  <si>
    <t>RTX4060</t>
  </si>
  <si>
    <t>RTX4060Ti</t>
  </si>
  <si>
    <t>RTX4070 S</t>
  </si>
  <si>
    <t>RTX4070Ti S</t>
  </si>
  <si>
    <t>4080 Super</t>
  </si>
  <si>
    <t>RTX4090D</t>
  </si>
  <si>
    <t>RX6500XT</t>
  </si>
  <si>
    <t>RX6600</t>
  </si>
  <si>
    <t>RX6750 GRE</t>
  </si>
  <si>
    <t>RX7700XT</t>
  </si>
  <si>
    <t>RX7800XT</t>
  </si>
  <si>
    <t>RX7900XTX</t>
  </si>
  <si>
    <t>8G 单风扇</t>
  </si>
  <si>
    <t>8G风魔</t>
  </si>
  <si>
    <t>8G猎鹰</t>
  </si>
  <si>
    <t>8G冰猎鹰</t>
  </si>
  <si>
    <t>8G魔鹰</t>
  </si>
  <si>
    <t>8G雪鹰</t>
  </si>
  <si>
    <t>8G 风魔</t>
  </si>
  <si>
    <t>8G 魔鹰</t>
  </si>
  <si>
    <t>风魔 16G</t>
  </si>
  <si>
    <t>魔鹰 16G</t>
  </si>
  <si>
    <t>12G 风魔</t>
  </si>
  <si>
    <t>12G 猎鹰</t>
  </si>
  <si>
    <t>12G 冰猎鹰</t>
  </si>
  <si>
    <t>12G 魔鹰</t>
  </si>
  <si>
    <t>12G 雪鹰</t>
  </si>
  <si>
    <t>12G 超级雕</t>
  </si>
  <si>
    <t>16G 风魔</t>
  </si>
  <si>
    <t>16G 猎鹰</t>
  </si>
  <si>
    <t>16G 冰猎鹰</t>
  </si>
  <si>
    <t>16G 魔鹰</t>
  </si>
  <si>
    <t>16G 雪鹰</t>
  </si>
  <si>
    <t>16G 超级雕</t>
  </si>
  <si>
    <t>24G 风魔</t>
  </si>
  <si>
    <t>24G 魔鹰</t>
  </si>
  <si>
    <t>24G 雪鹰</t>
  </si>
  <si>
    <t>4G猎鹰</t>
  </si>
  <si>
    <t>10G猎鹰</t>
  </si>
  <si>
    <t>12G魔鹰</t>
  </si>
  <si>
    <t>16G魔鹰</t>
  </si>
  <si>
    <t>24G魔鹰</t>
  </si>
  <si>
    <t>+SFX模组电源</t>
  </si>
  <si>
    <t/>
  </si>
  <si>
    <t>+550W电源</t>
  </si>
  <si>
    <t>+650W电源</t>
  </si>
  <si>
    <t>+750W模组电源</t>
  </si>
  <si>
    <t>+850W模组电源</t>
  </si>
  <si>
    <t>+1000W全模电源</t>
  </si>
  <si>
    <t>+1000W铂金雕电源</t>
  </si>
  <si>
    <t>三年质保/个人送保</t>
  </si>
  <si>
    <t>注册4年保/个人送保</t>
  </si>
  <si>
    <t>DLSS更强性能</t>
  </si>
  <si>
    <t>三风扇强散热</t>
  </si>
  <si>
    <t>炫酷RGB灯效</t>
  </si>
  <si>
    <t>RGB幻彩光轮</t>
  </si>
  <si>
    <t>AI绘图/SD推荐</t>
  </si>
  <si>
    <t>26cm短卡设计</t>
  </si>
  <si>
    <t>银白雪装限定</t>
  </si>
  <si>
    <t>纯白雪装限定</t>
  </si>
  <si>
    <t>强化金属背板</t>
  </si>
  <si>
    <t>刀刃式双风扇</t>
  </si>
  <si>
    <t>刀刃式三风扇</t>
  </si>
  <si>
    <t>双BIOS模式</t>
  </si>
  <si>
    <t>90mm导流风扇</t>
  </si>
  <si>
    <t>智能安静风扇</t>
  </si>
  <si>
    <t>四重高效散热</t>
  </si>
  <si>
    <t>旗舰豪华堆料</t>
  </si>
  <si>
    <t>8根复合式热管</t>
  </si>
  <si>
    <t>8热管+铜板散热</t>
  </si>
  <si>
    <t>LCD自定义屏幕</t>
  </si>
  <si>
    <t>9热管+铜板散热</t>
  </si>
  <si>
    <t>10热管+均热板</t>
  </si>
  <si>
    <t>智能温控风扇</t>
  </si>
  <si>
    <t>正逆转温控风扇</t>
  </si>
  <si>
    <t>文本丨利益点丨利益点1</t>
    <phoneticPr fontId="1" type="noConversion"/>
  </si>
  <si>
    <t>文本丨利益点丨利益点2</t>
    <phoneticPr fontId="1" type="noConversion"/>
  </si>
  <si>
    <t>文本丨利益点丨利益点3</t>
    <phoneticPr fontId="1" type="noConversion"/>
  </si>
  <si>
    <t>可显性丨显卡丨图层</t>
    <phoneticPr fontId="1" type="noConversion"/>
  </si>
  <si>
    <t>可显性丨电源丨图层</t>
    <phoneticPr fontId="1" type="noConversion"/>
  </si>
  <si>
    <t>可显性丨其他丨图12</t>
    <phoneticPr fontId="1" type="noConversion"/>
  </si>
  <si>
    <t>文本丨其他丨算力</t>
    <phoneticPr fontId="1" type="noConversion"/>
  </si>
  <si>
    <t>AI算力242TOPS</t>
  </si>
  <si>
    <t>AI算力353TOPS</t>
  </si>
  <si>
    <t>AI算力568TOPS</t>
  </si>
  <si>
    <t>AI算力706TOPS</t>
  </si>
  <si>
    <t>AI算力836TOPS</t>
  </si>
  <si>
    <t>AI算力1177TOPS</t>
  </si>
  <si>
    <t>算力框</t>
    <phoneticPr fontId="1" type="noConversion"/>
  </si>
  <si>
    <t>4060D6-8GD 单风扇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</si>
  <si>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</si>
  <si>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</si>
  <si>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</si>
  <si>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</si>
  <si>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</si>
  <si>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4070 WF3OC-12GD 风魔</t>
  </si>
  <si>
    <t>4070S EAGLE OC-12GD 猎鹰</t>
  </si>
  <si>
    <t>4070 SUPER EAGLE OC ICE冰猎鹰</t>
  </si>
  <si>
    <t>4070 GAMING OCV2-12GD 魔鹰</t>
  </si>
  <si>
    <t>4070S AERO OC-12GD 雪鹰</t>
  </si>
  <si>
    <t>4070S AORUS M-12GD 超级雕</t>
  </si>
  <si>
    <t>4080 S WF3-16GD风魔</t>
  </si>
  <si>
    <t>RX6500XT EAGLE-4GD猎鹰</t>
  </si>
  <si>
    <t>RX6600 EAGLE-8GD</t>
  </si>
  <si>
    <t>RX6750 GRE EAGLE 10G</t>
  </si>
  <si>
    <t>RX7700XT GAMING OC 12G魔鹰</t>
  </si>
  <si>
    <t>RX7900XTX GAMING OC-24GD魔鹰</t>
  </si>
  <si>
    <t>酷鱼 SFX 500W</t>
  </si>
  <si>
    <t>斗战550S</t>
  </si>
  <si>
    <t>斗战550 ICE</t>
  </si>
  <si>
    <t>斗战650 ICE</t>
  </si>
  <si>
    <t>P750GM</t>
  </si>
  <si>
    <t>UD850GM PG5</t>
  </si>
  <si>
    <t>UD850GM PG5 W</t>
  </si>
  <si>
    <t>UD1000GM PG5</t>
  </si>
  <si>
    <t>白金雕1000PG5 ICE</t>
  </si>
  <si>
    <t>WD650Evo</t>
  </si>
  <si>
    <t>斗战650S</t>
    <phoneticPr fontId="1" type="noConversion"/>
  </si>
  <si>
    <t xml:space="preserve"> </t>
    <phoneticPr fontId="1" type="noConversion"/>
  </si>
  <si>
    <t>技嘉 B760M GAMING AC DDR4</t>
  </si>
  <si>
    <t>技嘉 B760M GAMING WIFI PLUS 白魔鹰</t>
  </si>
  <si>
    <t>GAMING AC D4</t>
    <phoneticPr fontId="1" type="noConversion"/>
  </si>
  <si>
    <t>魔鹰WiFi</t>
    <phoneticPr fontId="1" type="noConversion"/>
  </si>
  <si>
    <t>白魔鹰WiFi</t>
    <phoneticPr fontId="1" type="noConversion"/>
  </si>
  <si>
    <t>GAMING PLUS</t>
    <phoneticPr fontId="1" type="noConversion"/>
  </si>
  <si>
    <t>B760M-GAMING-AC-DDR4-rev-1x</t>
  </si>
  <si>
    <t>B760M-GAMING-WIFI-PLUS-rev-11</t>
    <phoneticPr fontId="1" type="noConversion"/>
  </si>
  <si>
    <t>白色棍子</t>
    <phoneticPr fontId="1" type="noConversion"/>
  </si>
  <si>
    <t>含WiFI无线</t>
    <phoneticPr fontId="1" type="noConversion"/>
  </si>
  <si>
    <t>2.5G千兆网卡</t>
    <phoneticPr fontId="1" type="noConversion"/>
  </si>
  <si>
    <t>技嘉D5黑科技</t>
    <phoneticPr fontId="1" type="noConversion"/>
  </si>
  <si>
    <t>PCI-E 4.0设计</t>
    <phoneticPr fontId="1" type="noConversion"/>
  </si>
  <si>
    <t>13代I5</t>
  </si>
  <si>
    <t>4060Ti WF2OC-8GD 风魔V2</t>
  </si>
  <si>
    <t>4060Ti EAGLE OC-8GD 猎鹰OC</t>
  </si>
  <si>
    <t>4060Ti EAGLE OC ICE-8GD 冰猎鹰</t>
  </si>
  <si>
    <t>4060Ti GAMING OC-8GD 魔鹰</t>
  </si>
  <si>
    <t>4060Ti AERO OC-8GD 雪鹰</t>
  </si>
  <si>
    <t>4060Ti WF2OC-16GD 风魔</t>
  </si>
  <si>
    <t>4060Ti GAMING OC-16GD 魔鹰</t>
  </si>
  <si>
    <t>4070S WF3OC-12GD 风魔</t>
  </si>
  <si>
    <t>4070S EAGLE OC ICE-12GD 冰猎鹰</t>
  </si>
  <si>
    <t>4070S WUKONG OC 12G 黑悟空</t>
  </si>
  <si>
    <t>4070S GAMING OC-12GD 魔鹰</t>
  </si>
  <si>
    <t>4070Ti S WF3OC-16GD 风魔</t>
  </si>
  <si>
    <t>4070Ti S EAGLE OC-16GD 猎鹰</t>
  </si>
  <si>
    <t>4070Ti S EAGLE OC ICE-16GD 冰猎鹰</t>
  </si>
  <si>
    <t>4070Ti S GAMING OC-16GD 魔鹰</t>
  </si>
  <si>
    <t>4070Ti S AERO OC-16GD 雪鹰</t>
  </si>
  <si>
    <t>4070Ti S AORUS M-16GD 超级雕</t>
  </si>
  <si>
    <t>4080 S WF3V2-16GD风魔</t>
  </si>
  <si>
    <t>4080 S GAMING OC-16GD魔鹰</t>
  </si>
  <si>
    <t>4080 S AERO OC-16GD雪鹰</t>
  </si>
  <si>
    <t>4080 S AORUS M-16GD超级雕</t>
  </si>
  <si>
    <t>4090D WF3-24GD 风魔</t>
  </si>
  <si>
    <t>4090D GAMING-24GD 魔鹰</t>
  </si>
  <si>
    <t>4090D AERO-24GD 雪鹰</t>
  </si>
  <si>
    <t>RX7800XT GAMING OC 16G魔鹰</t>
  </si>
  <si>
    <t>无</t>
  </si>
  <si>
    <t>P550SS 黑色(ATX3.0/银牌)</t>
  </si>
  <si>
    <t>P550SS ICE 白色(ATX3.0/银牌)</t>
  </si>
  <si>
    <t>P650SS 黑色(ATX3.0/银牌)</t>
  </si>
  <si>
    <t>P650SS ICE 白色(ATX3.0/银牌)</t>
  </si>
  <si>
    <t>UD850GM PG5黑色(ATX3.0/PCIE5.0)</t>
  </si>
  <si>
    <t>UD850GM PG5白色(ATX3.0/PCIE5.0)</t>
  </si>
  <si>
    <t>UD1000GM PG5黑色(ATX3.0/PCIE5.0)</t>
  </si>
  <si>
    <t>AE1000PM PG5 ICE 白 白金雕</t>
  </si>
  <si>
    <t>免息</t>
    <phoneticPr fontId="1" type="noConversion"/>
  </si>
  <si>
    <t>保价</t>
    <phoneticPr fontId="1" type="noConversion"/>
  </si>
  <si>
    <t>12期</t>
  </si>
  <si>
    <t>24期</t>
  </si>
  <si>
    <t>标题</t>
    <phoneticPr fontId="1" type="noConversion"/>
  </si>
  <si>
    <t>利益点</t>
    <phoneticPr fontId="1" type="noConversion"/>
  </si>
  <si>
    <t>产品图片</t>
    <phoneticPr fontId="1" type="noConversion"/>
  </si>
  <si>
    <t>可显性丨其他丨图122</t>
  </si>
  <si>
    <t>算力</t>
    <phoneticPr fontId="1" type="noConversion"/>
  </si>
  <si>
    <t>其他组成</t>
    <phoneticPr fontId="1" type="noConversion"/>
  </si>
  <si>
    <t>文本丨大促标题丨标题1</t>
    <phoneticPr fontId="1" type="noConversion"/>
  </si>
  <si>
    <t>文本丨大促标题丨标题2</t>
    <phoneticPr fontId="1" type="noConversion"/>
  </si>
  <si>
    <t>710D3 2GL</t>
  </si>
  <si>
    <t>1030D4-2GL</t>
  </si>
  <si>
    <t>1030OC-2GI</t>
  </si>
  <si>
    <t>3050 WF2OC-6GD 风魔</t>
  </si>
  <si>
    <t>3060 WF2OC-12GD 风魔</t>
  </si>
  <si>
    <t>3060GAMING OC-12GD 2.0魔鹰</t>
  </si>
  <si>
    <t>GT710</t>
    <phoneticPr fontId="1" type="noConversion"/>
  </si>
  <si>
    <t>D3 2GL</t>
    <phoneticPr fontId="1" type="noConversion"/>
  </si>
  <si>
    <t>GT1030</t>
    <phoneticPr fontId="1" type="noConversion"/>
  </si>
  <si>
    <t>D4 2GL</t>
    <phoneticPr fontId="1" type="noConversion"/>
  </si>
  <si>
    <t>OC 2GL</t>
    <phoneticPr fontId="1" type="noConversion"/>
  </si>
  <si>
    <t>RTX3050</t>
    <phoneticPr fontId="1" type="noConversion"/>
  </si>
  <si>
    <t>12G 魔鹰</t>
    <phoneticPr fontId="1" type="noConversion"/>
  </si>
  <si>
    <t>12G 风魔</t>
    <phoneticPr fontId="1" type="noConversion"/>
  </si>
  <si>
    <t xml:space="preserve">  </t>
  </si>
  <si>
    <t>GT710  D3 2GL</t>
  </si>
  <si>
    <t>GT1030  D4 2GL</t>
  </si>
  <si>
    <t>GT1030  OC 2GL</t>
  </si>
  <si>
    <t>RTX3050  6G 风魔</t>
  </si>
  <si>
    <t>RTX4060  8G 单风扇</t>
  </si>
  <si>
    <t>RTX4060  8G风魔</t>
  </si>
  <si>
    <t>RTX4060  8G猎鹰</t>
  </si>
  <si>
    <t>RTX4060  8G冰猎鹰</t>
  </si>
  <si>
    <t>RTX4060  8G魔鹰</t>
  </si>
  <si>
    <t>RTX4060  8G雪鹰</t>
  </si>
  <si>
    <t>RTX4060Ti  8G 风魔</t>
  </si>
  <si>
    <t>RTX4060Ti  8G猎鹰</t>
  </si>
  <si>
    <t>RTX4060Ti  8G冰猎鹰</t>
  </si>
  <si>
    <t>RTX4060Ti  8G 魔鹰</t>
  </si>
  <si>
    <t>RTX4060Ti  8G雪鹰</t>
  </si>
  <si>
    <t>RTX4060Ti  风魔 16G</t>
  </si>
  <si>
    <t>RTX4060Ti  魔鹰 16G</t>
  </si>
  <si>
    <t>RTX4070 S  12G 风魔</t>
  </si>
  <si>
    <t>RTX4070 S  12G 猎鹰</t>
  </si>
  <si>
    <t>RTX4070 S  12G 冰猎鹰</t>
  </si>
  <si>
    <t>RTX4070 S  12G 魔鹰</t>
  </si>
  <si>
    <t>RTX4070 S  12G 雪鹰</t>
  </si>
  <si>
    <t>RTX4070 S  12G 超级雕</t>
  </si>
  <si>
    <t>4080 Super  16G 风魔</t>
  </si>
  <si>
    <t>4080 Super  16G 魔鹰</t>
  </si>
  <si>
    <t>4080 Super  16G 雪鹰</t>
  </si>
  <si>
    <t>4080 Super  16G 超级雕</t>
  </si>
  <si>
    <t>RTX4090D  24G 风魔</t>
  </si>
  <si>
    <t>RTX4090D  24G 魔鹰</t>
  </si>
  <si>
    <t>RTX4090D  24G 雪鹰</t>
  </si>
  <si>
    <t>RX6500XT  4G猎鹰</t>
  </si>
  <si>
    <t>RX6600  8G猎鹰</t>
  </si>
  <si>
    <t>RX6750 GRE  10G猎鹰</t>
  </si>
  <si>
    <t>RX7700XT  12G魔鹰</t>
  </si>
  <si>
    <t>RX7800XT  16G魔鹰</t>
  </si>
  <si>
    <t>RX7900XTX  24G魔鹰</t>
  </si>
  <si>
    <t>显卡带大促版本</t>
    <phoneticPr fontId="1" type="noConversion"/>
  </si>
  <si>
    <t>可显性丨其他丨图1</t>
    <phoneticPr fontId="1" type="noConversion"/>
  </si>
  <si>
    <t>可显性丨其他丨图2</t>
  </si>
  <si>
    <t>SUPER</t>
    <phoneticPr fontId="1" type="noConversion"/>
  </si>
  <si>
    <t>RTX4070 S  12G 黑悟空</t>
    <phoneticPr fontId="1" type="noConversion"/>
  </si>
  <si>
    <t>1030OC-2GI</t>
    <phoneticPr fontId="1" type="noConversion"/>
  </si>
  <si>
    <t>4070Ti S AI TOP 16G 涡轮</t>
  </si>
  <si>
    <t>RTX4070Ti S  16G AI TOP</t>
    <phoneticPr fontId="1" type="noConversion"/>
  </si>
  <si>
    <t>4080 S AORUS X ICE-16GD 钛金雕</t>
  </si>
  <si>
    <t>技嘉 Z790 AORUS XTREME X ICE 钛金雕</t>
  </si>
  <si>
    <t>RTX4080 Super  16G</t>
    <phoneticPr fontId="1" type="noConversion"/>
  </si>
  <si>
    <t>X-ICE钛金雕</t>
    <phoneticPr fontId="1" type="noConversion"/>
  </si>
  <si>
    <t xml:space="preserve"> + Z790钛金雕</t>
    <phoneticPr fontId="1" type="noConversion"/>
  </si>
  <si>
    <t>AI TOP涡轮卡</t>
    <phoneticPr fontId="1" type="noConversion"/>
  </si>
  <si>
    <t>RTX4070Ti S  16G</t>
    <phoneticPr fontId="1" type="noConversion"/>
  </si>
  <si>
    <t>钛金雕+主板</t>
    <phoneticPr fontId="1" type="noConversion"/>
  </si>
  <si>
    <t>RTX3060  12G 魔鹰</t>
    <phoneticPr fontId="1" type="noConversion"/>
  </si>
  <si>
    <t>技嘉 B760M GAMING X AX DDR4 (魔鹰X AX)</t>
  </si>
  <si>
    <t>技嘉 B760M GAMING X AX (魔鹰X AX)</t>
  </si>
  <si>
    <t>技嘉 B760M AORUS ELITE DDR4</t>
  </si>
  <si>
    <t>技嘉 B760M AORUS ELITE AX DDR4</t>
  </si>
  <si>
    <t>技嘉 B760M AORUS ELITE</t>
  </si>
  <si>
    <t>技嘉 B760M AORUS ELITE AX-P 新雕妹</t>
  </si>
  <si>
    <t>B760M GAMING AC DDR4</t>
  </si>
  <si>
    <t>B760M AORUS ELITE DDR4</t>
  </si>
  <si>
    <t>B760M AORUS ELITE AX DDR4</t>
  </si>
  <si>
    <t>B760M AORUS ELITE</t>
  </si>
  <si>
    <t>B760M AORUS PRO AX</t>
  </si>
  <si>
    <t>VGA+HDMI+DP</t>
  </si>
  <si>
    <t>HDMI+DP</t>
  </si>
  <si>
    <t>HDMI+DP+HDMI前置</t>
  </si>
  <si>
    <t>2*PCI-E 4.0+4*SATA</t>
  </si>
  <si>
    <t>WiFi 5+蓝牙</t>
    <phoneticPr fontId="1" type="noConversion"/>
  </si>
  <si>
    <t>2.5G网卡</t>
    <phoneticPr fontId="1" type="noConversion"/>
  </si>
  <si>
    <t>WiFi 6E+蓝牙</t>
    <phoneticPr fontId="1" type="noConversion"/>
  </si>
  <si>
    <t>无</t>
    <phoneticPr fontId="1" type="noConversion"/>
  </si>
  <si>
    <t>B760M GAMING WIFI PLUS</t>
  </si>
  <si>
    <t>B760M GAMING X AX DDR4</t>
  </si>
  <si>
    <t>B760M A ELITE DDR4</t>
  </si>
  <si>
    <t>B760M A ELITE AX DDR4</t>
  </si>
  <si>
    <t>B760M A ELITE X AX</t>
  </si>
  <si>
    <t>DDR4*2最大内存(64GB)</t>
  </si>
  <si>
    <t>DDR5*2最大内存(96GB)</t>
  </si>
  <si>
    <t>DDR4*4最大内存(128GB)</t>
  </si>
  <si>
    <t>DDR5*4最大内存(192GB)</t>
  </si>
  <si>
    <t>6+2+1相供电</t>
  </si>
  <si>
    <t>8+1+1相供电</t>
  </si>
  <si>
    <t>14+1+1相供电</t>
  </si>
  <si>
    <t>技嘉旗舰店</t>
    <phoneticPr fontId="1" type="noConversion"/>
  </si>
  <si>
    <t>快易拆设计</t>
  </si>
  <si>
    <t>副屏接口</t>
  </si>
  <si>
    <t>技嘉D5黑科技</t>
  </si>
  <si>
    <t>双M.2</t>
  </si>
  <si>
    <t>B760M AORUS ELITE AX-P</t>
    <phoneticPr fontId="1" type="noConversion"/>
  </si>
  <si>
    <t>雪雕WiFi</t>
    <phoneticPr fontId="1" type="noConversion"/>
  </si>
  <si>
    <t>新雕妹WiFi</t>
    <phoneticPr fontId="1" type="noConversion"/>
  </si>
  <si>
    <t>AORUS ELITE AX-P丨32</t>
    <phoneticPr fontId="1" type="noConversion"/>
  </si>
  <si>
    <t>AORUS ELITE AX 丨35</t>
    <phoneticPr fontId="1" type="noConversion"/>
  </si>
  <si>
    <t>12+1+1相供电</t>
    <phoneticPr fontId="1" type="noConversion"/>
  </si>
  <si>
    <t>C:\Users\irx999\Desktop\git\ps_of_py\psd</t>
    <phoneticPr fontId="1" type="noConversion"/>
  </si>
  <si>
    <t>技嘉 B650M H</t>
  </si>
  <si>
    <t>技嘉 B650M GAMING WIFI</t>
  </si>
  <si>
    <t>技嘉 B650M AORUS ELITE</t>
  </si>
  <si>
    <t>技嘉 B650M AORUS PRO AX</t>
  </si>
  <si>
    <t>技嘉 B650M AORUS ELITE AX ICE 冰雕</t>
  </si>
  <si>
    <t>技嘉 B650 EAGLE AX</t>
  </si>
  <si>
    <t>技嘉 B650E A ELITE X AX ICE</t>
  </si>
  <si>
    <t>技嘉 X870 EAGLE WIFI7 猎鹰</t>
  </si>
  <si>
    <t>技嘉 X870 GAMING X WIFI7 魔鹰X</t>
  </si>
  <si>
    <t>技嘉 X870 AORUS ELITE WIFI7 小雕</t>
  </si>
  <si>
    <t>技嘉 X870 AORUS ELITE WIFI7 ICE 冰雕</t>
  </si>
  <si>
    <t>技嘉 X870E AORUS PRO ICE 冰雕</t>
  </si>
  <si>
    <t>B650M H</t>
    <phoneticPr fontId="1" type="noConversion"/>
  </si>
  <si>
    <t>B650 EAGLE AX</t>
  </si>
  <si>
    <t>B650M GAMING WIFI</t>
    <phoneticPr fontId="1" type="noConversion"/>
  </si>
  <si>
    <t>B650M AORUS ELITE</t>
    <phoneticPr fontId="1" type="noConversion"/>
  </si>
  <si>
    <t>技嘉 B650E A PRO X USB4 电竞雕</t>
    <phoneticPr fontId="1" type="noConversion"/>
  </si>
  <si>
    <t>B650E AORUS PRO X USB4</t>
    <phoneticPr fontId="1" type="noConversion"/>
  </si>
  <si>
    <t>B650E AORUS ELITE X AX ICE</t>
    <phoneticPr fontId="1" type="noConversion"/>
  </si>
  <si>
    <t>B650M AORUS ELITE AX ICE</t>
    <phoneticPr fontId="1" type="noConversion"/>
  </si>
  <si>
    <t>B650M AORUS PRO AX</t>
    <phoneticPr fontId="1" type="noConversion"/>
  </si>
  <si>
    <t>X670 AORUS ELITE AX</t>
    <phoneticPr fontId="1" type="noConversion"/>
  </si>
  <si>
    <t>B650M</t>
    <phoneticPr fontId="1" type="noConversion"/>
  </si>
  <si>
    <t>B650</t>
    <phoneticPr fontId="1" type="noConversion"/>
  </si>
  <si>
    <t>B650E</t>
    <phoneticPr fontId="1" type="noConversion"/>
  </si>
  <si>
    <t>X670</t>
    <phoneticPr fontId="1" type="noConversion"/>
  </si>
  <si>
    <t>耐久之选</t>
    <phoneticPr fontId="1" type="noConversion"/>
  </si>
  <si>
    <t>冰雕WiFi</t>
    <phoneticPr fontId="1" type="noConversion"/>
  </si>
  <si>
    <t>PRO X USB4</t>
    <phoneticPr fontId="1" type="noConversion"/>
  </si>
  <si>
    <t>技嘉 X670 AORUS ELITE AX</t>
    <phoneticPr fontId="1" type="noConversion"/>
  </si>
  <si>
    <t>小雕WiFi</t>
    <phoneticPr fontId="1" type="noConversion"/>
  </si>
  <si>
    <t>16+2+2相供电</t>
    <phoneticPr fontId="1" type="noConversion"/>
  </si>
  <si>
    <t>全覆盖散热片</t>
    <phoneticPr fontId="1" type="noConversion"/>
  </si>
  <si>
    <t>双USB Type-C</t>
    <phoneticPr fontId="1" type="noConversion"/>
  </si>
  <si>
    <t>12+2相数字供电</t>
    <phoneticPr fontId="1" type="noConversion"/>
  </si>
  <si>
    <t>银白雪装马甲</t>
    <phoneticPr fontId="1" type="noConversion"/>
  </si>
  <si>
    <t>千兆高速网卡</t>
  </si>
  <si>
    <t>前置20Gb/s</t>
    <phoneticPr fontId="1" type="noConversion"/>
  </si>
  <si>
    <t>Type-C接口</t>
    <phoneticPr fontId="1" type="noConversion"/>
  </si>
  <si>
    <t>含Wi-Fi</t>
    <phoneticPr fontId="1" type="noConversion"/>
  </si>
  <si>
    <t>带DP+HDMI</t>
    <phoneticPr fontId="1" type="noConversion"/>
  </si>
  <si>
    <t>显示接口</t>
    <phoneticPr fontId="1" type="noConversion"/>
  </si>
  <si>
    <t>PCIe 4.0  M.2插槽</t>
    <phoneticPr fontId="1" type="noConversion"/>
  </si>
  <si>
    <t>千兆高速网卡</t>
    <phoneticPr fontId="1" type="noConversion"/>
  </si>
  <si>
    <t>全覆盖马甲</t>
    <phoneticPr fontId="1" type="noConversion"/>
  </si>
  <si>
    <t>WIFI白色</t>
    <phoneticPr fontId="1" type="noConversion"/>
  </si>
  <si>
    <t>WIFI低端</t>
    <phoneticPr fontId="1" type="noConversion"/>
  </si>
  <si>
    <t>WIFI白棍子</t>
  </si>
  <si>
    <t>intel 酷睿 14,13,12代</t>
    <phoneticPr fontId="1" type="noConversion"/>
  </si>
  <si>
    <t>B760M AORUS ELITE X AX 冰雕丨40</t>
    <phoneticPr fontId="1" type="noConversion"/>
  </si>
  <si>
    <t>B760M GAMING X AX (魔鹰X AX)丨40</t>
    <phoneticPr fontId="1" type="noConversion"/>
  </si>
  <si>
    <t>B760M GAMING X AX DDR4 (魔鹰X AX)丨36</t>
    <phoneticPr fontId="1" type="noConversion"/>
  </si>
  <si>
    <t>P550S</t>
  </si>
  <si>
    <t>P550ICE</t>
  </si>
  <si>
    <t>P650S</t>
  </si>
  <si>
    <t>P650ICE</t>
  </si>
  <si>
    <t>P650G</t>
  </si>
  <si>
    <t>UD750GM</t>
  </si>
  <si>
    <t>UD750GM-PG5</t>
  </si>
  <si>
    <t>UD850GM-PG5</t>
  </si>
  <si>
    <t>UD850GM-PG5 雪鹰</t>
  </si>
  <si>
    <t>UD1000GM-PG5</t>
  </si>
  <si>
    <t>UD1300GM-PG5</t>
  </si>
  <si>
    <t>白金雕1000ICE</t>
  </si>
  <si>
    <t>白金雕1000PG5</t>
  </si>
  <si>
    <t>水雕II 360</t>
  </si>
  <si>
    <t>冰雕 360</t>
  </si>
  <si>
    <t>水雕II 360X</t>
  </si>
  <si>
    <t>冰雕 360X</t>
  </si>
  <si>
    <t>AORUS H1</t>
  </si>
  <si>
    <t>C301G(黑)</t>
  </si>
  <si>
    <t>C301G(白)</t>
  </si>
  <si>
    <t>AC400G</t>
  </si>
  <si>
    <t>C102G</t>
  </si>
  <si>
    <t>C102GI</t>
  </si>
  <si>
    <t>C201G</t>
  </si>
  <si>
    <t>C201GI</t>
  </si>
  <si>
    <t>AC601G</t>
  </si>
  <si>
    <t>AC601 ICE</t>
  </si>
  <si>
    <t>C102GI 鹰神</t>
  </si>
  <si>
    <t xml:space="preserve">技嘉 NVME 256G M.2 猛盘 </t>
  </si>
  <si>
    <t>技嘉 猛盘E 500G</t>
  </si>
  <si>
    <t>技嘉 猛盘E 1T</t>
  </si>
  <si>
    <t>AORUS GEN5 512K SSD 1TB</t>
  </si>
  <si>
    <t>AORUS GEN5 512K SSD 2TB</t>
  </si>
  <si>
    <t>D500 16G 60C30黑雕甲</t>
  </si>
  <si>
    <t>D500 16G 60C30白雕甲</t>
  </si>
  <si>
    <t>D500 16G 64C32黑雕甲</t>
  </si>
  <si>
    <t>D500 16G 64C32白雕甲</t>
  </si>
  <si>
    <t>D500G 16Gx2 60C30黑雕R</t>
  </si>
  <si>
    <t>D500G 16Gx2 60C30白雕R</t>
  </si>
  <si>
    <t>D500G 16Gx2 64C32黑雕R</t>
  </si>
  <si>
    <t>D500G 16Gx2 64C32白雕R</t>
  </si>
  <si>
    <t>D500G 16Gx2 68C34黑雕R</t>
  </si>
  <si>
    <t>D500G 16Gx2 68C34白雕R</t>
  </si>
  <si>
    <t>D500G 16Gx2 72C34黑雕R</t>
  </si>
  <si>
    <t>D500G 16Gx2 72C34白雕R</t>
  </si>
  <si>
    <t>D500G 24Gx2 64C32黑雕R</t>
  </si>
  <si>
    <t>D500G 24Gx2 64C32白雕R</t>
  </si>
  <si>
    <t>GS27FC</t>
  </si>
  <si>
    <t>G27QC A</t>
  </si>
  <si>
    <t>GS27QC</t>
  </si>
  <si>
    <t>GS32QC</t>
  </si>
  <si>
    <t>GS27F</t>
  </si>
  <si>
    <t>GS27Q</t>
  </si>
  <si>
    <t>G27QA</t>
  </si>
  <si>
    <t>M27Q</t>
  </si>
  <si>
    <t>GS32Q</t>
  </si>
  <si>
    <t>GS27Q X</t>
  </si>
  <si>
    <t xml:space="preserve">G27QX </t>
  </si>
  <si>
    <t>M28U</t>
  </si>
  <si>
    <t>M32U</t>
  </si>
  <si>
    <t>G34WQC A</t>
  </si>
  <si>
    <t>FO27Q2</t>
  </si>
  <si>
    <t>FO27Q3</t>
  </si>
  <si>
    <t>M3</t>
  </si>
  <si>
    <t>白金雕1000ICE</t>
    <phoneticPr fontId="1" type="noConversion"/>
  </si>
  <si>
    <t>白金雕1000PG5</t>
    <phoneticPr fontId="1" type="noConversion"/>
  </si>
  <si>
    <t>战圣P650G</t>
    <phoneticPr fontId="1" type="noConversion"/>
  </si>
  <si>
    <t>战圣P750GM</t>
    <phoneticPr fontId="1" type="noConversion"/>
  </si>
  <si>
    <t>魔鹰UD750GM-PG5</t>
    <phoneticPr fontId="1" type="noConversion"/>
  </si>
  <si>
    <t>魔鹰UD850GM-PG5</t>
    <phoneticPr fontId="1" type="noConversion"/>
  </si>
  <si>
    <t>雪鹰UD850GM-PG5</t>
    <phoneticPr fontId="1" type="noConversion"/>
  </si>
  <si>
    <t>魔鹰UD1000GM-PG5</t>
    <phoneticPr fontId="1" type="noConversion"/>
  </si>
  <si>
    <t>魔鹰UD1300GM-PG5</t>
    <phoneticPr fontId="1" type="noConversion"/>
  </si>
  <si>
    <t>斗战P550S</t>
    <phoneticPr fontId="1" type="noConversion"/>
  </si>
  <si>
    <t>三年质保/ATX3.0设计/智能温控</t>
    <phoneticPr fontId="1" type="noConversion"/>
  </si>
  <si>
    <t>斗战P550ICE</t>
    <phoneticPr fontId="1" type="noConversion"/>
  </si>
  <si>
    <t>斗战P650S</t>
    <phoneticPr fontId="1" type="noConversion"/>
  </si>
  <si>
    <t>斗战P650ICE</t>
    <phoneticPr fontId="1" type="noConversion"/>
  </si>
  <si>
    <t>幽灵C102G</t>
  </si>
  <si>
    <t>全景钢化玻璃</t>
    <phoneticPr fontId="1" type="noConversion"/>
  </si>
  <si>
    <t>幽灵C102GI</t>
  </si>
  <si>
    <t>+P750GM电源</t>
    <phoneticPr fontId="1" type="noConversion"/>
  </si>
  <si>
    <t>+水雕II 360</t>
  </si>
  <si>
    <t>+冰雕 360</t>
  </si>
  <si>
    <t>破空C201G</t>
  </si>
  <si>
    <t>破空C201GI</t>
  </si>
  <si>
    <t>+UD850GM-PG5</t>
  </si>
  <si>
    <t>+水雕II 360X</t>
  </si>
  <si>
    <t>+冰雕 360X</t>
  </si>
  <si>
    <t>幽灵C301G(黑)</t>
  </si>
  <si>
    <t>支持双360水冷</t>
    <phoneticPr fontId="1" type="noConversion"/>
  </si>
  <si>
    <t>+P550S电源</t>
    <phoneticPr fontId="1" type="noConversion"/>
  </si>
  <si>
    <t>+P650S电源</t>
    <phoneticPr fontId="1" type="noConversion"/>
  </si>
  <si>
    <t>幽灵C301G(白)</t>
  </si>
  <si>
    <t>+P550ICE电源</t>
    <phoneticPr fontId="1" type="noConversion"/>
  </si>
  <si>
    <t>+P650ICE电源</t>
    <phoneticPr fontId="1" type="noConversion"/>
  </si>
  <si>
    <t>加号</t>
    <phoneticPr fontId="1" type="noConversion"/>
  </si>
  <si>
    <t>不含其他</t>
    <phoneticPr fontId="1" type="noConversion"/>
  </si>
  <si>
    <t>战鹰AC400G</t>
    <phoneticPr fontId="1" type="noConversion"/>
  </si>
  <si>
    <t>+P550S电源</t>
  </si>
  <si>
    <t>+P650S电源</t>
  </si>
  <si>
    <t>+P750GM电源</t>
  </si>
  <si>
    <t>五年质保/双CPU8Pin/单路+12V丨30</t>
    <phoneticPr fontId="1" type="noConversion"/>
  </si>
  <si>
    <t>三年质保/ATX3.0设计/智能温控丨30</t>
    <phoneticPr fontId="1" type="noConversion"/>
  </si>
  <si>
    <t>五年质保/ATX3.0认证/原生16Pin丨30</t>
    <phoneticPr fontId="1" type="noConversion"/>
  </si>
  <si>
    <t>10年质保/ATX3.0认证/原生16Pin丨30</t>
    <phoneticPr fontId="1" type="noConversion"/>
  </si>
  <si>
    <t>五年质保/卡扣式风扇/可旋转冷头丨30</t>
    <phoneticPr fontId="1" type="noConversion"/>
  </si>
  <si>
    <t>六年质保 / 侧吸风扇 / LCD屏幕丨30</t>
    <phoneticPr fontId="1" type="noConversion"/>
  </si>
  <si>
    <t>+UD850GM-PG5 雪鹰丨30</t>
    <phoneticPr fontId="1" type="noConversion"/>
  </si>
  <si>
    <t>支持显卡竖装/全景钢化玻璃丨30</t>
    <phoneticPr fontId="1" type="noConversion"/>
  </si>
  <si>
    <t>C301G</t>
    <phoneticPr fontId="1" type="noConversion"/>
  </si>
  <si>
    <t>C301GI</t>
    <phoneticPr fontId="1" type="noConversion"/>
  </si>
  <si>
    <t>+UD1000GM-PG5丨30</t>
    <phoneticPr fontId="1" type="noConversion"/>
  </si>
  <si>
    <t>+UD850GM-PG5电源丨30</t>
    <phoneticPr fontId="1" type="noConversion"/>
  </si>
  <si>
    <t>+UD850GM-PG5丨30</t>
    <phoneticPr fontId="1" type="noConversion"/>
  </si>
  <si>
    <t>双面钢化玻璃/支持420水冷丨30</t>
    <phoneticPr fontId="1" type="noConversion"/>
  </si>
  <si>
    <t>+UD1000GM-PG5电源丨30</t>
    <phoneticPr fontId="1" type="noConversion"/>
  </si>
  <si>
    <t>+UD1300GM-PG5电源丨30</t>
    <phoneticPr fontId="1" type="noConversion"/>
  </si>
  <si>
    <t>钢化玻璃/支持360水冷丨30</t>
    <phoneticPr fontId="1" type="noConversion"/>
  </si>
  <si>
    <t>AC601GI</t>
    <phoneticPr fontId="1" type="noConversion"/>
  </si>
  <si>
    <t>180Hz刷新/1500R曲面</t>
    <phoneticPr fontId="1" type="noConversion"/>
  </si>
  <si>
    <t>2K165Hz刷新/1500R曲面</t>
    <phoneticPr fontId="1" type="noConversion"/>
  </si>
  <si>
    <t>2K170Hz刷新/1500R曲面</t>
    <phoneticPr fontId="1" type="noConversion"/>
  </si>
  <si>
    <t>+夜鹰M3电竞鼠标</t>
    <phoneticPr fontId="1" type="noConversion"/>
  </si>
  <si>
    <t>夜鹰M3</t>
    <phoneticPr fontId="1" type="noConversion"/>
  </si>
  <si>
    <t>+AORUS H1灵鹰耳机</t>
    <phoneticPr fontId="1" type="noConversion"/>
  </si>
  <si>
    <t>灵鹰H1</t>
    <phoneticPr fontId="1" type="noConversion"/>
  </si>
  <si>
    <t>SS IPS/170Hz刷新</t>
    <phoneticPr fontId="1" type="noConversion"/>
  </si>
  <si>
    <t>SS IPS/170Hz刷新/2K</t>
    <phoneticPr fontId="1" type="noConversion"/>
  </si>
  <si>
    <t>SS IPS/180Hz刷新/2K</t>
    <phoneticPr fontId="1" type="noConversion"/>
  </si>
  <si>
    <t>准4K带鱼屏/1500R曲面</t>
    <phoneticPr fontId="1" type="noConversion"/>
  </si>
  <si>
    <t>SS IPS/170Hz刷新/游戏辅助</t>
    <phoneticPr fontId="1" type="noConversion"/>
  </si>
  <si>
    <t>SS IPS/240Hz刷新/游戏辅助</t>
    <phoneticPr fontId="1" type="noConversion"/>
  </si>
  <si>
    <t>QD-OLED/240Hz刷新/KVM切换</t>
    <phoneticPr fontId="1" type="noConversion"/>
  </si>
  <si>
    <t>QD-OLED/360Hz刷新/KVM切换</t>
    <phoneticPr fontId="1" type="noConversion"/>
  </si>
  <si>
    <t>4060 WF2OC-8GD 风魔</t>
    <phoneticPr fontId="1" type="noConversion"/>
  </si>
  <si>
    <t>4070Ti S WF3OC-16GD 风魔MAX</t>
  </si>
  <si>
    <t>16G 风魔MAX</t>
    <phoneticPr fontId="1" type="noConversion"/>
  </si>
  <si>
    <t xml:space="preserve">  风魔MAX</t>
    <phoneticPr fontId="1" type="noConversion"/>
  </si>
  <si>
    <t xml:space="preserve">RTX4070Ti S  16G </t>
    <phoneticPr fontId="1" type="noConversion"/>
  </si>
  <si>
    <t>测试修复/显卡</t>
    <phoneticPr fontId="1" type="noConversion"/>
  </si>
  <si>
    <t xml:space="preserve"> EAGLE OC 猎鹰</t>
    <phoneticPr fontId="1" type="noConversion"/>
  </si>
  <si>
    <t xml:space="preserve"> EAGLE ICE OC 冰猎鹰</t>
    <phoneticPr fontId="1" type="noConversion"/>
  </si>
  <si>
    <t>MASTER OC 超级雕</t>
    <phoneticPr fontId="1" type="noConversion"/>
  </si>
  <si>
    <t>AERO OC 雪鹰</t>
    <phoneticPr fontId="1" type="noConversion"/>
  </si>
  <si>
    <t>GAMING OC 魔鹰</t>
    <phoneticPr fontId="1" type="noConversion"/>
  </si>
  <si>
    <t>RTX4070Ti S  16G 风魔MAX丨37</t>
  </si>
  <si>
    <t>RTX4070Ti S  16G 猎鹰丨37</t>
  </si>
  <si>
    <t>RTX4070Ti S  16G 冰猎鹰丨37</t>
  </si>
  <si>
    <t>RTX4070Ti S  16G 魔鹰丨37</t>
  </si>
  <si>
    <t>RTX4070Ti S  16G 雪鹰丨37</t>
  </si>
  <si>
    <t>RTX4070Ti S  16G 超级雕丨37</t>
  </si>
  <si>
    <t xml:space="preserve"> WF 风魔 MAX</t>
    <phoneticPr fontId="1" type="noConversion"/>
  </si>
  <si>
    <t>WF OC 风魔</t>
    <phoneticPr fontId="1" type="noConversion"/>
  </si>
  <si>
    <t>RTX4070Ti S  16</t>
    <phoneticPr fontId="1" type="noConversion"/>
  </si>
  <si>
    <t>RTX4070 S  12G</t>
    <phoneticPr fontId="1" type="noConversion"/>
  </si>
  <si>
    <t>RTX4070 GAMING  OC</t>
    <phoneticPr fontId="1" type="noConversion"/>
  </si>
  <si>
    <t>AI算力446 TOPS</t>
    <phoneticPr fontId="1" type="noConversion"/>
  </si>
  <si>
    <t>12G 魔鹰V2</t>
    <phoneticPr fontId="1" type="noConversion"/>
  </si>
  <si>
    <t>RTX4070 魔鹰V2 12G</t>
    <phoneticPr fontId="1" type="noConversion"/>
  </si>
  <si>
    <t>FO32U2</t>
    <phoneticPr fontId="1" type="noConversion"/>
  </si>
  <si>
    <t>FO32U2P</t>
    <phoneticPr fontId="1" type="noConversion"/>
  </si>
  <si>
    <t>QD-OLED/240Hz刷新/KVM切换丨35</t>
    <phoneticPr fontId="1" type="noConversion"/>
  </si>
  <si>
    <t>QD-OLED/240Hz刷新/DP2.1 丨35</t>
    <phoneticPr fontId="1" type="noConversion"/>
  </si>
  <si>
    <t>技嘉 B650I AORUS ULTRA</t>
  </si>
  <si>
    <t>B650I</t>
    <phoneticPr fontId="1" type="noConversion"/>
  </si>
  <si>
    <t>B650I AORUS ULTRA</t>
    <phoneticPr fontId="1" type="noConversion"/>
  </si>
  <si>
    <t>12层电路板设计</t>
    <phoneticPr fontId="1" type="noConversion"/>
  </si>
  <si>
    <t>8+2+1相直出供电</t>
    <phoneticPr fontId="1" type="noConversion"/>
  </si>
  <si>
    <t>AROUS ULTRA丨38</t>
    <phoneticPr fontId="1" type="noConversion"/>
  </si>
  <si>
    <t>主板参数</t>
    <phoneticPr fontId="1" type="noConversion"/>
  </si>
  <si>
    <t>参数</t>
    <phoneticPr fontId="1" type="noConversion"/>
  </si>
  <si>
    <t>显卡参数</t>
    <phoneticPr fontId="1" type="noConversion"/>
  </si>
  <si>
    <t>核心频率</t>
    <phoneticPr fontId="1" type="noConversion"/>
  </si>
  <si>
    <t>CUDA数量</t>
    <phoneticPr fontId="1" type="noConversion"/>
  </si>
  <si>
    <t>显存频率/速率（Gbps）</t>
    <phoneticPr fontId="1" type="noConversion"/>
  </si>
  <si>
    <t>显存大小 （GB）</t>
  </si>
  <si>
    <t>显存类型</t>
  </si>
  <si>
    <t>显存位宽（bit）</t>
  </si>
  <si>
    <t>供电接口</t>
  </si>
  <si>
    <t>GV-R79XTXGAMING-OC-24GD</t>
  </si>
  <si>
    <t>GV-R78XTGAMING-OC-16GD</t>
  </si>
  <si>
    <t>GV-R77XTGAMING-OC-12GD</t>
  </si>
  <si>
    <t>GV-R675GREEAGLE-10GD</t>
  </si>
  <si>
    <t>GV-R66EAGLE-8GD</t>
  </si>
  <si>
    <t>GV-R65XTEAGLE-4GD</t>
  </si>
  <si>
    <t>GDDR6</t>
  </si>
  <si>
    <t>8 Pin*2</t>
  </si>
  <si>
    <t xml:space="preserve"> 20 Gbps</t>
    <phoneticPr fontId="1" type="noConversion"/>
  </si>
  <si>
    <t>19 Gbps</t>
    <phoneticPr fontId="1" type="noConversion"/>
  </si>
  <si>
    <t>18 Gbps</t>
    <phoneticPr fontId="1" type="noConversion"/>
  </si>
  <si>
    <t>16 Gbps</t>
    <phoneticPr fontId="1" type="noConversion"/>
  </si>
  <si>
    <t>14 Gbps</t>
    <phoneticPr fontId="1" type="noConversion"/>
  </si>
  <si>
    <t>24 GB</t>
    <phoneticPr fontId="1" type="noConversion"/>
  </si>
  <si>
    <t>16 GB</t>
  </si>
  <si>
    <t>12 GB</t>
  </si>
  <si>
    <t>10 GB</t>
  </si>
  <si>
    <t>8 GB</t>
  </si>
  <si>
    <t>4 GB</t>
  </si>
  <si>
    <t>384 bit</t>
    <phoneticPr fontId="1" type="noConversion"/>
  </si>
  <si>
    <t>256 bit</t>
  </si>
  <si>
    <t>192 bit</t>
  </si>
  <si>
    <t>160 bit</t>
  </si>
  <si>
    <t>128 bit</t>
  </si>
  <si>
    <t>64 bit</t>
  </si>
  <si>
    <t>A卡</t>
    <phoneticPr fontId="1" type="noConversion"/>
  </si>
  <si>
    <t>2525 MHz</t>
    <phoneticPr fontId="1" type="noConversion"/>
  </si>
  <si>
    <t>2565 MHz</t>
  </si>
  <si>
    <t>2599 MHz</t>
  </si>
  <si>
    <t>2450 MHz</t>
  </si>
  <si>
    <t>2491 MHz</t>
  </si>
  <si>
    <t>2815 MHz</t>
  </si>
  <si>
    <t>331*138*50mm</t>
  </si>
  <si>
    <t>302*130*56mm</t>
  </si>
  <si>
    <t>282*113*40mm</t>
  </si>
  <si>
    <t>282*113*41mm</t>
  </si>
  <si>
    <t>192*117*38mm</t>
  </si>
  <si>
    <t>RX 7900 XTX GAMING OC 24G 魔鹰</t>
    <phoneticPr fontId="1" type="noConversion"/>
  </si>
  <si>
    <t>RX 7800 XT GAMING OC 16G 魔鹰</t>
    <phoneticPr fontId="1" type="noConversion"/>
  </si>
  <si>
    <t>RX 7700 XT GAMING OC 12G 魔鹰</t>
    <phoneticPr fontId="1" type="noConversion"/>
  </si>
  <si>
    <t>RX 6500 XT EAGLE 4G 猎鹰</t>
    <phoneticPr fontId="1" type="noConversion"/>
  </si>
  <si>
    <t>RX 6600 EAGLE 8G 猎鹰</t>
    <phoneticPr fontId="1" type="noConversion"/>
  </si>
  <si>
    <t>RX 6750 GRE EAGLE 10G 猎鹰</t>
    <phoneticPr fontId="1" type="noConversion"/>
  </si>
  <si>
    <t>8 Pin*1</t>
  </si>
  <si>
    <t>6 Pin*1</t>
  </si>
  <si>
    <t>M-atx-24.4 x22.5cm</t>
    <phoneticPr fontId="1" type="noConversion"/>
  </si>
  <si>
    <t>B760M GAMING WIFI PLUS 白魔鹰丨35</t>
    <phoneticPr fontId="1" type="noConversion"/>
  </si>
  <si>
    <t>B760M E </t>
  </si>
  <si>
    <t>B760M E</t>
    <phoneticPr fontId="1" type="noConversion"/>
  </si>
  <si>
    <t>耐久之选</t>
    <phoneticPr fontId="1" type="noConversion"/>
  </si>
  <si>
    <t>DDR5</t>
    <phoneticPr fontId="1" type="noConversion"/>
  </si>
  <si>
    <t>EZ-Latch快易拆</t>
    <phoneticPr fontId="1" type="noConversion"/>
  </si>
  <si>
    <t>千兆高速网卡</t>
    <phoneticPr fontId="1" type="noConversion"/>
  </si>
  <si>
    <t>B760M E</t>
    <phoneticPr fontId="1" type="noConversion"/>
  </si>
  <si>
    <t>双PCie4.0</t>
    <phoneticPr fontId="1" type="noConversion"/>
  </si>
  <si>
    <t>M.2接口</t>
    <phoneticPr fontId="1" type="noConversion"/>
  </si>
  <si>
    <t>13代I3</t>
    <phoneticPr fontId="1" type="noConversion"/>
  </si>
  <si>
    <t>技嘉 B760M E</t>
    <phoneticPr fontId="1" type="noConversion"/>
  </si>
  <si>
    <t>6+1+1相供电</t>
    <phoneticPr fontId="1" type="noConversion"/>
  </si>
  <si>
    <t>千兆网卡</t>
    <phoneticPr fontId="1" type="noConversion"/>
  </si>
  <si>
    <t>多USB接口</t>
    <phoneticPr fontId="1" type="noConversion"/>
  </si>
  <si>
    <t>DDR5*2最大内存(96GB)</t>
    <phoneticPr fontId="1" type="noConversion"/>
  </si>
  <si>
    <t>M-atx-23.0 x21.5cm</t>
    <phoneticPr fontId="1" type="noConversion"/>
  </si>
  <si>
    <t>DDR5*2最大支持128G</t>
    <phoneticPr fontId="1" type="noConversion"/>
  </si>
  <si>
    <t>2.5G网卡*2</t>
    <phoneticPr fontId="1" type="noConversion"/>
  </si>
  <si>
    <t>5*M.2 含2*PCI-E 5.0</t>
    <phoneticPr fontId="1" type="noConversion"/>
  </si>
  <si>
    <t>技嘉 B650M GAMING PLUS WIFI</t>
    <phoneticPr fontId="1" type="noConversion"/>
  </si>
  <si>
    <t>魔鹰PLUS</t>
    <phoneticPr fontId="1" type="noConversion"/>
  </si>
  <si>
    <t>技嘉 B650M AORUS ELITE AX</t>
    <phoneticPr fontId="1" type="noConversion"/>
  </si>
  <si>
    <t>B650M GAMING WIFI PLUS</t>
    <phoneticPr fontId="1" type="noConversion"/>
  </si>
  <si>
    <t>小雕 AX</t>
    <phoneticPr fontId="1" type="noConversion"/>
  </si>
  <si>
    <t>A ELITE AX ICE丨35</t>
    <phoneticPr fontId="1" type="noConversion"/>
  </si>
  <si>
    <t>GAMING WIFI丨38</t>
    <phoneticPr fontId="1" type="noConversion"/>
  </si>
  <si>
    <t>AORUS ELITE丨38</t>
    <phoneticPr fontId="1" type="noConversion"/>
  </si>
  <si>
    <t>A ELITE  X ICE丨38</t>
    <phoneticPr fontId="1" type="noConversion"/>
  </si>
  <si>
    <t>RTX3060</t>
    <phoneticPr fontId="1" type="noConversion"/>
  </si>
  <si>
    <t>RTX3060  12G 风魔</t>
    <phoneticPr fontId="1" type="noConversion"/>
  </si>
  <si>
    <t>9000系列 锐龙57</t>
    <phoneticPr fontId="1" type="noConversion"/>
  </si>
  <si>
    <t>RTX4060  8G</t>
    <phoneticPr fontId="1" type="noConversion"/>
  </si>
  <si>
    <t>X870I AORUS PRO ICE</t>
    <phoneticPr fontId="1" type="noConversion"/>
  </si>
  <si>
    <t>8+2+1相供电设计</t>
    <phoneticPr fontId="1" type="noConversion"/>
  </si>
  <si>
    <t>2*M.2 含1*PCI-E 5.0</t>
    <phoneticPr fontId="1" type="noConversion"/>
  </si>
  <si>
    <t>X870I-AORUS-PRO-ICE</t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</si>
  <si>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X870E AORUS MASTER </t>
    </r>
    <r>
      <rPr>
        <sz val="9.5"/>
        <color theme="1"/>
        <rFont val="微软雅黑"/>
        <family val="2"/>
        <charset val="134"/>
      </rPr>
      <t>超级雕</t>
    </r>
    <phoneticPr fontId="1" type="noConversion"/>
  </si>
  <si>
    <r>
      <rPr>
        <sz val="9.5"/>
        <color theme="1"/>
        <rFont val="微软雅黑"/>
        <family val="2"/>
        <charset val="134"/>
      </rPr>
      <t>技嘉</t>
    </r>
    <r>
      <rPr>
        <sz val="9.5"/>
        <color theme="1"/>
        <rFont val="Arial"/>
        <family val="2"/>
      </rPr>
      <t xml:space="preserve"> X870I AORUS PRO ICE(</t>
    </r>
    <r>
      <rPr>
        <sz val="9.5"/>
        <color theme="1"/>
        <rFont val="微软雅黑"/>
        <family val="2"/>
        <charset val="134"/>
      </rPr>
      <t>迷你冰雕</t>
    </r>
    <r>
      <rPr>
        <sz val="9.5"/>
        <color theme="1"/>
        <rFont val="Arial"/>
        <family val="2"/>
      </rPr>
      <t>)</t>
    </r>
    <phoneticPr fontId="1" type="noConversion"/>
  </si>
  <si>
    <t>X870I</t>
    <phoneticPr fontId="1" type="noConversion"/>
  </si>
  <si>
    <t>迷你冰雕</t>
    <phoneticPr fontId="1" type="noConversion"/>
  </si>
  <si>
    <t>16+2+2相供电</t>
    <phoneticPr fontId="1" type="noConversion"/>
  </si>
  <si>
    <t>8+2+1相供电</t>
    <phoneticPr fontId="1" type="noConversion"/>
  </si>
  <si>
    <t>9800X3D</t>
    <phoneticPr fontId="1" type="noConversion"/>
  </si>
  <si>
    <t>航嘉 WD650Evo 黑(铜牌/直出)</t>
  </si>
  <si>
    <t xml:space="preserve"> </t>
    <phoneticPr fontId="1" type="noConversion"/>
  </si>
  <si>
    <t>1030OC-2GI</t>
    <phoneticPr fontId="1" type="noConversion"/>
  </si>
  <si>
    <t>测试导出</t>
    <phoneticPr fontId="1" type="noConversion"/>
  </si>
  <si>
    <t>可显性丨CPU丨</t>
    <phoneticPr fontId="1" type="noConversion"/>
  </si>
  <si>
    <t>可显性丨主板丨</t>
    <phoneticPr fontId="1" type="noConversion"/>
  </si>
  <si>
    <t>可显性丨其他丨</t>
    <phoneticPr fontId="1" type="noConversion"/>
  </si>
  <si>
    <t>可显性丨其他丨2</t>
    <phoneticPr fontId="1" type="noConversion"/>
  </si>
  <si>
    <t>可显性丨LOGO丨</t>
    <phoneticPr fontId="1" type="noConversion"/>
  </si>
  <si>
    <t xml:space="preserve">AORUS MASTER 丨32 </t>
    <phoneticPr fontId="1" type="noConversion"/>
  </si>
  <si>
    <t>H610M H V2 DDR4</t>
  </si>
  <si>
    <t>H610M H</t>
    <phoneticPr fontId="1" type="noConversion"/>
  </si>
  <si>
    <t>DDR4</t>
    <phoneticPr fontId="1" type="noConversion"/>
  </si>
  <si>
    <t>千兆高速网卡</t>
    <phoneticPr fontId="1" type="noConversion"/>
  </si>
  <si>
    <t>6+1+1相供电</t>
    <phoneticPr fontId="1" type="noConversion"/>
  </si>
  <si>
    <t>VGA+HDMI接口</t>
    <phoneticPr fontId="1" type="noConversion"/>
  </si>
  <si>
    <t xml:space="preserve"> </t>
    <phoneticPr fontId="1" type="noConversion"/>
  </si>
  <si>
    <t>GS27U</t>
  </si>
  <si>
    <t>无</t>
    <phoneticPr fontId="1" type="noConversion"/>
  </si>
  <si>
    <t>可显性丨机电散单品丨</t>
    <phoneticPr fontId="1" type="noConversion"/>
  </si>
  <si>
    <t>可显性丨机电散套装丨</t>
    <phoneticPr fontId="1" type="noConversion"/>
  </si>
  <si>
    <t>可显性丨机电散套装丨2</t>
    <phoneticPr fontId="1" type="noConversion"/>
  </si>
  <si>
    <t>可显性丨其他丨2</t>
    <phoneticPr fontId="1" type="noConversion"/>
  </si>
  <si>
    <t>可显性丨其他丨3</t>
    <phoneticPr fontId="1" type="noConversion"/>
  </si>
  <si>
    <t>可显性丨其他丨4</t>
    <phoneticPr fontId="1" type="noConversion"/>
  </si>
  <si>
    <t>165Hz刷新/1500R曲面</t>
    <phoneticPr fontId="1" type="noConversion"/>
  </si>
  <si>
    <t>GS34WQC</t>
  </si>
  <si>
    <t>GS34WQC1</t>
    <phoneticPr fontId="1" type="noConversion"/>
  </si>
  <si>
    <t>GS34WQC2</t>
    <phoneticPr fontId="1" type="noConversion"/>
  </si>
  <si>
    <t>GS34WQC</t>
    <phoneticPr fontId="1" type="noConversion"/>
  </si>
  <si>
    <t>可显性丨电源丨</t>
    <phoneticPr fontId="1" type="noConversion"/>
  </si>
  <si>
    <t>可显性丨LOGO丨2</t>
    <phoneticPr fontId="1" type="noConversion"/>
  </si>
  <si>
    <t>可显性丨其他丨2</t>
    <phoneticPr fontId="1" type="noConversion"/>
  </si>
  <si>
    <t>12G 悟空</t>
    <phoneticPr fontId="1" type="noConversion"/>
  </si>
  <si>
    <t>可显性丨显卡丨</t>
    <phoneticPr fontId="1" type="noConversion"/>
  </si>
  <si>
    <t>4080 SUPER</t>
    <phoneticPr fontId="1" type="noConversion"/>
  </si>
  <si>
    <t>RTX4080 SUPER XTREME ICE钛金雕</t>
    <phoneticPr fontId="1" type="noConversion"/>
  </si>
  <si>
    <t>2700 MHz</t>
    <phoneticPr fontId="1" type="noConversion"/>
  </si>
  <si>
    <t>23 Gbps</t>
    <phoneticPr fontId="1" type="noConversion"/>
  </si>
  <si>
    <t>GDDR6X</t>
  </si>
  <si>
    <t>16 pin*1</t>
  </si>
  <si>
    <t>357*166*75mm</t>
    <phoneticPr fontId="1" type="noConversion"/>
  </si>
  <si>
    <t>N卡</t>
    <phoneticPr fontId="1" type="noConversion"/>
  </si>
  <si>
    <t>可显性丨LOGO丨1</t>
    <phoneticPr fontId="1" type="noConversion"/>
  </si>
  <si>
    <t>可显性丨显卡丨1</t>
    <phoneticPr fontId="1" type="noConversion"/>
  </si>
  <si>
    <t xml:space="preserve">6144 </t>
    <phoneticPr fontId="1" type="noConversion"/>
  </si>
  <si>
    <t xml:space="preserve">3840 </t>
    <phoneticPr fontId="1" type="noConversion"/>
  </si>
  <si>
    <t xml:space="preserve">3456 </t>
    <phoneticPr fontId="1" type="noConversion"/>
  </si>
  <si>
    <t xml:space="preserve">2304 </t>
    <phoneticPr fontId="1" type="noConversion"/>
  </si>
  <si>
    <t xml:space="preserve">1792 </t>
    <phoneticPr fontId="1" type="noConversion"/>
  </si>
  <si>
    <t xml:space="preserve">1024 </t>
    <phoneticPr fontId="1" type="noConversion"/>
  </si>
  <si>
    <t xml:space="preserve">10240 </t>
    <phoneticPr fontId="1" type="noConversion"/>
  </si>
  <si>
    <t>SS IPS/4K160Hz刷新/游戏辅助</t>
    <phoneticPr fontId="1" type="noConversion"/>
  </si>
  <si>
    <t>技嘉 X870E AORUS ELITE WIFI7(小雕)</t>
    <phoneticPr fontId="1" type="noConversion"/>
  </si>
  <si>
    <t>X870E AORUS ELITE WIFI7</t>
    <phoneticPr fontId="1" type="noConversion"/>
  </si>
  <si>
    <t>可显性丨利益点丨</t>
    <phoneticPr fontId="1" type="noConversion"/>
  </si>
  <si>
    <t>可显性丨利益点丨2</t>
    <phoneticPr fontId="1" type="noConversion"/>
  </si>
  <si>
    <t>可显性丨LOGO丨2</t>
    <phoneticPr fontId="1" type="noConversion"/>
  </si>
  <si>
    <t>X870E AORUS ELITE WIFI7-1</t>
    <phoneticPr fontId="1" type="noConversion"/>
  </si>
  <si>
    <t>X870E AORUS ELITE WIFI7</t>
    <phoneticPr fontId="1" type="noConversion"/>
  </si>
  <si>
    <t>7000系列 锐龙9</t>
    <phoneticPr fontId="1" type="noConversion"/>
  </si>
  <si>
    <t>12期</t>
    <phoneticPr fontId="1" type="noConversion"/>
  </si>
  <si>
    <t>散片</t>
    <phoneticPr fontId="1" type="noConversion"/>
  </si>
  <si>
    <t>B650I</t>
    <phoneticPr fontId="1" type="noConversion"/>
  </si>
  <si>
    <t>迷你板</t>
    <phoneticPr fontId="1" type="noConversion"/>
  </si>
  <si>
    <t>AX D5</t>
    <phoneticPr fontId="1" type="noConversion"/>
  </si>
  <si>
    <t>5+2+1相直出供电</t>
    <phoneticPr fontId="1" type="noConversion"/>
  </si>
  <si>
    <t>B650I AX</t>
    <phoneticPr fontId="1" type="noConversion"/>
  </si>
  <si>
    <t>2.5千兆网卡</t>
    <phoneticPr fontId="1" type="noConversion"/>
  </si>
  <si>
    <t>SS IPS/144Hz刷新/KVM切换</t>
    <phoneticPr fontId="1" type="noConversion"/>
  </si>
  <si>
    <t>支持PCie4.0</t>
    <phoneticPr fontId="1" type="noConversion"/>
  </si>
  <si>
    <t>DDR4*2最大内存(64GB)</t>
    <phoneticPr fontId="1" type="noConversion"/>
  </si>
  <si>
    <t>B760M POWER DDR4</t>
    <phoneticPr fontId="1" type="noConversion"/>
  </si>
  <si>
    <t xml:space="preserve">B760M </t>
    <phoneticPr fontId="1" type="noConversion"/>
  </si>
  <si>
    <t>POWER D4</t>
    <phoneticPr fontId="1" type="noConversion"/>
  </si>
  <si>
    <t>2*PCI-E 4.0+4*SATA</t>
    <phoneticPr fontId="1" type="noConversion"/>
  </si>
  <si>
    <t>B760M POWER DDR41</t>
    <phoneticPr fontId="1" type="noConversion"/>
  </si>
  <si>
    <t>HDMI</t>
    <phoneticPr fontId="1" type="noConversion"/>
  </si>
  <si>
    <t>多USB接口2</t>
    <phoneticPr fontId="1" type="noConversion"/>
  </si>
  <si>
    <t>6+2+1相供电</t>
    <phoneticPr fontId="1" type="noConversion"/>
  </si>
  <si>
    <t>AORUS Gen5 14000 SSD 1TB</t>
  </si>
  <si>
    <t>AORUS Gen5 14000 SSD 2TB</t>
  </si>
  <si>
    <t>魔鹰360 黑</t>
  </si>
  <si>
    <t>雪鹰360 白</t>
  </si>
  <si>
    <t>514K</t>
    <phoneticPr fontId="1" type="noConversion"/>
  </si>
  <si>
    <t>大雕 514K SSD</t>
    <phoneticPr fontId="1" type="noConversion"/>
  </si>
  <si>
    <t>读13500写10200MB/s Pcie5.0</t>
    <phoneticPr fontId="1" type="noConversion"/>
  </si>
  <si>
    <t>读14500写12700MB/s Pcie5.0</t>
    <phoneticPr fontId="1" type="noConversion"/>
  </si>
  <si>
    <t>磁吸可拆冷头盖/积木滚针轴承风扇丨30</t>
    <phoneticPr fontId="1" type="noConversion"/>
  </si>
  <si>
    <t>十年质保/ATX3.0认证/全日系电容丨30</t>
    <phoneticPr fontId="1" type="noConversion"/>
  </si>
  <si>
    <t>单USB4接口</t>
  </si>
  <si>
    <t>名单</t>
    <phoneticPr fontId="1" type="noConversion"/>
  </si>
  <si>
    <t>2025邀请函</t>
    <phoneticPr fontId="1" type="noConversion"/>
  </si>
  <si>
    <t>文本丨标题丨名字</t>
    <phoneticPr fontId="1" type="noConversion"/>
  </si>
  <si>
    <t>文本丨标题丨男女</t>
    <phoneticPr fontId="1" type="noConversion"/>
  </si>
  <si>
    <t>先生</t>
  </si>
  <si>
    <t>女士</t>
  </si>
  <si>
    <t>刘孟宗</t>
  </si>
  <si>
    <t>郑天宇</t>
  </si>
  <si>
    <t>黄小磊</t>
  </si>
  <si>
    <t>肖国平</t>
  </si>
  <si>
    <t>黄嘉博</t>
  </si>
  <si>
    <t>杨容生</t>
  </si>
  <si>
    <t>鲁昊鑫</t>
  </si>
  <si>
    <t>赖佳伟</t>
  </si>
  <si>
    <t>叶延勇</t>
  </si>
  <si>
    <t>杨清宇</t>
  </si>
  <si>
    <t>莫正伟</t>
  </si>
  <si>
    <t>陈秋峰</t>
  </si>
  <si>
    <t>汤先羽</t>
  </si>
  <si>
    <t>Carl Yang</t>
  </si>
  <si>
    <t>Eva Li</t>
  </si>
  <si>
    <t>Peter Yu</t>
  </si>
  <si>
    <t>曹雅婷</t>
  </si>
  <si>
    <t>宋文凯</t>
  </si>
  <si>
    <t>李方园</t>
  </si>
  <si>
    <t>赖华亮</t>
  </si>
  <si>
    <t>韩红军</t>
  </si>
  <si>
    <t>庄老板</t>
  </si>
  <si>
    <t>贾红柱</t>
  </si>
  <si>
    <t>周天林</t>
  </si>
  <si>
    <t>陈国保</t>
  </si>
  <si>
    <t>江飞航</t>
  </si>
  <si>
    <t>刘元中</t>
  </si>
  <si>
    <t>刘建新</t>
  </si>
  <si>
    <t>吴晓航</t>
  </si>
  <si>
    <t>陈冬瑜</t>
  </si>
  <si>
    <t>MICHAEL</t>
  </si>
  <si>
    <t>刘婷婷</t>
  </si>
  <si>
    <t>陈治中</t>
  </si>
  <si>
    <t>马志凯</t>
  </si>
  <si>
    <t>张涛涛</t>
  </si>
  <si>
    <t>李卫英</t>
  </si>
  <si>
    <t>赵怡璇</t>
  </si>
  <si>
    <t>刘诗媛</t>
  </si>
  <si>
    <t>王伶俐</t>
  </si>
  <si>
    <t>宋晓杰</t>
  </si>
  <si>
    <t>邓小端</t>
  </si>
  <si>
    <t>陈武君</t>
  </si>
  <si>
    <t>王钰鑫</t>
  </si>
  <si>
    <t>周治樸</t>
  </si>
  <si>
    <t>崔振华</t>
  </si>
  <si>
    <t>沈文杰</t>
  </si>
  <si>
    <t>邬永刚</t>
  </si>
  <si>
    <t>许海墨</t>
  </si>
  <si>
    <t>钱亚庆</t>
  </si>
  <si>
    <t>吕德超</t>
  </si>
  <si>
    <t>冮明旸</t>
  </si>
  <si>
    <t>周丙双</t>
  </si>
  <si>
    <t>潘朝钟</t>
  </si>
  <si>
    <t>李宏靖</t>
  </si>
  <si>
    <t>辛爱军</t>
  </si>
  <si>
    <t>李宏艳</t>
  </si>
  <si>
    <t>张清梅</t>
  </si>
  <si>
    <t>黄楚彬</t>
  </si>
  <si>
    <t>陈振炎</t>
  </si>
  <si>
    <t>王再平</t>
  </si>
  <si>
    <t>谷尚波</t>
  </si>
  <si>
    <t>潘</t>
  </si>
  <si>
    <t>唐剑波</t>
  </si>
  <si>
    <t>胡金柱</t>
  </si>
  <si>
    <t>肖朝阳</t>
  </si>
  <si>
    <t>龚举明</t>
  </si>
  <si>
    <t>万伟</t>
  </si>
  <si>
    <t>周国建</t>
  </si>
  <si>
    <t>王伟国</t>
  </si>
  <si>
    <t>林书容</t>
  </si>
  <si>
    <t>张敏捷</t>
  </si>
  <si>
    <t>沈湘鄂</t>
  </si>
  <si>
    <t>张宇宁</t>
  </si>
  <si>
    <t>陈文金</t>
  </si>
  <si>
    <t>巫详坤</t>
  </si>
  <si>
    <t>刘恒伟</t>
  </si>
  <si>
    <t>刘阔阳</t>
  </si>
  <si>
    <t>刘晓波</t>
  </si>
  <si>
    <t>罗敦寅</t>
  </si>
  <si>
    <t>罗银春</t>
  </si>
  <si>
    <t>杜美玲</t>
  </si>
  <si>
    <t>胡海清</t>
  </si>
  <si>
    <t>邓文捷</t>
  </si>
  <si>
    <t>肖川程</t>
  </si>
  <si>
    <t>潘传峰</t>
  </si>
  <si>
    <t>冉律师</t>
  </si>
  <si>
    <t>杨文中</t>
  </si>
  <si>
    <t>陈大钧</t>
  </si>
  <si>
    <t>孙耀峰</t>
  </si>
  <si>
    <t>曹欣瀚</t>
  </si>
  <si>
    <t>谢庆生</t>
  </si>
  <si>
    <t>曾艳涵</t>
  </si>
  <si>
    <t>彭禄雨</t>
  </si>
  <si>
    <t>陈思源</t>
  </si>
  <si>
    <t>王家国</t>
  </si>
  <si>
    <t>向家俊</t>
  </si>
  <si>
    <t>万    伟</t>
  </si>
  <si>
    <t>MICHAEL丨25</t>
    <phoneticPr fontId="1" type="noConversion"/>
  </si>
  <si>
    <t>王晟林</t>
    <phoneticPr fontId="1" type="noConversion"/>
  </si>
  <si>
    <t>骆训航</t>
    <phoneticPr fontId="1" type="noConversion"/>
  </si>
  <si>
    <t>邓悦</t>
  </si>
  <si>
    <t>陈栋</t>
  </si>
  <si>
    <t>姚锐</t>
  </si>
  <si>
    <t>周辉</t>
  </si>
  <si>
    <t>罗平</t>
  </si>
  <si>
    <t>张伟</t>
  </si>
  <si>
    <t>张浩</t>
  </si>
  <si>
    <t>董韬</t>
  </si>
  <si>
    <t>王磊</t>
  </si>
  <si>
    <t>徐平</t>
  </si>
  <si>
    <t>钱巍</t>
  </si>
  <si>
    <t>唐勇</t>
  </si>
  <si>
    <t>钟山</t>
  </si>
  <si>
    <t>张林</t>
  </si>
  <si>
    <t>朱晶</t>
  </si>
  <si>
    <t>锻炼</t>
  </si>
  <si>
    <t>熊鹿</t>
  </si>
  <si>
    <t>谢龙</t>
  </si>
  <si>
    <t>徐青</t>
  </si>
  <si>
    <t>王雁</t>
  </si>
  <si>
    <t>李娟</t>
  </si>
  <si>
    <t>陈芳</t>
  </si>
  <si>
    <t>喻兰</t>
  </si>
  <si>
    <t>张峰</t>
  </si>
  <si>
    <t>钟勇</t>
  </si>
  <si>
    <t>匡坤</t>
  </si>
  <si>
    <t>施波</t>
  </si>
  <si>
    <t>顾坤</t>
  </si>
  <si>
    <t>梁策</t>
  </si>
  <si>
    <t>刘丰</t>
  </si>
  <si>
    <t>陈岩</t>
  </si>
  <si>
    <t>周凎</t>
  </si>
  <si>
    <t>杨述</t>
  </si>
  <si>
    <t>王欢</t>
  </si>
  <si>
    <t>王建</t>
  </si>
  <si>
    <t>郭豹</t>
  </si>
  <si>
    <t>朱伟</t>
  </si>
  <si>
    <t>王伦</t>
  </si>
  <si>
    <t>许可</t>
  </si>
  <si>
    <t>李润</t>
  </si>
  <si>
    <t>汤林</t>
  </si>
  <si>
    <t>卢蒿</t>
  </si>
  <si>
    <t>何聂</t>
  </si>
  <si>
    <t>陈总</t>
  </si>
  <si>
    <t>吴刚</t>
  </si>
  <si>
    <t>马润</t>
  </si>
  <si>
    <t>顾江</t>
  </si>
  <si>
    <t>刘峰</t>
  </si>
  <si>
    <t>夏令</t>
  </si>
  <si>
    <t>王颖</t>
  </si>
  <si>
    <t>何杰</t>
  </si>
  <si>
    <t>郑理</t>
  </si>
  <si>
    <t>朱蛟</t>
  </si>
  <si>
    <t>李钢</t>
  </si>
  <si>
    <t>蒋超</t>
  </si>
  <si>
    <t>张杨</t>
  </si>
  <si>
    <t>邓    悦</t>
  </si>
  <si>
    <t>陈    栋</t>
  </si>
  <si>
    <t>姚    锐</t>
  </si>
  <si>
    <t>周    辉</t>
  </si>
  <si>
    <t>罗    平</t>
  </si>
  <si>
    <t>张    伟</t>
  </si>
  <si>
    <t>张    浩</t>
  </si>
  <si>
    <t>董    韬</t>
  </si>
  <si>
    <t>王    磊</t>
  </si>
  <si>
    <t>徐    平</t>
  </si>
  <si>
    <t>钱    巍</t>
  </si>
  <si>
    <t>唐    勇</t>
  </si>
  <si>
    <t>钟    山</t>
  </si>
  <si>
    <t>张    林</t>
  </si>
  <si>
    <t>朱    晶</t>
  </si>
  <si>
    <t>锻    炼</t>
  </si>
  <si>
    <t>熊    鹿</t>
  </si>
  <si>
    <t>谢    龙</t>
  </si>
  <si>
    <t>徐    青</t>
  </si>
  <si>
    <t>王    雁</t>
  </si>
  <si>
    <t>李    娟</t>
  </si>
  <si>
    <t>陈    芳</t>
  </si>
  <si>
    <t>喻    兰</t>
  </si>
  <si>
    <t>张    峰</t>
  </si>
  <si>
    <t>钟    勇</t>
  </si>
  <si>
    <t>匡    坤</t>
  </si>
  <si>
    <t>施    波</t>
  </si>
  <si>
    <t>顾    坤</t>
  </si>
  <si>
    <t>梁    策</t>
  </si>
  <si>
    <t>刘    丰</t>
  </si>
  <si>
    <t>陈    岩</t>
  </si>
  <si>
    <t>周    凎</t>
  </si>
  <si>
    <t>杨    述</t>
  </si>
  <si>
    <t>王    欢</t>
  </si>
  <si>
    <t>王    建</t>
  </si>
  <si>
    <t>郭    豹</t>
  </si>
  <si>
    <t>朱    伟</t>
  </si>
  <si>
    <t>王    伦</t>
  </si>
  <si>
    <t>许    可</t>
  </si>
  <si>
    <t>李    润</t>
  </si>
  <si>
    <t>汤    林</t>
  </si>
  <si>
    <t>卢    蒿</t>
  </si>
  <si>
    <t>何    聂</t>
  </si>
  <si>
    <t>陈    总</t>
  </si>
  <si>
    <t>吴    刚</t>
  </si>
  <si>
    <t>马    润</t>
  </si>
  <si>
    <t>顾    江</t>
  </si>
  <si>
    <t>刘    峰</t>
  </si>
  <si>
    <t>夏    令</t>
  </si>
  <si>
    <t>王    颖</t>
  </si>
  <si>
    <t>何    杰</t>
  </si>
  <si>
    <t>郑    理</t>
  </si>
  <si>
    <t>朱    蛟</t>
  </si>
  <si>
    <t>李    钢</t>
  </si>
  <si>
    <t>蒋    超</t>
  </si>
  <si>
    <t>张    杨</t>
  </si>
  <si>
    <t>Peter Yu丨25</t>
    <phoneticPr fontId="1" type="noConversion"/>
  </si>
  <si>
    <t>Carl Yang丨25</t>
    <phoneticPr fontId="1" type="noConversion"/>
  </si>
  <si>
    <t>B650I AORUS ULTRA</t>
  </si>
  <si>
    <t>B650M H</t>
  </si>
  <si>
    <t>B650M GAMING WIFI</t>
  </si>
  <si>
    <t>B650M GAMING WIFI PLUS</t>
  </si>
  <si>
    <t>B650M AORUS ELITE AX ICE</t>
  </si>
  <si>
    <t>B650M AORUS ELITE</t>
  </si>
  <si>
    <t>B650M AORUS PRO AX</t>
  </si>
  <si>
    <t>B650E AORUS ELITE X AX ICE</t>
  </si>
  <si>
    <t>B650E AORUS PRO X USB4</t>
  </si>
  <si>
    <t>X670 AORUS ELITE AX</t>
  </si>
  <si>
    <t>X870E AORUS ELITE WIFI7</t>
  </si>
  <si>
    <t>X870I-AORUS-PRO-ICE</t>
  </si>
  <si>
    <t>B760M E</t>
  </si>
  <si>
    <t>B760M-GAMING-WIFI-PLUS-rev-11</t>
  </si>
  <si>
    <t>Z790-AORUS-ELITE-AX-W-rev-1x</t>
  </si>
  <si>
    <t>Z790-AORUS-TACHYON-rev-10</t>
  </si>
  <si>
    <t>Z790-AORUS-XTREME-X</t>
  </si>
  <si>
    <t>B760M AORUS ELITE AX-P</t>
  </si>
  <si>
    <t>B760M POWER DDR4</t>
  </si>
  <si>
    <t>B650I AX</t>
  </si>
  <si>
    <t>技嘉 Z790 AORUS ELITE X WIFI7</t>
    <phoneticPr fontId="1" type="noConversion"/>
  </si>
  <si>
    <t>透明图</t>
    <phoneticPr fontId="1" type="noConversion"/>
  </si>
  <si>
    <t>14代综合</t>
  </si>
  <si>
    <t>技嘉 Z790M AORUS ELITE</t>
    <phoneticPr fontId="1" type="noConversion"/>
  </si>
  <si>
    <t>斗战650S</t>
  </si>
  <si>
    <t>3050 WF2OC-6GD 风魔V2</t>
    <phoneticPr fontId="1" type="noConversion"/>
  </si>
  <si>
    <t>6G 风魔V2</t>
    <phoneticPr fontId="1" type="noConversion"/>
  </si>
  <si>
    <t>主图</t>
    <phoneticPr fontId="1" type="noConversion"/>
  </si>
  <si>
    <t>正逆转双风扇</t>
    <phoneticPr fontId="1" type="noConversion"/>
  </si>
  <si>
    <t>智能温控风扇</t>
    <phoneticPr fontId="1" type="noConversion"/>
  </si>
  <si>
    <t>B760M AORUS ELITE AX-P 新雕妹丨40</t>
    <phoneticPr fontId="1" type="noConversion"/>
  </si>
  <si>
    <t>技嘉 B850M GAMING X WF6E(魔鹰X)</t>
  </si>
  <si>
    <t>技嘉 B850M AORUS ELITE ICE WF6E(冰雕)</t>
  </si>
  <si>
    <t>技嘉 B850M AORUS PRO WF7(电竞雕)</t>
  </si>
  <si>
    <t>技嘉 B850 AORUS ELITE WF7(小雕)</t>
  </si>
  <si>
    <t>技嘉 B850 AORUS ELITE WF7 ICE(冰雕)</t>
  </si>
  <si>
    <t>B850M GAMING X WF6E</t>
  </si>
  <si>
    <t>B850M A ELT WF6E ICE</t>
    <phoneticPr fontId="1" type="noConversion"/>
  </si>
  <si>
    <t>B850 A ELITE WF7 ICE</t>
    <phoneticPr fontId="1" type="noConversion"/>
  </si>
  <si>
    <t>B850 A ELITE WF7</t>
    <phoneticPr fontId="1" type="noConversion"/>
  </si>
  <si>
    <t>魔鹰X</t>
  </si>
  <si>
    <t>魔鹰X</t>
    <phoneticPr fontId="1" type="noConversion"/>
  </si>
  <si>
    <t>冰雕</t>
  </si>
  <si>
    <t>电竞雕</t>
  </si>
  <si>
    <t>10+2+2相供电</t>
    <phoneticPr fontId="1" type="noConversion"/>
  </si>
  <si>
    <t>12+2+2相供电</t>
    <phoneticPr fontId="1" type="noConversion"/>
  </si>
  <si>
    <t>新</t>
    <phoneticPr fontId="1" type="noConversion"/>
  </si>
  <si>
    <t xml:space="preserve">POWER </t>
    <phoneticPr fontId="1" type="noConversion"/>
  </si>
  <si>
    <t>B760M POWER</t>
    <phoneticPr fontId="1" type="noConversion"/>
  </si>
  <si>
    <t>HDMI副屏接口</t>
    <phoneticPr fontId="1" type="noConversion"/>
  </si>
  <si>
    <t>10+2+2相供电设计</t>
    <phoneticPr fontId="1" type="noConversion"/>
  </si>
  <si>
    <t>12+2+2相供电设计</t>
    <phoneticPr fontId="1" type="noConversion"/>
  </si>
  <si>
    <t>DP+副屏接口(HDMI)</t>
    <phoneticPr fontId="1" type="noConversion"/>
  </si>
  <si>
    <t>WiFi 6E+蓝牙5.3</t>
    <phoneticPr fontId="1" type="noConversion"/>
  </si>
  <si>
    <t>X3D Turbo模式</t>
  </si>
  <si>
    <t>B850M GAMING X WF6E(魔鹰X)</t>
  </si>
  <si>
    <t>B850M AORUS ELITE ICE WF6E(冰雕)</t>
  </si>
  <si>
    <t>B850M AORUS PRO WF7(电竞雕)</t>
  </si>
  <si>
    <t>B850 AORUS ELITE WF7(小雕)</t>
  </si>
  <si>
    <t>B850 AORUS ELITE WF7 ICE(冰雕)</t>
  </si>
  <si>
    <t>ELITE WiFi7</t>
    <phoneticPr fontId="1" type="noConversion"/>
  </si>
  <si>
    <t>PRO WiFi7</t>
    <phoneticPr fontId="1" type="noConversion"/>
  </si>
  <si>
    <t>GAMING WiFi6E 丨35</t>
    <phoneticPr fontId="1" type="noConversion"/>
  </si>
  <si>
    <t>B850M丨50</t>
    <phoneticPr fontId="1" type="noConversion"/>
  </si>
  <si>
    <t>B850丨50</t>
    <phoneticPr fontId="1" type="noConversion"/>
  </si>
  <si>
    <t>ELITE ICE WiFi7丨35</t>
    <phoneticPr fontId="1" type="noConversion"/>
  </si>
  <si>
    <t>ELITE ICE WiFi6E丨35</t>
    <phoneticPr fontId="1" type="noConversion"/>
  </si>
  <si>
    <t>技嘉 B860M EAGLE WIFI6 (猎鹰)</t>
  </si>
  <si>
    <t>技嘉 B860M EAGLE WIFI6 V2 (白猎鹰)</t>
  </si>
  <si>
    <t>技嘉 B860M GAMING WIFI6 (魔鹰)</t>
  </si>
  <si>
    <t>技嘉 B860M GAMING X WIFI6E (魔鹰X)</t>
  </si>
  <si>
    <t>技嘉 B860M AORUS ELITE WF6E ICE (冰雕)</t>
  </si>
  <si>
    <t>技嘉 B860M AORUS ELITE WIFI6E (小雕)</t>
  </si>
  <si>
    <t>技嘉 B860M AORUS PRO WIFI7 (电竞雕)</t>
  </si>
  <si>
    <t>技嘉 B860 AORUS ELITE WF7 ICE (冰雕)</t>
  </si>
  <si>
    <t>B860M</t>
    <phoneticPr fontId="1" type="noConversion"/>
  </si>
  <si>
    <t>B860</t>
    <phoneticPr fontId="1" type="noConversion"/>
  </si>
  <si>
    <t>白猎鹰</t>
    <phoneticPr fontId="1" type="noConversion"/>
  </si>
  <si>
    <t>含Wi-Fi 6</t>
    <phoneticPr fontId="1" type="noConversion"/>
  </si>
  <si>
    <t>含Wi-Fi 7</t>
    <phoneticPr fontId="1" type="noConversion"/>
  </si>
  <si>
    <t>B860M EAGLE WIFI6 (猎鹰)</t>
  </si>
  <si>
    <t>B860M EAGLE WIFI6 V2 (白猎鹰)</t>
  </si>
  <si>
    <t>B860M GAMING WIFI6 (魔鹰)</t>
  </si>
  <si>
    <t>B860M GAMING X WIFI6E (魔鹰X)</t>
  </si>
  <si>
    <t>B860M AORUS ELITE WF6E ICE (冰雕)</t>
  </si>
  <si>
    <t>B860M AORUS ELITE WIFI6E (小雕)</t>
  </si>
  <si>
    <t>B860M AORUS PRO WIFI7 (电竞雕)</t>
  </si>
  <si>
    <t>B860 AORUS ELITE WF7 ICE (冰雕)</t>
  </si>
  <si>
    <t>8+1+2相供电</t>
    <phoneticPr fontId="1" type="noConversion"/>
  </si>
  <si>
    <t>12+1+2相供电</t>
    <phoneticPr fontId="1" type="noConversion"/>
  </si>
  <si>
    <t>14+1+2相供电</t>
    <phoneticPr fontId="1" type="noConversion"/>
  </si>
  <si>
    <t>6+1+2相供电</t>
    <phoneticPr fontId="1" type="noConversion"/>
  </si>
  <si>
    <t>B860 AORUS ELITE WIFI7 ICE</t>
    <phoneticPr fontId="1" type="noConversion"/>
  </si>
  <si>
    <t>B860M AORUS ELITE WIFI6E ICE</t>
    <phoneticPr fontId="1" type="noConversion"/>
  </si>
  <si>
    <t>B860M AORUS ELITE WIFI6E</t>
    <phoneticPr fontId="1" type="noConversion"/>
  </si>
  <si>
    <t>B860M AORUS PRO WIFI7</t>
    <phoneticPr fontId="1" type="noConversion"/>
  </si>
  <si>
    <t>B860M GAMING X WIFI6E</t>
    <phoneticPr fontId="1" type="noConversion"/>
  </si>
  <si>
    <t>B860M GAMING WIFI6</t>
    <phoneticPr fontId="1" type="noConversion"/>
  </si>
  <si>
    <t>B860M EAGLE WIFI6</t>
    <phoneticPr fontId="1" type="noConversion"/>
  </si>
  <si>
    <t>EAGLE WiFi6丨35</t>
    <phoneticPr fontId="1" type="noConversion"/>
  </si>
  <si>
    <t>EAGLE WiFi6 V2丨35</t>
    <phoneticPr fontId="1" type="noConversion"/>
  </si>
  <si>
    <t>GAMING WiFi6丨35</t>
    <phoneticPr fontId="1" type="noConversion"/>
  </si>
  <si>
    <t>GAMING X WiFi6丨35</t>
    <phoneticPr fontId="1" type="noConversion"/>
  </si>
  <si>
    <t>ELITE WiFi6E丨35</t>
    <phoneticPr fontId="1" type="noConversion"/>
  </si>
  <si>
    <t>PRO WiFi7丨35</t>
    <phoneticPr fontId="1" type="noConversion"/>
  </si>
  <si>
    <t>ELITE WiFi7 ICE丨35</t>
    <phoneticPr fontId="1" type="noConversion"/>
  </si>
  <si>
    <t>B860M EAGLE WIFI6 V2</t>
    <phoneticPr fontId="1" type="noConversion"/>
  </si>
  <si>
    <t>ELITE WiFi6E ICE丨32</t>
    <phoneticPr fontId="1" type="noConversion"/>
  </si>
  <si>
    <t>技嘉 B850I AORUS PRO(迷你雕)</t>
    <phoneticPr fontId="1" type="noConversion"/>
  </si>
  <si>
    <t>B850I丨50</t>
    <phoneticPr fontId="1" type="noConversion"/>
  </si>
  <si>
    <t>AORUS PRO</t>
    <phoneticPr fontId="1" type="noConversion"/>
  </si>
  <si>
    <t>B850I AORUS PRO</t>
    <phoneticPr fontId="1" type="noConversion"/>
  </si>
  <si>
    <t>B850I AORUS PRO(迷你雕)</t>
    <phoneticPr fontId="1" type="noConversion"/>
  </si>
  <si>
    <t>10层电路板设计</t>
    <phoneticPr fontId="1" type="noConversion"/>
  </si>
  <si>
    <t>WiFi 6+蓝牙5.3</t>
    <phoneticPr fontId="1" type="noConversion"/>
  </si>
  <si>
    <t>B860M GAMING WIFI6</t>
  </si>
  <si>
    <t>B860M GAMING X WIFI6E</t>
  </si>
  <si>
    <t>B860M AORUS ELITE WF6E ICE</t>
  </si>
  <si>
    <t>B860M AORUS ELITE WIFI6E</t>
  </si>
  <si>
    <t>B860M AORUS PRO WIFI7</t>
  </si>
  <si>
    <t>B860 AORUS ELITE WF7 ICE</t>
  </si>
  <si>
    <t>B860M EAGLE WIFI6 (猎鹰)</t>
    <phoneticPr fontId="1" type="noConversion"/>
  </si>
  <si>
    <t>B860M EAGLE WIFI6 V2 (白猎鹰)</t>
    <phoneticPr fontId="1" type="noConversion"/>
  </si>
  <si>
    <t>B860M GAMING WIFI6 (魔鹰)</t>
    <phoneticPr fontId="1" type="noConversion"/>
  </si>
  <si>
    <t>B860M GAMING X WIFI6E (魔鹰X)</t>
    <phoneticPr fontId="1" type="noConversion"/>
  </si>
  <si>
    <t>B860M AORUS ELITE WF6E ICE (冰雕)</t>
    <phoneticPr fontId="1" type="noConversion"/>
  </si>
  <si>
    <t>B860M AORUS ELITE WIFI6E (小雕)</t>
    <phoneticPr fontId="1" type="noConversion"/>
  </si>
  <si>
    <t>B860M AORUS PRO WIFI7 (电竞雕)</t>
    <phoneticPr fontId="1" type="noConversion"/>
  </si>
  <si>
    <t>B860 AORUS ELITE WF7 ICE (冰雕)</t>
    <phoneticPr fontId="1" type="noConversion"/>
  </si>
  <si>
    <t>AI D5黑科技2.0</t>
  </si>
  <si>
    <t>B860M AORUS ELITE WF6E ICE (冰雕)丨40</t>
    <phoneticPr fontId="1" type="noConversion"/>
  </si>
  <si>
    <t>B860M AORUS ELITE WIFI6E (小雕)丨40</t>
    <phoneticPr fontId="1" type="noConversion"/>
  </si>
  <si>
    <t>B860M AORUS PRO WIFI7 (电竞雕)丨40</t>
    <phoneticPr fontId="1" type="noConversion"/>
  </si>
  <si>
    <t>B860 AORUS ELITE WF7 ICE (冰雕)丨40</t>
    <phoneticPr fontId="1" type="noConversion"/>
  </si>
  <si>
    <t>RTX4070</t>
    <phoneticPr fontId="1" type="noConversion"/>
  </si>
  <si>
    <t>2*M.2 含1*PCI-E 5.0</t>
  </si>
  <si>
    <t>9000系列 散片</t>
    <phoneticPr fontId="1" type="noConversion"/>
  </si>
  <si>
    <t>技嘉 B850I AORUS PRO(迷你雕)2</t>
    <phoneticPr fontId="1" type="noConversion"/>
  </si>
  <si>
    <t>7000系列 散片</t>
    <phoneticPr fontId="1" type="noConversion"/>
  </si>
  <si>
    <t>B650I AX2</t>
    <phoneticPr fontId="1" type="noConversion"/>
  </si>
  <si>
    <t>M27QA</t>
    <phoneticPr fontId="1" type="noConversion"/>
  </si>
  <si>
    <t>SS IPS/180Hz刷新/KVM</t>
    <phoneticPr fontId="1" type="noConversion"/>
  </si>
  <si>
    <t>5080 GAMING OC-16GD 魔鹰</t>
  </si>
  <si>
    <t>5080 AERO OC-16GD 雪鹰</t>
  </si>
  <si>
    <t>5080 AORUS M-16GD 超级雕</t>
  </si>
  <si>
    <t>5080 AORUSM ICE-16GD 超级雕白</t>
  </si>
  <si>
    <t>5080 AORUSX W-16GD 一体水雕</t>
  </si>
  <si>
    <t xml:space="preserve">RTX5080 </t>
    <phoneticPr fontId="1" type="noConversion"/>
  </si>
  <si>
    <t>16G 超级雕白</t>
    <phoneticPr fontId="1" type="noConversion"/>
  </si>
  <si>
    <t>SFF小尺寸</t>
    <phoneticPr fontId="1" type="noConversion"/>
  </si>
  <si>
    <t>四重高效散热</t>
    <phoneticPr fontId="1" type="noConversion"/>
  </si>
  <si>
    <t>AI算力1801TOPS</t>
    <phoneticPr fontId="1" type="noConversion"/>
  </si>
  <si>
    <t>5080 WF3OC-16GD 风魔</t>
    <phoneticPr fontId="1" type="noConversion"/>
  </si>
  <si>
    <t>AERO OC</t>
    <phoneticPr fontId="1" type="noConversion"/>
  </si>
  <si>
    <t>GAMING OC</t>
    <phoneticPr fontId="1" type="noConversion"/>
  </si>
  <si>
    <t>MASTER ICE</t>
    <phoneticPr fontId="1" type="noConversion"/>
  </si>
  <si>
    <t>RGB幻彩光轮</t>
    <phoneticPr fontId="1" type="noConversion"/>
  </si>
  <si>
    <t>五重高效散热</t>
    <phoneticPr fontId="1" type="noConversion"/>
  </si>
  <si>
    <t>WFOC</t>
    <phoneticPr fontId="1" type="noConversion"/>
  </si>
  <si>
    <t>4070 WINDFORCE OC V2 12G</t>
  </si>
  <si>
    <t>4070 WINDFORCE OC V2 12G</t>
    <phoneticPr fontId="1" type="noConversion"/>
  </si>
  <si>
    <t>RTX5080</t>
    <phoneticPr fontId="1" type="noConversion"/>
  </si>
  <si>
    <t>LCD 自定义屏幕丨32</t>
    <phoneticPr fontId="1" type="noConversion"/>
  </si>
  <si>
    <t>MASTER OC</t>
    <phoneticPr fontId="1" type="noConversion"/>
  </si>
  <si>
    <t>AI算力2375TOPS</t>
    <phoneticPr fontId="1" type="noConversion"/>
  </si>
  <si>
    <t>32G 风魔</t>
    <phoneticPr fontId="1" type="noConversion"/>
  </si>
  <si>
    <t>5090D GAMING OC-32GD 魔鹰</t>
  </si>
  <si>
    <t>5090D AORUSM ICE-32GD 超级雕白</t>
  </si>
  <si>
    <t>5090D WF3OC-32GD 风魔</t>
    <phoneticPr fontId="1" type="noConversion"/>
  </si>
  <si>
    <t>32G 魔鹰</t>
    <phoneticPr fontId="1" type="noConversion"/>
  </si>
  <si>
    <t>双BIOS模式</t>
    <phoneticPr fontId="1" type="noConversion"/>
  </si>
  <si>
    <t>32G 超级雕白</t>
    <phoneticPr fontId="1" type="noConversion"/>
  </si>
  <si>
    <t>RTX5090D</t>
    <phoneticPr fontId="1" type="noConversion"/>
  </si>
  <si>
    <t xml:space="preserve"> +1000W铂金雕电源 丨32</t>
    <phoneticPr fontId="1" type="noConversion"/>
  </si>
  <si>
    <t>5090D AORUS M-32GD 超级雕</t>
  </si>
  <si>
    <t>AE1000PM PG5 黑 白金雕</t>
  </si>
  <si>
    <t>32G 超级雕</t>
    <phoneticPr fontId="1" type="noConversion"/>
  </si>
  <si>
    <t>LCD自定义屏幕丨30</t>
    <phoneticPr fontId="1" type="noConversion"/>
  </si>
  <si>
    <t xml:space="preserve">技嘉 B650E AORUS STEALTH ICE 背插 </t>
  </si>
  <si>
    <t>STEALTH ICE</t>
    <phoneticPr fontId="1" type="noConversion"/>
  </si>
  <si>
    <t>背插</t>
    <phoneticPr fontId="1" type="noConversion"/>
  </si>
  <si>
    <t>B650E AORUS STEALTH ICE</t>
  </si>
  <si>
    <t>B650E AORUS STEALTH ICE</t>
    <phoneticPr fontId="1" type="noConversion"/>
  </si>
  <si>
    <t>冰雕背插款</t>
    <phoneticPr fontId="1" type="noConversion"/>
  </si>
  <si>
    <t>背插设计+纯白背板丨25</t>
    <phoneticPr fontId="1" type="noConversion"/>
  </si>
  <si>
    <t>7000系列 锐龙57</t>
    <phoneticPr fontId="1" type="noConversion"/>
  </si>
  <si>
    <t>DLSS 4</t>
    <phoneticPr fontId="1" type="noConversion"/>
  </si>
  <si>
    <t>AORUSX W</t>
    <phoneticPr fontId="1" type="noConversion"/>
  </si>
  <si>
    <t>16G 一体水雕</t>
    <phoneticPr fontId="1" type="noConversion"/>
  </si>
  <si>
    <t>水之力散热系统丨32</t>
    <phoneticPr fontId="1" type="noConversion"/>
  </si>
  <si>
    <t>C102G</t>
    <phoneticPr fontId="1" type="noConversion"/>
  </si>
  <si>
    <t>冰雕II 360</t>
  </si>
  <si>
    <t>+斗战650SS电源</t>
    <phoneticPr fontId="1" type="noConversion"/>
  </si>
  <si>
    <t>+斗战650 ICE电源</t>
    <phoneticPr fontId="1" type="noConversion"/>
  </si>
  <si>
    <t>+斗战550SS电源</t>
    <phoneticPr fontId="1" type="noConversion"/>
  </si>
  <si>
    <t>+斗战550 ICE电源</t>
    <phoneticPr fontId="1" type="noConversion"/>
  </si>
  <si>
    <t>+冰雕II 360</t>
    <phoneticPr fontId="1" type="noConversion"/>
  </si>
  <si>
    <t>水雕II 360X+白金雕1000黑</t>
  </si>
  <si>
    <t>冰雕II 360X+白金雕1000白</t>
  </si>
  <si>
    <t>+水雕II 360X+白金雕1000GM黑丨30</t>
    <phoneticPr fontId="1" type="noConversion"/>
  </si>
  <si>
    <t>+冰雕II 360X+白金雕1000GM白丨30</t>
    <phoneticPr fontId="1" type="noConversion"/>
  </si>
  <si>
    <t>UD850GM</t>
  </si>
  <si>
    <t>UD1000GM </t>
  </si>
  <si>
    <t>猎鹰UD1000GM</t>
    <phoneticPr fontId="1" type="noConversion"/>
  </si>
  <si>
    <t>10年质保/双CPU8Pin/单路+12V丨30</t>
    <phoneticPr fontId="1" type="noConversion"/>
  </si>
  <si>
    <t>猎鹰UD850GM</t>
    <phoneticPr fontId="1" type="noConversion"/>
  </si>
  <si>
    <t>UD1000GM</t>
    <phoneticPr fontId="1" type="noConversion"/>
  </si>
  <si>
    <t>UD850GM</t>
    <phoneticPr fontId="1" type="noConversion"/>
  </si>
  <si>
    <t>RTX5070Ti</t>
    <phoneticPr fontId="1" type="noConversion"/>
  </si>
  <si>
    <t>WFOC</t>
  </si>
  <si>
    <t>GAMING OC</t>
  </si>
  <si>
    <t>AERO OC</t>
  </si>
  <si>
    <t>MASTER OC</t>
  </si>
  <si>
    <t>SFF小尺寸</t>
  </si>
  <si>
    <t>LCD 自定义屏幕丨32</t>
  </si>
  <si>
    <t>五重高效散热</t>
  </si>
  <si>
    <t>16G 猎鹰</t>
    <phoneticPr fontId="1" type="noConversion"/>
  </si>
  <si>
    <t>16G 冰猎鹰</t>
    <phoneticPr fontId="1" type="noConversion"/>
  </si>
  <si>
    <t>5070Ti WF3OC-16GD风魔</t>
  </si>
  <si>
    <t>5070Ti EAGLE OC-16GD猎鹰</t>
  </si>
  <si>
    <t>5070Ti EAGLE OC ICE-16GD冰猎鹰</t>
  </si>
  <si>
    <t>5070Ti GAMING OC-16GD魔鹰</t>
  </si>
  <si>
    <t>5070Ti AERO OC-16GD雪鹰</t>
  </si>
  <si>
    <t>5070Ti AORUS M-16GD超级雕</t>
  </si>
  <si>
    <t>航嘉 GX750W 白</t>
    <phoneticPr fontId="1" type="noConversion"/>
  </si>
  <si>
    <t>DLSS 4</t>
  </si>
  <si>
    <t>算力框</t>
  </si>
  <si>
    <t>算力</t>
  </si>
  <si>
    <t>航嘉 GX750W 白(ATX3.1/PCIe5.1)</t>
  </si>
  <si>
    <t>可调式显卡支架丨30</t>
    <phoneticPr fontId="1" type="noConversion"/>
  </si>
  <si>
    <t>AI算力1406TOPS</t>
    <phoneticPr fontId="1" type="noConversion"/>
  </si>
  <si>
    <t>EAGLE  ICE</t>
    <phoneticPr fontId="1" type="noConversion"/>
  </si>
  <si>
    <t>注册4年保/个人送保丨25</t>
    <phoneticPr fontId="1" type="noConversion"/>
  </si>
  <si>
    <t>B850M A PRO WIFI7</t>
    <phoneticPr fontId="1" type="noConversion"/>
  </si>
  <si>
    <t>技嘉 B850M AORUS PRO WF7(电竞雕)3</t>
    <phoneticPr fontId="1" type="noConversion"/>
  </si>
  <si>
    <t>Ultra 9</t>
    <phoneticPr fontId="1" type="noConversion"/>
  </si>
  <si>
    <t>AORUS ULTRA丨40</t>
    <phoneticPr fontId="1" type="noConversion"/>
  </si>
  <si>
    <t>(1)</t>
    <phoneticPr fontId="1" type="noConversion"/>
  </si>
  <si>
    <t>ELITE WIFI7丨35</t>
    <phoneticPr fontId="1" type="noConversion"/>
  </si>
  <si>
    <t>EAGLE WiFi7丨35</t>
    <phoneticPr fontId="1" type="noConversion"/>
  </si>
  <si>
    <t>GAMING X WiFi7 丨32</t>
    <phoneticPr fontId="1" type="noConversion"/>
  </si>
  <si>
    <t>AI 算力</t>
  </si>
  <si>
    <t>核心频率</t>
  </si>
  <si>
    <t>显存 大小/类型</t>
  </si>
  <si>
    <t>显存 速率/位宽</t>
  </si>
  <si>
    <t>显卡尺寸</t>
  </si>
  <si>
    <t>视频输出接口</t>
  </si>
  <si>
    <t>文本丨标题丨标题2</t>
  </si>
  <si>
    <t>显卡参数新</t>
    <phoneticPr fontId="1" type="noConversion"/>
  </si>
  <si>
    <t>RTX5070Ti 16G</t>
    <phoneticPr fontId="1" type="noConversion"/>
  </si>
  <si>
    <t>WF3 OC 风魔</t>
    <phoneticPr fontId="1" type="noConversion"/>
  </si>
  <si>
    <t>EAGLE OC 猎鹰</t>
    <phoneticPr fontId="1" type="noConversion"/>
  </si>
  <si>
    <t>GAMING OC 魔鹰</t>
  </si>
  <si>
    <t>AERO OC 雪鹰</t>
  </si>
  <si>
    <t>AORUS M 超级雕</t>
  </si>
  <si>
    <t>EAGLE ICE OC 冰猎鹰</t>
    <phoneticPr fontId="1" type="noConversion"/>
  </si>
  <si>
    <t>N卡+4年</t>
  </si>
  <si>
    <t>1406 AI TOPS</t>
    <phoneticPr fontId="1" type="noConversion"/>
  </si>
  <si>
    <t>1801 AI TOPS</t>
    <phoneticPr fontId="1" type="noConversion"/>
  </si>
  <si>
    <t>2375 AI TOPS</t>
    <phoneticPr fontId="1" type="noConversion"/>
  </si>
  <si>
    <t>16GB / GDDR7</t>
    <phoneticPr fontId="1" type="noConversion"/>
  </si>
  <si>
    <t>32GB / GDDR7</t>
    <phoneticPr fontId="1" type="noConversion"/>
  </si>
  <si>
    <t>28 Gbps /256bit</t>
    <phoneticPr fontId="1" type="noConversion"/>
  </si>
  <si>
    <t>DP2.1bx3+HDM2.1bx1</t>
    <phoneticPr fontId="1" type="noConversion"/>
  </si>
  <si>
    <t>2542 MHz</t>
  </si>
  <si>
    <t>2542 MHz </t>
  </si>
  <si>
    <t>2497 MHz </t>
  </si>
  <si>
    <t>16 pin*1 /750W</t>
    <phoneticPr fontId="1" type="noConversion"/>
  </si>
  <si>
    <t>建议电源</t>
    <phoneticPr fontId="1" type="noConversion"/>
  </si>
  <si>
    <t>8960</t>
    <phoneticPr fontId="1" type="noConversion"/>
  </si>
  <si>
    <t>304*126*50 mm</t>
    <phoneticPr fontId="1" type="noConversion"/>
  </si>
  <si>
    <t>2670 MHz</t>
  </si>
  <si>
    <t>2588 MHz</t>
  </si>
  <si>
    <t>340*140*70 mm</t>
    <phoneticPr fontId="1" type="noConversion"/>
  </si>
  <si>
    <t>360*150*75 mm</t>
    <phoneticPr fontId="1" type="noConversion"/>
  </si>
  <si>
    <t>5080 WF3OC-16GD 风魔</t>
  </si>
  <si>
    <t>RTX5080 16G</t>
    <phoneticPr fontId="1" type="noConversion"/>
  </si>
  <si>
    <t>AORUS M ICE 超级雕白</t>
    <phoneticPr fontId="1" type="noConversion"/>
  </si>
  <si>
    <t>AORUS X W 一体水雕</t>
  </si>
  <si>
    <t>5090D GAMING-32GD 魔鹰</t>
  </si>
  <si>
    <t>5090D WF3OC-32GD 风魔</t>
  </si>
  <si>
    <t>16 pin*1 /850W</t>
    <phoneticPr fontId="1" type="noConversion"/>
  </si>
  <si>
    <t>30 Gbps /256bit</t>
    <phoneticPr fontId="1" type="noConversion"/>
  </si>
  <si>
    <t>220*130*40不含冷排</t>
    <phoneticPr fontId="1" type="noConversion"/>
  </si>
  <si>
    <t>28 Gbps /512bit</t>
    <phoneticPr fontId="1" type="noConversion"/>
  </si>
  <si>
    <t>16 pin*1 /1000W</t>
    <phoneticPr fontId="1" type="noConversion"/>
  </si>
  <si>
    <t>342*152*70 mm</t>
    <phoneticPr fontId="1" type="noConversion"/>
  </si>
  <si>
    <t>342*150*65 mm</t>
    <phoneticPr fontId="1" type="noConversion"/>
  </si>
  <si>
    <t>RTX5090D 32G</t>
    <phoneticPr fontId="1" type="noConversion"/>
  </si>
  <si>
    <t>10752</t>
    <phoneticPr fontId="1" type="noConversion"/>
  </si>
  <si>
    <t>21760</t>
    <phoneticPr fontId="1" type="noConversion"/>
  </si>
  <si>
    <t>2467 MHz</t>
    <phoneticPr fontId="1" type="noConversion"/>
  </si>
  <si>
    <t>2550 MHz</t>
    <phoneticPr fontId="1" type="noConversion"/>
  </si>
  <si>
    <t>2670 MHz</t>
    <phoneticPr fontId="1" type="noConversion"/>
  </si>
  <si>
    <t>2730 MHz</t>
    <phoneticPr fontId="1" type="noConversion"/>
  </si>
  <si>
    <t>2805 MHz</t>
    <phoneticPr fontId="1" type="noConversion"/>
  </si>
  <si>
    <t>2655 MHz</t>
    <phoneticPr fontId="1" type="noConversion"/>
  </si>
  <si>
    <t>RTX5070 12G</t>
  </si>
  <si>
    <t>988 Al TOPS</t>
  </si>
  <si>
    <t>12GB / GDDR7</t>
  </si>
  <si>
    <t>28 Gbps /192bit</t>
  </si>
  <si>
    <t>282*110*50 mm</t>
  </si>
  <si>
    <t>2587 MHz</t>
  </si>
  <si>
    <t>290*120*50 mm</t>
  </si>
  <si>
    <t>5070 EAGLE OC ICE-12GD冰猎鹰</t>
  </si>
  <si>
    <t>GAMING OC魔鹰</t>
  </si>
  <si>
    <t>2625 MHz</t>
  </si>
  <si>
    <t>327*132*56 mm</t>
  </si>
  <si>
    <t>324*130*56 mm</t>
  </si>
  <si>
    <t>2715 MHz</t>
  </si>
  <si>
    <t>317436*64 mm</t>
  </si>
  <si>
    <t>5070 WF3OC-12GD风魔</t>
  </si>
  <si>
    <t>5070 EAGLE OC-12GD猎鹰</t>
  </si>
  <si>
    <t>5070 GAMING OC-12GD魔鹰</t>
  </si>
  <si>
    <t>5070 AERO OC-12GD雪鹰</t>
  </si>
  <si>
    <t>5070 AORUS M-12GD超级雕</t>
  </si>
  <si>
    <t>RX7650GRE 8G</t>
  </si>
  <si>
    <t>RX 9070 GAMING OC-l6G魔鹰</t>
  </si>
  <si>
    <t>RX9070 16G</t>
  </si>
  <si>
    <t>RX9070 XT 16G</t>
  </si>
  <si>
    <t>RX 7650 GRE GAMING OC-8G魔鹰</t>
    <phoneticPr fontId="1" type="noConversion"/>
  </si>
  <si>
    <t>RX 9070XT GAMING OC-16G魔鹰</t>
    <phoneticPr fontId="1" type="noConversion"/>
  </si>
  <si>
    <t>RX 9070XT AORUS E-16G小雕</t>
    <phoneticPr fontId="1" type="noConversion"/>
  </si>
  <si>
    <t>A卡+4年</t>
    <phoneticPr fontId="1" type="noConversion"/>
  </si>
  <si>
    <t>DP1.4a*2+HDMI2.1a*2</t>
    <phoneticPr fontId="1" type="noConversion"/>
  </si>
  <si>
    <t>DP2.1a*2+HDMI2.1b*2</t>
    <phoneticPr fontId="1" type="noConversion"/>
  </si>
  <si>
    <t>8GB / GDDR6</t>
  </si>
  <si>
    <t>18 Gbps /128bit</t>
  </si>
  <si>
    <t>8 pin*l /600W</t>
  </si>
  <si>
    <t>282*115*50 mm</t>
  </si>
  <si>
    <t>16GB / GDDR6</t>
  </si>
  <si>
    <t>20 Gbps /256bit</t>
  </si>
  <si>
    <t>8 pin*2 /750W</t>
  </si>
  <si>
    <t>288*132*50 mm</t>
  </si>
  <si>
    <t>8 pin*3 /850W</t>
  </si>
  <si>
    <t>288*132*56 mm</t>
  </si>
  <si>
    <t>339*136*59 mm</t>
  </si>
  <si>
    <t>TBD</t>
  </si>
  <si>
    <t>2700 MHz</t>
  </si>
  <si>
    <t>3060 MHz</t>
  </si>
  <si>
    <t>3100 MHz</t>
  </si>
  <si>
    <t>E:\Git\ps_of_py\psd</t>
    <phoneticPr fontId="1" type="noConversion"/>
  </si>
  <si>
    <t>可显性丨显示器丨1</t>
    <phoneticPr fontId="1" type="noConversion"/>
  </si>
  <si>
    <t>特色</t>
    <phoneticPr fontId="1" type="noConversion"/>
  </si>
  <si>
    <t>分辨率</t>
    <phoneticPr fontId="1" type="noConversion"/>
  </si>
  <si>
    <t>面板</t>
    <phoneticPr fontId="1" type="noConversion"/>
  </si>
  <si>
    <t>色彩饱和度</t>
    <phoneticPr fontId="1" type="noConversion"/>
  </si>
  <si>
    <t>尺寸带支架</t>
    <phoneticPr fontId="1" type="noConversion"/>
  </si>
  <si>
    <t>信号输入接口</t>
    <phoneticPr fontId="1" type="noConversion"/>
  </si>
  <si>
    <t>MO27Q2</t>
  </si>
  <si>
    <t>MO27Q2</t>
    <phoneticPr fontId="1" type="noConversion"/>
  </si>
  <si>
    <t>2560 x 1440 (QHD)</t>
    <phoneticPr fontId="1" type="noConversion"/>
  </si>
  <si>
    <t>QD-OLED</t>
    <phoneticPr fontId="1" type="noConversion"/>
  </si>
  <si>
    <t>99% DCI-P3</t>
    <phoneticPr fontId="1" type="noConversion"/>
  </si>
  <si>
    <t>610 x 499 x 187 mm</t>
    <phoneticPr fontId="1" type="noConversion"/>
  </si>
  <si>
    <t>HDMI 2.1+DP1.4+Type-C</t>
    <phoneticPr fontId="1" type="noConversion"/>
  </si>
  <si>
    <t>刷新率/响应时间</t>
    <phoneticPr fontId="1" type="noConversion"/>
  </si>
  <si>
    <t>240Hz / 0.03ms</t>
    <phoneticPr fontId="1" type="noConversion"/>
  </si>
  <si>
    <t>显示器参数</t>
    <phoneticPr fontId="1" type="noConversion"/>
  </si>
  <si>
    <t>KVM多设备切换 / OLDE Care保护 /  HDR400</t>
    <phoneticPr fontId="1" type="noConversion"/>
  </si>
  <si>
    <t>360Hz / 0.03ms</t>
    <phoneticPr fontId="1" type="noConversion"/>
  </si>
  <si>
    <t>610 x 533 x 158 mm</t>
    <phoneticPr fontId="1" type="noConversion"/>
  </si>
  <si>
    <t>M27QA</t>
  </si>
  <si>
    <t>130% sRGB</t>
    <phoneticPr fontId="1" type="noConversion"/>
  </si>
  <si>
    <t>123% sRGB</t>
    <phoneticPr fontId="1" type="noConversion"/>
  </si>
  <si>
    <t>127% sRGB</t>
    <phoneticPr fontId="1" type="noConversion"/>
  </si>
  <si>
    <t>3840 x 2160 (UHD)</t>
    <phoneticPr fontId="1" type="noConversion"/>
  </si>
  <si>
    <t>160Hz / 1ms</t>
    <phoneticPr fontId="1" type="noConversion"/>
  </si>
  <si>
    <t>180Hz / 1ms</t>
    <phoneticPr fontId="1" type="noConversion"/>
  </si>
  <si>
    <t>SS IPS</t>
    <phoneticPr fontId="1" type="noConversion"/>
  </si>
  <si>
    <t>HDMI 2.1+DP1.4</t>
    <phoneticPr fontId="1" type="noConversion"/>
  </si>
  <si>
    <t>HDMI 2.0+DP1.4</t>
    <phoneticPr fontId="1" type="noConversion"/>
  </si>
  <si>
    <t>615*535*193 mm</t>
    <phoneticPr fontId="1" type="noConversion"/>
  </si>
  <si>
    <t>715*585*244 mm</t>
    <phoneticPr fontId="1" type="noConversion"/>
  </si>
  <si>
    <t>614*447*172 mm</t>
    <phoneticPr fontId="1" type="noConversion"/>
  </si>
  <si>
    <t>240 Hz / 1ms</t>
    <phoneticPr fontId="1" type="noConversion"/>
  </si>
  <si>
    <t>125% sRGB</t>
    <phoneticPr fontId="1" type="noConversion"/>
  </si>
  <si>
    <t>614*530*225 mm</t>
    <phoneticPr fontId="1" type="noConversion"/>
  </si>
  <si>
    <t>KVM多设备切换 /  HDR400 / 游戏辅助</t>
    <phoneticPr fontId="1" type="noConversion"/>
  </si>
  <si>
    <t>Freesync /  HDR400 / 游戏辅助</t>
    <phoneticPr fontId="1" type="noConversion"/>
  </si>
  <si>
    <t>G27QX</t>
    <phoneticPr fontId="1" type="noConversion"/>
  </si>
  <si>
    <t>M32U</t>
    <phoneticPr fontId="1" type="noConversion"/>
  </si>
  <si>
    <t>服务器级导热凝胶</t>
    <phoneticPr fontId="1" type="noConversion"/>
  </si>
  <si>
    <t>RX9070XT</t>
    <phoneticPr fontId="1" type="noConversion"/>
  </si>
  <si>
    <t>ELITE OC</t>
    <phoneticPr fontId="1" type="noConversion"/>
  </si>
  <si>
    <t>16G小雕</t>
    <phoneticPr fontId="1" type="noConversion"/>
  </si>
  <si>
    <t>RX 9070 GAMING OC-16G魔鹰</t>
  </si>
  <si>
    <t>RX 9070XT GAMING OC-16G魔鹰</t>
  </si>
  <si>
    <t>RX 9070XT AORUS E-16G小雕</t>
  </si>
  <si>
    <t>战圣Ⅱ P750GM</t>
  </si>
  <si>
    <t>猎鹰 UD850GM 黑(ATX2.0/金牌全模组）</t>
  </si>
  <si>
    <t>正逆转仿生风扇</t>
    <phoneticPr fontId="1" type="noConversion"/>
  </si>
  <si>
    <t>16G魔鹰</t>
    <phoneticPr fontId="1" type="noConversion"/>
  </si>
  <si>
    <t>注册4年保/个人送报丨25</t>
    <phoneticPr fontId="1" type="noConversion"/>
  </si>
  <si>
    <t>RTX 4070 12G</t>
    <phoneticPr fontId="1" type="noConversion"/>
  </si>
  <si>
    <t>446 AI TOPS</t>
    <phoneticPr fontId="1" type="noConversion"/>
  </si>
  <si>
    <t>2490 MHz</t>
    <phoneticPr fontId="1" type="noConversion"/>
  </si>
  <si>
    <t>12G / GDDR6X</t>
    <phoneticPr fontId="1" type="noConversion"/>
  </si>
  <si>
    <t>21 Gbps /192 bit</t>
    <phoneticPr fontId="1" type="noConversion"/>
  </si>
  <si>
    <t>8pin *1 / 650W</t>
    <phoneticPr fontId="1" type="noConversion"/>
  </si>
  <si>
    <t>261*126*50 mm</t>
    <phoneticPr fontId="1" type="noConversion"/>
  </si>
  <si>
    <t>DP1.4a * 3+HDM2.1ax1</t>
    <phoneticPr fontId="1" type="noConversion"/>
  </si>
  <si>
    <t>4070 WF3OC-12GD 风魔V2</t>
  </si>
  <si>
    <t>5888</t>
    <phoneticPr fontId="1" type="noConversion"/>
  </si>
  <si>
    <t>12G / GDDR6</t>
    <phoneticPr fontId="1" type="noConversion"/>
  </si>
  <si>
    <t>568 AI TOPS</t>
    <phoneticPr fontId="1" type="noConversion"/>
  </si>
  <si>
    <t>7168</t>
    <phoneticPr fontId="1" type="noConversion"/>
  </si>
  <si>
    <t>2505 MHz</t>
    <phoneticPr fontId="1" type="noConversion"/>
  </si>
  <si>
    <t>8pin *1 / 750W</t>
    <phoneticPr fontId="1" type="noConversion"/>
  </si>
  <si>
    <t>RTX 4070 Super 12G丨40</t>
    <phoneticPr fontId="1" type="noConversion"/>
  </si>
  <si>
    <t>4070S WF3OC-12GD 风魔</t>
    <phoneticPr fontId="1" type="noConversion"/>
  </si>
  <si>
    <t>三年质保/个人送保丨25</t>
    <phoneticPr fontId="1" type="noConversion"/>
  </si>
  <si>
    <t>RTX5060Ti 8G</t>
    <phoneticPr fontId="1" type="noConversion"/>
  </si>
  <si>
    <t>RTX5060Ti 16G</t>
    <phoneticPr fontId="1" type="noConversion"/>
  </si>
  <si>
    <t>WF OC风魔</t>
    <phoneticPr fontId="1" type="noConversion"/>
  </si>
  <si>
    <t>WF 风魔</t>
    <phoneticPr fontId="1" type="noConversion"/>
  </si>
  <si>
    <t>AERO OC 魔鹰</t>
    <phoneticPr fontId="1" type="noConversion"/>
  </si>
  <si>
    <t>AORUS E 小雕</t>
    <phoneticPr fontId="1" type="noConversion"/>
  </si>
  <si>
    <t>2722 MHz</t>
    <phoneticPr fontId="1" type="noConversion"/>
  </si>
  <si>
    <t>2647 MHz</t>
    <phoneticPr fontId="1" type="noConversion"/>
  </si>
  <si>
    <t>329*128*41 mm</t>
    <phoneticPr fontId="1" type="noConversion"/>
  </si>
  <si>
    <t>281*119*40 mm</t>
    <phoneticPr fontId="1" type="noConversion"/>
  </si>
  <si>
    <t>281*117*40 mm</t>
    <phoneticPr fontId="1" type="noConversion"/>
  </si>
  <si>
    <t>28 Gbps /128bit</t>
    <phoneticPr fontId="1" type="noConversion"/>
  </si>
  <si>
    <t>8 pin*1 /650W</t>
    <phoneticPr fontId="1" type="noConversion"/>
  </si>
  <si>
    <t>2587 MHz</t>
    <phoneticPr fontId="1" type="noConversion"/>
  </si>
  <si>
    <t>2572 MHz</t>
    <phoneticPr fontId="1" type="noConversion"/>
  </si>
  <si>
    <t>2617 MHz</t>
    <phoneticPr fontId="1" type="noConversion"/>
  </si>
  <si>
    <t>215*122*40 mm</t>
    <phoneticPr fontId="1" type="noConversion"/>
  </si>
  <si>
    <t>208*120*40 mm</t>
    <phoneticPr fontId="1" type="noConversion"/>
  </si>
  <si>
    <t>8GB / GDDR7</t>
    <phoneticPr fontId="1" type="noConversion"/>
  </si>
  <si>
    <t>759 AI TOPS</t>
    <phoneticPr fontId="1" type="noConversion"/>
  </si>
  <si>
    <t>4608</t>
    <phoneticPr fontId="1" type="noConversion"/>
  </si>
  <si>
    <t>AORUS ELITE小雕</t>
    <phoneticPr fontId="1" type="noConversion"/>
  </si>
  <si>
    <t>计算单元</t>
    <phoneticPr fontId="1" type="noConversion"/>
  </si>
  <si>
    <t>流处理器数量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</si>
</sst>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22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b/>
      <sz val="18"/>
      <color theme="0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sz val="9.5"/>
      <color theme="1"/>
      <name val="Arial"/>
      <family val="2"/>
    </font>
    <font>
      <sz val="9.5"/>
      <name val="Arial"/>
      <family val="2"/>
    </font>
    <font>
      <sz val="9.5"/>
      <color theme="1"/>
      <name val="微软雅黑"/>
      <family val="2"/>
      <charset val="134"/>
    </font>
    <font>
      <sz val="9.5"/>
      <color theme="1"/>
      <name val="Arial"/>
      <family val="2"/>
      <charset val="134"/>
    </font>
    <font>
      <sz val="10"/>
      <color rgb="FF434343"/>
      <name val="Inherit"/>
      <family val="2"/>
    </font>
    <font>
      <sz val="9.5"/>
      <color rgb="FF000000"/>
      <name val="Arial"/>
      <family val="2"/>
    </font>
    <font>
      <sz val="10"/>
      <name val="Arial"/>
      <family val="2"/>
    </font>
    <font>
      <sz val="18"/>
      <color theme="1"/>
      <name val="钉钉进步体"/>
      <family val="1"/>
      <charset val="134"/>
    </font>
  </fonts>
  <fills count="1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18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0AD47"/>
      </top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7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1" applyNumberFormat="0" applyAlignment="0" applyProtection="0">
      <alignment vertical="center"/>
    </xf>
    <xf numFmtId="0" fontId="7" fillId="0" borderId="0">
      <alignment vertical="center"/>
    </xf>
    <xf numFmtId="0" fontId="9" fillId="5" borderId="2" applyNumberFormat="0" applyAlignment="0" applyProtection="0">
      <alignment vertical="center"/>
    </xf>
    <xf numFmtId="0" fontId="20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49" fontId="0" fillId="0" borderId="0" xfId="0" applyNumberFormat="1"/>
    <xf numFmtId="0" fontId="3" fillId="2" borderId="1" xfId="1" applyBorder="1" applyAlignment="1">
      <alignment horizontal="center" vertical="center"/>
    </xf>
    <xf numFmtId="0" fontId="4" fillId="3" borderId="1" xfId="2" applyBorder="1" applyAlignment="1">
      <alignment horizontal="center" vertical="center"/>
    </xf>
    <xf numFmtId="0" fontId="0" fillId="0" borderId="0" xfId="0" applyAlignment="1">
      <alignment vertical="center"/>
    </xf>
    <xf numFmtId="176" fontId="6" fillId="4" borderId="1" xfId="3" applyNumberFormat="1" applyFont="1" applyAlignment="1">
      <alignment horizontal="center" vertical="center"/>
    </xf>
    <xf numFmtId="176" fontId="0" fillId="0" borderId="0" xfId="0" applyNumberFormat="1" applyAlignment="1">
      <alignment vertical="center"/>
    </xf>
    <xf numFmtId="0" fontId="0" fillId="0" borderId="0" xfId="0" quotePrefix="1"/>
    <xf numFmtId="0" fontId="8" fillId="0" borderId="0" xfId="0" applyFont="1"/>
    <xf numFmtId="0" fontId="10" fillId="0" borderId="0" xfId="0" applyFont="1" applyAlignment="1">
      <alignment vertical="center"/>
    </xf>
    <xf numFmtId="0" fontId="14" fillId="0" borderId="0" xfId="3" applyNumberFormat="1" applyFont="1" applyFill="1" applyBorder="1" applyAlignment="1" applyProtection="1">
      <alignment horizontal="left"/>
      <protection locked="0"/>
    </xf>
    <xf numFmtId="176" fontId="15" fillId="7" borderId="15" xfId="0" applyNumberFormat="1" applyFont="1" applyFill="1" applyBorder="1" applyAlignment="1" applyProtection="1">
      <alignment horizontal="left"/>
      <protection locked="0"/>
    </xf>
    <xf numFmtId="0" fontId="14" fillId="6" borderId="0" xfId="3" applyNumberFormat="1" applyFont="1" applyFill="1" applyBorder="1" applyAlignment="1" applyProtection="1"/>
    <xf numFmtId="49" fontId="3" fillId="2" borderId="1" xfId="1" applyNumberFormat="1" applyBorder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quotePrefix="1" applyNumberFormat="1"/>
    <xf numFmtId="0" fontId="8" fillId="8" borderId="16" xfId="0" applyFont="1" applyFill="1" applyBorder="1"/>
    <xf numFmtId="0" fontId="17" fillId="0" borderId="0" xfId="3" applyNumberFormat="1" applyFont="1" applyFill="1" applyBorder="1" applyAlignment="1" applyProtection="1">
      <alignment horizontal="left"/>
      <protection locked="0"/>
    </xf>
    <xf numFmtId="0" fontId="18" fillId="0" borderId="0" xfId="0" applyFont="1" applyAlignment="1">
      <alignment vertical="center" wrapText="1"/>
    </xf>
    <xf numFmtId="0" fontId="14" fillId="0" borderId="0" xfId="3" applyNumberFormat="1" applyFont="1" applyFill="1" applyBorder="1" applyAlignment="1" applyProtection="1"/>
    <xf numFmtId="0" fontId="0" fillId="0" borderId="0" xfId="0" applyAlignment="1">
      <alignment wrapText="1"/>
    </xf>
    <xf numFmtId="176" fontId="0" fillId="0" borderId="0" xfId="0" applyNumberFormat="1" applyAlignment="1">
      <alignment wrapText="1"/>
    </xf>
    <xf numFmtId="176" fontId="14" fillId="0" borderId="0" xfId="3" applyNumberFormat="1" applyFont="1" applyFill="1" applyBorder="1" applyAlignment="1" applyProtection="1">
      <alignment horizontal="left"/>
    </xf>
    <xf numFmtId="176" fontId="8" fillId="8" borderId="17" xfId="0" applyNumberFormat="1" applyFont="1" applyFill="1" applyBorder="1" applyAlignment="1">
      <alignment vertical="center"/>
    </xf>
    <xf numFmtId="176" fontId="8" fillId="9" borderId="17" xfId="0" applyNumberFormat="1" applyFont="1" applyFill="1" applyBorder="1" applyAlignment="1">
      <alignment vertical="center"/>
    </xf>
    <xf numFmtId="0" fontId="8" fillId="8" borderId="17" xfId="0" applyFont="1" applyFill="1" applyBorder="1"/>
    <xf numFmtId="0" fontId="8" fillId="9" borderId="17" xfId="0" applyFont="1" applyFill="1" applyBorder="1"/>
    <xf numFmtId="176" fontId="14" fillId="0" borderId="0" xfId="3" applyNumberFormat="1" applyFont="1" applyFill="1" applyBorder="1" applyAlignment="1" applyProtection="1">
      <alignment horizontal="left"/>
      <protection locked="0"/>
    </xf>
    <xf numFmtId="0" fontId="19" fillId="6" borderId="15" xfId="0" applyFont="1" applyFill="1" applyBorder="1"/>
    <xf numFmtId="0" fontId="21" fillId="0" borderId="0" xfId="0" applyFont="1" applyAlignment="1">
      <alignment vertical="center"/>
    </xf>
    <xf numFmtId="49" fontId="21" fillId="0" borderId="0" xfId="0" applyNumberFormat="1" applyFont="1"/>
    <xf numFmtId="0" fontId="21" fillId="0" borderId="0" xfId="0" applyFont="1"/>
    <xf numFmtId="0" fontId="13" fillId="4" borderId="1" xfId="3" applyFont="1" applyAlignment="1">
      <alignment horizontal="center" vertical="center"/>
    </xf>
    <xf numFmtId="0" fontId="12" fillId="4" borderId="3" xfId="3" applyFont="1" applyBorder="1" applyAlignment="1">
      <alignment horizontal="center" vertical="center"/>
    </xf>
    <xf numFmtId="0" fontId="12" fillId="4" borderId="4" xfId="3" applyFont="1" applyBorder="1" applyAlignment="1">
      <alignment horizontal="center" vertical="center"/>
    </xf>
    <xf numFmtId="0" fontId="12" fillId="4" borderId="5" xfId="3" applyFont="1" applyBorder="1" applyAlignment="1">
      <alignment horizontal="center" vertical="center"/>
    </xf>
    <xf numFmtId="0" fontId="12" fillId="4" borderId="6" xfId="3" applyFont="1" applyBorder="1" applyAlignment="1">
      <alignment horizontal="center" vertical="center"/>
    </xf>
    <xf numFmtId="0" fontId="12" fillId="4" borderId="7" xfId="3" applyFont="1" applyBorder="1" applyAlignment="1">
      <alignment horizontal="center" vertical="center"/>
    </xf>
    <xf numFmtId="0" fontId="12" fillId="4" borderId="8" xfId="3" applyFont="1" applyBorder="1" applyAlignment="1">
      <alignment horizontal="center" vertical="center"/>
    </xf>
    <xf numFmtId="0" fontId="11" fillId="5" borderId="9" xfId="5" applyFont="1" applyBorder="1" applyAlignment="1">
      <alignment horizontal="center" vertical="center"/>
    </xf>
    <xf numFmtId="0" fontId="11" fillId="5" borderId="10" xfId="5" applyFont="1" applyBorder="1" applyAlignment="1">
      <alignment horizontal="center" vertical="center"/>
    </xf>
    <xf numFmtId="0" fontId="11" fillId="5" borderId="11" xfId="5" applyFont="1" applyBorder="1" applyAlignment="1">
      <alignment horizontal="center" vertical="center"/>
    </xf>
    <xf numFmtId="0" fontId="11" fillId="5" borderId="12" xfId="5" applyFont="1" applyBorder="1" applyAlignment="1">
      <alignment horizontal="center" vertical="center"/>
    </xf>
    <xf numFmtId="0" fontId="13" fillId="4" borderId="3" xfId="3" applyFont="1" applyBorder="1" applyAlignment="1">
      <alignment horizontal="center" vertical="center"/>
    </xf>
    <xf numFmtId="0" fontId="13" fillId="4" borderId="4" xfId="3" applyFont="1" applyBorder="1" applyAlignment="1">
      <alignment horizontal="center" vertical="center"/>
    </xf>
    <xf numFmtId="0" fontId="13" fillId="4" borderId="5" xfId="3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8" xfId="3" applyFont="1" applyBorder="1" applyAlignment="1">
      <alignment horizontal="center" vertical="center"/>
    </xf>
    <xf numFmtId="0" fontId="11" fillId="5" borderId="13" xfId="5" applyFont="1" applyBorder="1" applyAlignment="1">
      <alignment horizontal="center" vertical="center"/>
    </xf>
    <xf numFmtId="0" fontId="11" fillId="5" borderId="14" xfId="5" applyFont="1" applyBorder="1" applyAlignment="1">
      <alignment horizontal="center" vertical="center"/>
    </xf>
  </cellXfs>
  <cellStyles count="7">
    <cellStyle name="差" xfId="1" builtinId="27"/>
    <cellStyle name="常规" xfId="0" builtinId="0"/>
    <cellStyle name="常规 2" xfId="6" xr:uid="{D2C7EA1A-829E-49CD-8293-6C3C5C3A289B}"/>
    <cellStyle name="常规 4" xfId="4" xr:uid="{AA5C74C1-2870-45E9-9263-26161E6C77AF}"/>
    <cellStyle name="计算" xfId="5" builtinId="22"/>
    <cellStyle name="检查单元格" xfId="3" builtinId="23"/>
    <cellStyle name="适中" xfId="2" builtinId="28"/>
  </cellStyles>
  <dxfs count="22"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76" formatCode="0_);[Red]\(0\)"/>
    </dxf>
    <dxf>
      <numFmt numFmtId="0" formatCode="General"/>
    </dxf>
    <dxf>
      <numFmt numFmtId="176" formatCode="0_);[Red]\(0\)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176" formatCode="0_);[Red]\(0\)"/>
    </dxf>
    <dxf>
      <numFmt numFmtId="176" formatCode="0_);[Red]\(0\)"/>
    </dxf>
    <dxf>
      <numFmt numFmtId="30" formatCode="@"/>
    </dxf>
    <dxf>
      <numFmt numFmtId="176" formatCode="0_);[Red]\(0\)"/>
    </dxf>
    <dxf>
      <numFmt numFmtId="176" formatCode="0_);[Red]\(0\)"/>
    </dxf>
    <dxf>
      <fill>
        <patternFill patternType="none">
          <bgColor auto="1"/>
        </patternFill>
      </fill>
    </dxf>
    <dxf>
      <numFmt numFmtId="176" formatCode="0_);[Red]\(0\)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numFmt numFmtId="176" formatCode="0_);[Red]\(0\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857250</xdr:colOff>
          <xdr:row>1</xdr:row>
          <xdr:rowOff>28575</xdr:rowOff>
        </xdr:from>
        <xdr:to>
          <xdr:col>5</xdr:col>
          <xdr:colOff>1304925</xdr:colOff>
          <xdr:row>2</xdr:row>
          <xdr:rowOff>76200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857250</xdr:colOff>
          <xdr:row>1</xdr:row>
          <xdr:rowOff>28575</xdr:rowOff>
        </xdr:from>
        <xdr:to>
          <xdr:col>4</xdr:col>
          <xdr:colOff>1304925</xdr:colOff>
          <xdr:row>2</xdr:row>
          <xdr:rowOff>76200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按钮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DB1D43-CD3D-43EF-A30F-D103DC711DB5}" name="表1" displayName="表1" ref="B10:P107" totalsRowShown="0">
  <autoFilter ref="B10:P107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277935D9-DDBF-4BE0-9866-726DB775E380}" name="导出文件名" dataDxfId="21"/>
    <tableColumn id="11" xr3:uid="{B8991876-BAE0-484C-9CAF-CBF33C7BE4E1}" name="备注1"/>
    <tableColumn id="5" xr3:uid="{1898C6F2-EC17-42DE-9A65-E385F8D1736E}" name="备注2"/>
    <tableColumn id="2" xr3:uid="{C9F89EE2-C14F-4597-8E5B-CEC9401C030C}" name="文本丨标题丨标题1"/>
    <tableColumn id="3" xr3:uid="{AA1C0908-0476-47AB-899D-B363EE657059}" name="文本丨标题丨标题2"/>
    <tableColumn id="13" xr3:uid="{BA04AA43-49B2-4B72-B65A-61CF97793891}" name="文本丨标题丨标题3"/>
    <tableColumn id="7" xr3:uid="{2AF0C491-766E-4408-B8E5-EDFAB782CD04}" name="文本丨利益点丨利益点0"/>
    <tableColumn id="6" xr3:uid="{985367BE-1416-47B4-8BF3-8B9A7467710E}" name="文本丨利益点丨利益点1"/>
    <tableColumn id="4" xr3:uid="{EBD4F8E5-F51D-4B3F-9749-CB3A9E2AD271}" name="文本丨利益点丨利益点2"/>
    <tableColumn id="9" xr3:uid="{72E79407-37DF-4C23-AA70-02504BDB8F0F}" name="文本丨利益点丨利益点3"/>
    <tableColumn id="12" xr3:uid="{E43EABFB-1E1C-4C24-8C71-6D15D15A4E5A}" name="可显性丨CPU丨"/>
    <tableColumn id="14" xr3:uid="{0DE65C42-620A-44D8-9B07-3A5E2E0BBC88}" name="可显性丨主板丨"/>
    <tableColumn id="10" xr3:uid="{C26C8613-64B1-4DC2-A70B-BAAE4280F857}" name="可显性丨其他丨"/>
    <tableColumn id="15" xr3:uid="{EDB6FEB1-01C2-4BD1-84C2-F7CCF7E97A73}" name="可显性丨LOGO丨"/>
    <tableColumn id="16" xr3:uid="{2C5F74BF-A824-428C-9631-79AFB96997DE}" name="可显性丨其他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DF6717C-6A7F-42DD-8E1D-A0EAD2C13E85}" name="表1_11" displayName="表1_11" ref="B10:Q126" totalsRowShown="0" headerRowDxfId="20" headerRowCellStyle="适中">
  <autoFilter ref="B10:Q1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3218B40D-B21F-45AB-98EC-1843BA680A09}" name="导出文件名" dataDxfId="19"/>
    <tableColumn id="11" xr3:uid="{E9A80C52-B02F-4626-898B-5C14C69453DC}" name="备注1"/>
    <tableColumn id="5" xr3:uid="{570EC74B-A755-4758-AE86-AB065AC1498B}" name="备注2"/>
    <tableColumn id="2" xr3:uid="{CA8E6B7D-9D93-44A3-9EE9-F5F6D12CF4B4}" name="文本丨标题丨标题1"/>
    <tableColumn id="8" xr3:uid="{A72D0B5D-D376-417C-A544-40841A7CA0B6}" name="文本丨标题丨标题2"/>
    <tableColumn id="3" xr3:uid="{8A0E83C4-B825-4C2E-A469-E4D0D2E7EE8C}" name="文本丨规格丨规格1"/>
    <tableColumn id="13" xr3:uid="{658A5420-2033-4462-94A0-B363DD6F5FD4}" name="文本丨规格丨规格2"/>
    <tableColumn id="7" xr3:uid="{A7DA9E21-45EF-4607-AC39-40A3841E1059}" name="文本丨规格丨规格3"/>
    <tableColumn id="6" xr3:uid="{7E29AE52-8207-49DC-8051-CA7392025269}" name="文本丨规格丨规格4"/>
    <tableColumn id="4" xr3:uid="{D2A1B47D-92C8-4E35-8D6E-A4EADB6BB2E2}" name="文本丨规格丨规格5"/>
    <tableColumn id="9" xr3:uid="{0BBA4107-34A0-454D-91F1-54571CCCC285}" name="文本丨规格丨规格6"/>
    <tableColumn id="12" xr3:uid="{749DC90E-8408-4B54-B2AA-F42B751E3473}" name="文本丨规格丨规格7"/>
    <tableColumn id="14" xr3:uid="{34B620BB-511B-4B9D-89EF-59FBFE319F69}" name="文本丨规格丨规格8"/>
    <tableColumn id="10" xr3:uid="{BAB45EA1-A483-4FAC-9506-D92798A55DFD}" name="可显性丨显卡丨1"/>
    <tableColumn id="15" xr3:uid="{E35B31E4-79E0-44B0-9A03-7A4E654E2B32}" name="可显性丨LOGO丨1"/>
    <tableColumn id="16" xr3:uid="{EAA61FE7-5694-4D61-8189-0642F49B59AB}" name="可显性丨LOGO丨2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1535EEC-2626-43D6-9799-BA9D208D3032}" name="表1_1112" displayName="表1_1112" ref="B10:Q113" totalsRowShown="0" headerRowDxfId="18" headerRowCellStyle="适中">
  <autoFilter ref="B10:Q113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917B990C-CCFA-4F25-977A-30A9C3A69494}" name="导出文件名" dataDxfId="17"/>
    <tableColumn id="11" xr3:uid="{5EABA731-343A-4B0B-AED7-17A8FDD1F143}" name="备注1"/>
    <tableColumn id="5" xr3:uid="{4760F942-433F-4FD5-9FFB-AF34465D061A}" name="备注2"/>
    <tableColumn id="2" xr3:uid="{942E3464-718B-4D55-B8D0-916B6A64DD39}" name="文本丨标题丨标题1"/>
    <tableColumn id="8" xr3:uid="{30948A16-431B-4414-9382-2481E088ADA9}" name="文本丨标题丨标题2"/>
    <tableColumn id="3" xr3:uid="{6D8F0240-BD48-4953-993C-C7D06CD77012}" name="文本丨规格丨规格1"/>
    <tableColumn id="13" xr3:uid="{5C978D2C-6546-4786-8E1C-E496CCC29310}" name="文本丨规格丨规格2"/>
    <tableColumn id="7" xr3:uid="{32870EC4-B33D-4F82-9D6F-7A8D1AA2D1D9}" name="文本丨规格丨规格3"/>
    <tableColumn id="6" xr3:uid="{EA0A7150-627E-4E39-A7B8-65FEF56690C3}" name="文本丨规格丨规格4"/>
    <tableColumn id="4" xr3:uid="{A4469278-7B62-4B0E-8C7F-6993949E479C}" name="文本丨规格丨规格5"/>
    <tableColumn id="9" xr3:uid="{D0E5575C-C6AE-4DC8-B759-E3A06EB1770D}" name="文本丨规格丨规格6"/>
    <tableColumn id="12" xr3:uid="{299479FC-CF2B-40B2-B322-CE65F6D163BB}" name="文本丨规格丨规格7"/>
    <tableColumn id="14" xr3:uid="{FE3E5FB1-DA17-43CA-9A6C-6679F9308E56}" name="文本丨规格丨规格8"/>
    <tableColumn id="10" xr3:uid="{FD8D830E-D031-42E0-927A-0F52105DA88C}" name="可显性丨显示器丨1"/>
    <tableColumn id="15" xr3:uid="{5AF9F292-E27B-46E1-B479-DBDDA33BA426}" name="可显性丨LOGO丨1"/>
    <tableColumn id="16" xr3:uid="{D7C45252-425C-4964-805B-AB3AA9001528}" name="可显性丨LOGO丨2"/>
  </tableColumns>
  <tableStyleInfo name="TableStyleMedium1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FBC9CF-DD71-4D47-94C8-26F120FEC075}" name="表1_53" displayName="表1_53" ref="B10:R222" totalsRowShown="0">
  <autoFilter ref="B10:R222" xr:uid="{D9FBC9CF-DD71-4D47-94C8-26F120FEC075}"/>
  <tableColumns count="17">
    <tableColumn id="1" xr3:uid="{8773CDCF-5E68-4752-9BBE-9ECE91FE4E26}" name="导出文件名" dataDxfId="16"/>
    <tableColumn id="11" xr3:uid="{F5431555-3E48-46A9-AB6D-FB31F318E6D6}" name="备注1" dataDxfId="15"/>
    <tableColumn id="5" xr3:uid="{34DB4FC8-82E1-4B55-9C4F-FC310F43CD71}" name="备注2"/>
    <tableColumn id="12" xr3:uid="{2FC00F1E-E06B-4228-A405-5E9D661260A4}" name="免息"/>
    <tableColumn id="2" xr3:uid="{62EDAA28-936F-4846-8348-DF45E8A714B2}" name="文本丨标题丨标题1"/>
    <tableColumn id="7" xr3:uid="{9C2220FB-0457-4D00-A99C-07A8670F433A}" name="文本丨标题丨标题2"/>
    <tableColumn id="6" xr3:uid="{3D137D56-165F-4BA1-AE7E-960E1E45193F}" name="文本丨标题丨标题3"/>
    <tableColumn id="4" xr3:uid="{71FD0DEC-CE29-4A9B-B887-720A20245F7F}" name="文本丨利益点丨利益点1"/>
    <tableColumn id="9" xr3:uid="{58284AB3-8F2C-4B26-8EAB-8608CFCD44A7}" name="文本丨利益点丨利益点2"/>
    <tableColumn id="3" xr3:uid="{1ECFC2BB-8D39-4A5A-822D-C7BA6BF4A878}" name="文本丨利益点丨利益点3"/>
    <tableColumn id="10" xr3:uid="{988BC5E7-BDDA-4CBB-9D76-19246C94F0DA}" name="文本丨其他丨算力"/>
    <tableColumn id="14" xr3:uid="{D0D07F81-354E-404F-956D-57C83528CC83}" name="可显性丨显卡丨"/>
    <tableColumn id="19" xr3:uid="{53DA6867-09C4-420D-AB68-C6853D9EBE30}" name="可显性丨电源丨"/>
    <tableColumn id="15" xr3:uid="{6D9C0C32-AF4E-47E2-9F16-F060F3446580}" name="可显性丨LOGO丨"/>
    <tableColumn id="13" xr3:uid="{27E48977-1C2B-4E6F-8414-6B0D844520B8}" name="可显性丨LOGO丨2"/>
    <tableColumn id="8" xr3:uid="{7BEA3B22-9D23-4A62-931E-E197FB3C6467}" name="可显性丨其他丨"/>
    <tableColumn id="16" xr3:uid="{9F4E8C30-BDD8-41EA-9B29-1FF47111F988}" name="可显性丨其他丨2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2FA755-1E34-4887-A550-110F7ED3A605}" name="表1_4" displayName="表1_4" ref="B10:P26" totalsRowShown="0">
  <autoFilter ref="B10:P2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E582C43B-8A00-41C7-B879-74057489A42C}" name="导出文件名" dataDxfId="14"/>
    <tableColumn id="11" xr3:uid="{B8D67746-EB41-483F-A216-35B0B81254DB}" name="备注1"/>
    <tableColumn id="5" xr3:uid="{93ED235C-FD8F-4FCC-BD2C-898BA399F886}" name="备注2"/>
    <tableColumn id="2" xr3:uid="{EFF31A17-E057-4013-8425-CE018CFE688D}" name="文本丨标题丨标题1"/>
    <tableColumn id="3" xr3:uid="{722FD1E8-5D16-4DFA-9383-BF88C570D1AA}" name="文本丨标题丨标题2"/>
    <tableColumn id="13" xr3:uid="{B7B690F5-0F44-4E36-88F2-824C15AA8001}" name="文本丨标题丨标题3"/>
    <tableColumn id="7" xr3:uid="{150C90A5-0159-4005-A552-6BD49A87D508}" name="文本丨利益点丨利益点0"/>
    <tableColumn id="6" xr3:uid="{0EA6222B-1200-4CE1-B310-CF2AF82A72CB}" name="文本丨利益点丨利益点1"/>
    <tableColumn id="4" xr3:uid="{DDA41C6C-9C86-4291-AE5C-57429DCF096C}" name="文本丨利益点丨利益点2"/>
    <tableColumn id="9" xr3:uid="{761F087E-8AA9-4908-95EE-9FA51FCE7413}" name="文本丨利益点丨利益点3"/>
    <tableColumn id="12" xr3:uid="{FB36F532-C5D1-4EA7-B483-8132E64D0F94}" name="可显性丨CPU丨图层4"/>
    <tableColumn id="14" xr3:uid="{AD799E27-2735-4DAC-BC81-99D9EE9A67ED}" name="可显性丨主板丨图层5"/>
    <tableColumn id="10" xr3:uid="{0B2F1020-7DBB-4373-B367-4730C5415074}" name="可显性丨其他丨图层6"/>
    <tableColumn id="15" xr3:uid="{8C947F9B-2EF5-4390-B908-9E4A58DA9F18}" name="可显性丨丨图"/>
    <tableColumn id="16" xr3:uid="{64C2F441-C708-4ACB-82B2-68E29D2A3DE7}" name="可显性丨其他丨图层8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282C551-A8C4-4AAD-BA97-A4D199B1AFFC}" name="表1_58" displayName="表1_58" ref="B10:P49" totalsRowShown="0">
  <autoFilter ref="B10:P4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15365AD4-E948-425A-85A3-95E6AE09F5EE}" name="导出文件名" dataDxfId="13"/>
    <tableColumn id="11" xr3:uid="{280A3639-6A87-415C-945D-D7B0C2D87D93}" name="备注1"/>
    <tableColumn id="5" xr3:uid="{FDFFB721-2078-44F2-A165-390BD1AE79CF}" name="备注2"/>
    <tableColumn id="2" xr3:uid="{AADD2C00-E5B3-470E-9D09-328B5765391D}" name="文本丨标题丨标题1"/>
    <tableColumn id="7" xr3:uid="{CA7E5A9D-2082-4D25-BF75-64F1C45E8D19}" name="文本丨规格丨规格1"/>
    <tableColumn id="6" xr3:uid="{487F7160-FF66-4B0D-9275-6AC8723B1D30}" name="文本丨规格丨规格2" dataDxfId="12"/>
    <tableColumn id="4" xr3:uid="{B84DAE58-C148-47B7-8D39-F7E57ED77530}" name="文本丨规格丨规格3"/>
    <tableColumn id="9" xr3:uid="{D00A6910-99CA-4569-8E9B-8A6A98482537}" name="文本丨规格丨规格4"/>
    <tableColumn id="3" xr3:uid="{D769CB55-DA4B-435E-A34A-2AAD5F7E9FCF}" name="文本丨规格丨规格5"/>
    <tableColumn id="8" xr3:uid="{423D1788-3745-4979-8223-8AC6B9A25BD9}" name="文本丨规格丨规格6"/>
    <tableColumn id="17" xr3:uid="{580CF735-571A-43DF-AD24-CCE35C79DC18}" name="文本丨规格丨规格7"/>
    <tableColumn id="18" xr3:uid="{691FE733-2B7F-4FC8-B0CC-B7B530B0BF31}" name="文本丨规格丨规格8"/>
    <tableColumn id="14" xr3:uid="{85D95D82-2A20-4769-904B-2D993D457F5C}" name="可显性丨显卡丨1"/>
    <tableColumn id="10" xr3:uid="{539DDAF0-FD30-4CA0-9BF1-7D34DF206458}" name="可显性丨LOGO丨1"/>
    <tableColumn id="15" xr3:uid="{9BADFA2E-8414-4C49-90D2-10837428FE01}" name="可显性丨LOGO丨2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14F7AB-31D7-4F10-9502-18B9870BAAFD}" name="表1_5" displayName="表1_5" ref="B10:R66" totalsRowShown="0">
  <autoFilter ref="B10:R66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C0F7C0F2-C3B3-4398-B835-20B6C490719B}" name="导出文件名" dataDxfId="11"/>
    <tableColumn id="11" xr3:uid="{150C9891-E230-49D8-B645-8366BEC2887D}" name="备注1"/>
    <tableColumn id="5" xr3:uid="{D65ACC85-6DCE-42E7-AD20-EF92CA78E9A2}" name="备注2"/>
    <tableColumn id="2" xr3:uid="{5C1B0639-F202-4EB6-8DC2-25F6738D741E}" name="文本丨标题丨标题1"/>
    <tableColumn id="7" xr3:uid="{F3069D77-43CB-4FEE-BFF7-5D9E0FAF9054}" name="文本丨规格丨规格1"/>
    <tableColumn id="6" xr3:uid="{6CE8EE86-EFB4-47E9-B061-8402792F0AE7}" name="文本丨规格丨规格2"/>
    <tableColumn id="4" xr3:uid="{E2A96031-42AE-4AA4-AA6A-07ED33EE223E}" name="文本丨规格丨规格3"/>
    <tableColumn id="9" xr3:uid="{33CB04A8-5BC8-4D16-A938-900F3A18C554}" name="文本丨规格丨规格4"/>
    <tableColumn id="3" xr3:uid="{9853B00B-3768-49BF-ABAE-C67D36BE1E2C}" name="文本丨规格丨规格5"/>
    <tableColumn id="8" xr3:uid="{B2D309EF-AC0F-4174-A10E-808737EAAB7E}" name="文本丨规格丨规格6"/>
    <tableColumn id="17" xr3:uid="{8077EC79-EB6A-4293-B39E-64AF74603A7A}" name="文本丨规格丨规格7"/>
    <tableColumn id="18" xr3:uid="{77B1A1C4-06C8-42EA-9141-E3B90C280F69}" name="文本丨规格丨规格8"/>
    <tableColumn id="14" xr3:uid="{7F515745-804E-477F-B027-58F7529F759D}" name="可显性丨主板丨"/>
    <tableColumn id="19" xr3:uid="{3FF0398F-F5A5-4E65-B454-68295814BCF0}" name="可显性丨利益点丨"/>
    <tableColumn id="10" xr3:uid="{11DDC3EA-A413-4459-B01F-AD254C2A0D47}" name="可显性丨利益点丨2"/>
    <tableColumn id="15" xr3:uid="{FBC046D8-4764-42E0-9F92-DB4B534561D3}" name="可显性丨LOGO丨"/>
    <tableColumn id="16" xr3:uid="{11A1AD2C-382A-4A27-8F88-5D30B9A46920}" name="可显性丨LOGO丨2"/>
  </tableColumns>
  <tableStyleInfo name="TableStyleMedium1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25B98B5-1B00-4C03-A69C-F7DB2E3F21F3}" name="表1_536" displayName="表1_536" ref="B10:Q165" totalsRowShown="0">
  <autoFilter ref="B10:Q165" xr:uid="{D9FBC9CF-DD71-4D47-94C8-26F120FEC075}"/>
  <tableColumns count="16">
    <tableColumn id="1" xr3:uid="{15331C5C-093C-4EE2-9185-3DF811E6900F}" name="导出文件名" dataDxfId="10"/>
    <tableColumn id="11" xr3:uid="{A0A9BB11-CF6C-4038-8FA8-7B3C7A883B12}" name="备注1"/>
    <tableColumn id="5" xr3:uid="{E8D2629D-365C-49A1-8A4A-131AFAC43039}" name="备注2"/>
    <tableColumn id="12" xr3:uid="{1BC167BF-E984-4EA4-8A4F-74ACB482FDCD}" name="免息"/>
    <tableColumn id="2" xr3:uid="{09C544B1-833B-4A22-90C7-0299B692A056}" name="文本丨大促标题丨标题1"/>
    <tableColumn id="7" xr3:uid="{DB9AD525-0171-4161-8522-B70E6B8E5D8C}" name="文本丨大促标题丨标题2"/>
    <tableColumn id="4" xr3:uid="{A7558550-E2D8-4A2F-9442-A50D1833D014}" name="文本丨利益点丨利益点1" dataDxfId="9"/>
    <tableColumn id="9" xr3:uid="{31C84A89-5D54-4ED7-B82B-33F8CECD199E}" name="文本丨利益点丨利益点2"/>
    <tableColumn id="3" xr3:uid="{CEFF4787-29CD-4775-BDBE-FDEB7F1E11DF}" name="文本丨利益点丨利益点3"/>
    <tableColumn id="10" xr3:uid="{42AB53B6-659F-47DF-80D7-9E70D61E622B}" name="文本丨其他丨算力"/>
    <tableColumn id="14" xr3:uid="{8B0A78F4-C3A6-4DC1-8459-73D4D7B70425}" name="可显性丨显卡丨图层"/>
    <tableColumn id="19" xr3:uid="{4353F572-7F89-4D13-99EA-2019C9C08B9E}" name="可显性丨电源丨图层"/>
    <tableColumn id="15" xr3:uid="{1BB422CD-BC19-41A7-A86C-ABBBDF0DF917}" name="可显性丨其他丨图1"/>
    <tableColumn id="13" xr3:uid="{BCA9C18D-7F54-4E73-959C-CDA807DE18BB}" name="可显性丨其他丨图2"/>
    <tableColumn id="8" xr3:uid="{0818C501-E8A9-4E6D-90F8-6E920E9C87BD}" name="可显性丨其他丨图12"/>
    <tableColumn id="16" xr3:uid="{95ECAAD2-70DF-4720-B52C-7D788B22807A}" name="可显性丨其他丨图122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E95D56-4638-43BE-8ABD-2A9E71F37F86}" name="表1_5367" displayName="表1_5367" ref="B10:R187" totalsRowShown="0">
  <autoFilter ref="B10:R187" xr:uid="{D9FBC9CF-DD71-4D47-94C8-26F120FEC075}"/>
  <tableColumns count="17">
    <tableColumn id="1" xr3:uid="{040759D8-83A4-4CD5-983D-BAF5398B3DFF}" name="导出文件名" dataDxfId="7"/>
    <tableColumn id="11" xr3:uid="{C5803469-160E-4983-A1C6-1398C44B6AAA}" name="备注1"/>
    <tableColumn id="5" xr3:uid="{9D1BC490-364E-4D81-9F57-BD79618650A6}" name="备注2"/>
    <tableColumn id="12" xr3:uid="{9735DB17-18B8-46D6-8761-1FC9F23C104F}" name="免息"/>
    <tableColumn id="2" xr3:uid="{C9A2F410-B303-4167-950D-E4C713EC8FB2}" name="文本丨大促标题丨标题1"/>
    <tableColumn id="7" xr3:uid="{BAB460BA-1D7F-46F2-AF3C-C1220C1D0E9E}" name="文本丨大促标题丨标题2"/>
    <tableColumn id="4" xr3:uid="{46CC18D8-ADB9-4706-ADE2-F9392F0199C7}" name="文本丨利益点丨利益点1" dataDxfId="6"/>
    <tableColumn id="9" xr3:uid="{018A5EAF-47DE-4DC2-AC75-12112403FC7D}" name="文本丨利益点丨利益点2"/>
    <tableColumn id="3" xr3:uid="{6A5C91AC-27CF-4278-A71B-5BECEE7AAF7C}" name="文本丨利益点丨利益点3"/>
    <tableColumn id="10" xr3:uid="{31549767-C445-42FB-94B5-A2C1985ADD33}" name="文本丨其他丨算力"/>
    <tableColumn id="14" xr3:uid="{B392F25E-B4C6-421E-A7C5-0B7F61835578}" name="可显性丨机电散单品丨"/>
    <tableColumn id="6" xr3:uid="{8E93414F-4613-4D6B-A69C-412102957E5B}" name="可显性丨机电散套装丨"/>
    <tableColumn id="17" xr3:uid="{8DB4FCE2-9031-433A-A4DA-E101054B7D36}" name="可显性丨机电散套装丨2"/>
    <tableColumn id="15" xr3:uid="{05AB3757-D68A-443E-A6E8-1D24AA0FE73A}" name="可显性丨其他丨"/>
    <tableColumn id="13" xr3:uid="{FEB6A9FE-B33D-4883-83C3-A83C84ECB9AC}" name="可显性丨其他丨2"/>
    <tableColumn id="8" xr3:uid="{F84EE7EF-AE2F-4A9D-98A9-BB5D34A21FCD}" name="可显性丨其他丨3"/>
    <tableColumn id="16" xr3:uid="{F2FEF7DD-AF80-42BC-9C24-DBBDE2D383CD}" name="可显性丨其他丨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A90FCF-DA77-42C9-B739-1F3E5BC61DF4}" name="表1_539" displayName="表1_539" ref="B10:R206" totalsRowShown="0">
  <autoFilter ref="B10:R206" xr:uid="{D9FBC9CF-DD71-4D47-94C8-26F120FEC075}"/>
  <tableColumns count="17">
    <tableColumn id="1" xr3:uid="{57484976-4380-44CF-B17A-8180CFBDE360}" name="导出文件名" dataDxfId="5"/>
    <tableColumn id="11" xr3:uid="{521C38D1-CB77-49CD-8E3D-4F8463E4EF88}" name="备注1" dataDxfId="4">
      <calculatedColumnFormula>IF(LEN(表1_539[[#This Row],[导出文件名]])=2,LEFT(表1_539[[#This Row],[导出文件名]],1)&amp;"    "&amp;RIGHT(表1_539[[#This Row],[导出文件名]],1),表1_539[[#This Row],[导出文件名]])</calculatedColumnFormula>
    </tableColumn>
    <tableColumn id="5" xr3:uid="{6093F100-5970-46F4-90F9-DD2E204682AA}" name="备注2"/>
    <tableColumn id="12" xr3:uid="{795BB81D-4A56-4481-8C94-E2C87FA3A537}" name="免息"/>
    <tableColumn id="2" xr3:uid="{E76C26AB-8F5F-40F7-A699-3BF0BB28F64E}" name="文本丨标题丨名字" dataDxfId="3"/>
    <tableColumn id="7" xr3:uid="{8044A77C-0C87-40F5-9448-BF06B1A309BA}" name="文本丨标题丨男女"/>
    <tableColumn id="6" xr3:uid="{F6E3DE0B-2749-41DD-9F08-18CE6ACEA583}" name="文本丨标题丨标题3"/>
    <tableColumn id="4" xr3:uid="{1D3D0736-614C-4239-80E7-C1BAFFEE7180}" name="文本丨利益点丨利益点1"/>
    <tableColumn id="9" xr3:uid="{6B60F0CB-1AAA-4148-8481-9361B2EAC0BF}" name="文本丨利益点丨利益点2"/>
    <tableColumn id="3" xr3:uid="{057DFDDE-5CE7-4E0F-AD5B-BC3F8CEF7819}" name="文本丨利益点丨利益点3"/>
    <tableColumn id="10" xr3:uid="{C3A4A599-8EC9-4537-85B6-8C2C62AC265C}" name="文本丨其他丨算力"/>
    <tableColumn id="14" xr3:uid="{E592D906-AB35-4058-8D63-8FC91D9123AA}" name="可显性丨显卡丨"/>
    <tableColumn id="19" xr3:uid="{6E782BC8-9D90-4A57-94C3-0068834F5325}" name="可显性丨电源丨"/>
    <tableColumn id="15" xr3:uid="{8F4D5C63-404F-4CE3-9EE4-6A205A1470B0}" name="可显性丨LOGO丨"/>
    <tableColumn id="13" xr3:uid="{67CCD82B-4C59-48C6-8F61-C4C17C82D2DA}" name="可显性丨LOGO丨2"/>
    <tableColumn id="8" xr3:uid="{83DF9B82-5717-4234-B96A-9986E8E21389}" name="可显性丨其他丨"/>
    <tableColumn id="16" xr3:uid="{2B7FCF79-CFE5-44C9-BE01-8D23FDD1FE70}" name="可显性丨其他丨2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DED016-BEEC-4225-800B-1D9CE1483D76}" name="表1_536710" displayName="表1_536710" ref="B10:N182" totalsRowShown="0">
  <autoFilter ref="B10:N182" xr:uid="{D9FBC9CF-DD71-4D47-94C8-26F120FEC075}"/>
  <tableColumns count="13">
    <tableColumn id="1" xr3:uid="{FB02D727-C3EA-4A1B-B579-47236E5406B7}" name="导出文件名" dataDxfId="1"/>
    <tableColumn id="11" xr3:uid="{B7168B82-1CBE-4381-9132-9F25DC249522}" name="备注1"/>
    <tableColumn id="5" xr3:uid="{FA8B3F83-6225-4BC8-91D4-6C6F554A1BF7}" name="备注2"/>
    <tableColumn id="2" xr3:uid="{BC7A52D7-6C94-4B54-94A2-878D1601FF6A}" name="文本丨大促标题丨标题1"/>
    <tableColumn id="7" xr3:uid="{F4F187DF-CDEE-41FC-941C-B7288F00340C}" name="文本丨大促标题丨标题2"/>
    <tableColumn id="4" xr3:uid="{4B8A4AEC-D156-4514-962C-875D6065E86C}" name="文本丨利益点丨利益点1" dataDxfId="0"/>
    <tableColumn id="9" xr3:uid="{AB79F519-20C5-4390-AD55-903FF702E99B}" name="文本丨利益点丨利益点2"/>
    <tableColumn id="3" xr3:uid="{05959276-34E1-4B35-8C27-2F410FC24E21}" name="文本丨利益点丨利益点3"/>
    <tableColumn id="10" xr3:uid="{57BA0752-2937-43F6-BA38-DC8492D26FF9}" name="文本丨其他丨算力"/>
    <tableColumn id="14" xr3:uid="{95DE1ADB-FF55-4F39-81D7-CC6F44E7A153}" name="可显性丨CPU丨"/>
    <tableColumn id="6" xr3:uid="{AD88CD1A-B2F9-4B52-ABA3-A4C2F91D138D}" name="可显性丨主板丨"/>
    <tableColumn id="8" xr3:uid="{8B02C729-BE9C-4104-8631-6ED390CA75EF}" name="可显性丨显卡丨"/>
    <tableColumn id="12" xr3:uid="{1B78F33A-C0F8-408C-BB29-1548FBB5FF42}" name="可显性丨电源丨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zoomScaleNormal="100" workbookViewId="0">
      <pane xSplit="1" ySplit="10" topLeftCell="B13" activePane="bottomRight" state="frozen"/>
      <selection pane="topRight" activeCell="B1" sqref="B1"/>
      <selection pane="bottomLeft" activeCell="A10" sqref="A10"/>
      <selection pane="bottomRight" activeCell="B2" sqref="B2"/>
    </sheetView>
  </sheetViews>
  <sheetFormatPr defaultRowHeight="14.25" outlineLevelCol="1"/>
  <cols>
    <col min="1" max="1" width="11" bestFit="1" customWidth="1"/>
    <col min="2" max="2" width="36.5" style="1" customWidth="1"/>
    <col min="3" max="3" width="37.25" customWidth="1" outlineLevel="1"/>
    <col min="4" max="4" width="11.5" customWidth="1" outlineLevel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9">
      <c r="A1" s="9" t="s">
        <v>236</v>
      </c>
      <c r="B1" t="s">
        <v>1503</v>
      </c>
    </row>
    <row r="2" spans="1:19">
      <c r="A2" t="s">
        <v>3</v>
      </c>
      <c r="B2" s="1" t="s">
        <v>9</v>
      </c>
    </row>
    <row r="3" spans="1:19">
      <c r="A3" t="s">
        <v>1</v>
      </c>
      <c r="B3" s="1" t="s">
        <v>1208</v>
      </c>
    </row>
    <row r="4" spans="1:19">
      <c r="A4" t="s">
        <v>2</v>
      </c>
      <c r="B4" s="1" t="s">
        <v>10</v>
      </c>
      <c r="C4" t="s">
        <v>112</v>
      </c>
    </row>
    <row r="5" spans="1:19">
      <c r="A5" t="s">
        <v>17</v>
      </c>
      <c r="B5" s="2" t="s">
        <v>1399</v>
      </c>
    </row>
    <row r="9" spans="1:19" ht="15" thickBot="1"/>
    <row r="10" spans="1:19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855</v>
      </c>
      <c r="M10" s="4" t="s">
        <v>856</v>
      </c>
      <c r="N10" s="4" t="s">
        <v>857</v>
      </c>
      <c r="O10" s="4" t="s">
        <v>859</v>
      </c>
      <c r="P10" s="4" t="s">
        <v>858</v>
      </c>
    </row>
    <row r="11" spans="1:19" ht="15" thickTop="1"/>
    <row r="12" spans="1:19">
      <c r="C12" t="s">
        <v>745</v>
      </c>
      <c r="E12" t="s">
        <v>746</v>
      </c>
      <c r="F12" t="s">
        <v>750</v>
      </c>
      <c r="G12" t="s">
        <v>59</v>
      </c>
      <c r="H12" t="s">
        <v>162</v>
      </c>
      <c r="I12" s="8" t="s">
        <v>163</v>
      </c>
      <c r="J12" t="s">
        <v>749</v>
      </c>
      <c r="K12" t="s">
        <v>748</v>
      </c>
      <c r="M12" t="s">
        <v>747</v>
      </c>
      <c r="N12" t="s">
        <v>154</v>
      </c>
      <c r="O12" t="s">
        <v>45</v>
      </c>
    </row>
    <row r="13" spans="1:19">
      <c r="S13" cm="1">
        <f t="array" ref="S13:S81">_xlfn.UNIQUE(表1[可显性丨主板丨])</f>
        <v>0</v>
      </c>
    </row>
    <row r="14" spans="1:19">
      <c r="C14" t="s">
        <v>529</v>
      </c>
      <c r="E14" t="s">
        <v>541</v>
      </c>
      <c r="F14" t="s">
        <v>555</v>
      </c>
      <c r="G14" t="s">
        <v>357</v>
      </c>
      <c r="H14" t="s">
        <v>569</v>
      </c>
      <c r="I14" t="s">
        <v>570</v>
      </c>
      <c r="J14" t="s">
        <v>571</v>
      </c>
      <c r="K14" t="s">
        <v>572</v>
      </c>
      <c r="L14" t="s">
        <v>46</v>
      </c>
      <c r="M14" t="s">
        <v>541</v>
      </c>
      <c r="O14" t="s">
        <v>45</v>
      </c>
      <c r="S14" t="str">
        <v>B650I AORUS ULTRA</v>
      </c>
    </row>
    <row r="15" spans="1:19">
      <c r="C15" t="s">
        <v>530</v>
      </c>
      <c r="E15" t="s">
        <v>551</v>
      </c>
      <c r="F15" t="s">
        <v>833</v>
      </c>
      <c r="G15" t="s">
        <v>65</v>
      </c>
      <c r="H15" t="s">
        <v>568</v>
      </c>
      <c r="I15" s="8" t="s">
        <v>163</v>
      </c>
      <c r="J15" t="s">
        <v>571</v>
      </c>
      <c r="K15" t="s">
        <v>561</v>
      </c>
      <c r="L15" t="s">
        <v>46</v>
      </c>
      <c r="M15" t="s">
        <v>543</v>
      </c>
      <c r="N15" t="s">
        <v>366</v>
      </c>
      <c r="O15" t="s">
        <v>45</v>
      </c>
      <c r="S15" t="str">
        <v>B650M H</v>
      </c>
    </row>
    <row r="16" spans="1:19">
      <c r="C16" t="s">
        <v>827</v>
      </c>
      <c r="E16" t="s">
        <v>551</v>
      </c>
      <c r="F16" t="s">
        <v>833</v>
      </c>
      <c r="G16" t="s">
        <v>828</v>
      </c>
      <c r="H16" t="s">
        <v>568</v>
      </c>
      <c r="I16" s="8" t="s">
        <v>163</v>
      </c>
      <c r="J16" t="s">
        <v>571</v>
      </c>
      <c r="K16" t="s">
        <v>561</v>
      </c>
      <c r="L16" t="s">
        <v>46</v>
      </c>
      <c r="M16" t="s">
        <v>830</v>
      </c>
      <c r="N16" t="s">
        <v>366</v>
      </c>
      <c r="O16" t="s">
        <v>45</v>
      </c>
      <c r="S16" t="str">
        <v>B650M GAMING WIFI</v>
      </c>
    </row>
    <row r="17" spans="2:19">
      <c r="C17" t="s">
        <v>533</v>
      </c>
      <c r="E17" t="s">
        <v>551</v>
      </c>
      <c r="F17" t="s">
        <v>832</v>
      </c>
      <c r="G17" t="s">
        <v>39</v>
      </c>
      <c r="H17" t="s">
        <v>162</v>
      </c>
      <c r="I17" s="8" t="s">
        <v>163</v>
      </c>
      <c r="J17" t="s">
        <v>563</v>
      </c>
      <c r="K17" t="s">
        <v>564</v>
      </c>
      <c r="L17" t="s">
        <v>46</v>
      </c>
      <c r="M17" t="s">
        <v>548</v>
      </c>
      <c r="N17" t="s">
        <v>49</v>
      </c>
      <c r="O17" t="s">
        <v>45</v>
      </c>
      <c r="S17" t="str">
        <v>B650M GAMING WIFI PLUS</v>
      </c>
    </row>
    <row r="18" spans="2:19">
      <c r="C18" t="s">
        <v>531</v>
      </c>
      <c r="E18" t="s">
        <v>551</v>
      </c>
      <c r="F18" t="s">
        <v>834</v>
      </c>
      <c r="G18" t="s">
        <v>64</v>
      </c>
      <c r="H18" t="s">
        <v>566</v>
      </c>
      <c r="I18" t="s">
        <v>567</v>
      </c>
      <c r="J18" t="s">
        <v>563</v>
      </c>
      <c r="K18" t="s">
        <v>561</v>
      </c>
      <c r="L18" t="s">
        <v>46</v>
      </c>
      <c r="M18" t="s">
        <v>544</v>
      </c>
      <c r="O18" t="s">
        <v>45</v>
      </c>
      <c r="S18" t="str">
        <v>B650M AORUS ELITE AX ICE</v>
      </c>
    </row>
    <row r="19" spans="2:19">
      <c r="B19" s="1">
        <v>123</v>
      </c>
      <c r="C19" t="s">
        <v>829</v>
      </c>
      <c r="E19" t="s">
        <v>551</v>
      </c>
      <c r="F19" t="s">
        <v>834</v>
      </c>
      <c r="G19" t="s">
        <v>831</v>
      </c>
      <c r="H19" t="s">
        <v>568</v>
      </c>
      <c r="I19" s="8" t="s">
        <v>163</v>
      </c>
      <c r="J19" t="s">
        <v>563</v>
      </c>
      <c r="K19" t="s">
        <v>561</v>
      </c>
      <c r="M19" t="s">
        <v>544</v>
      </c>
      <c r="N19" t="s">
        <v>154</v>
      </c>
      <c r="O19" t="s">
        <v>45</v>
      </c>
      <c r="S19" t="str">
        <v>B650M AORUS ELITE</v>
      </c>
    </row>
    <row r="20" spans="2:19">
      <c r="C20" t="s">
        <v>532</v>
      </c>
      <c r="E20" t="s">
        <v>551</v>
      </c>
      <c r="F20" t="s">
        <v>168</v>
      </c>
      <c r="G20" t="s">
        <v>139</v>
      </c>
      <c r="H20" t="s">
        <v>162</v>
      </c>
      <c r="I20" s="8" t="s">
        <v>163</v>
      </c>
      <c r="J20" t="s">
        <v>563</v>
      </c>
      <c r="K20" t="s">
        <v>561</v>
      </c>
      <c r="L20" t="s">
        <v>46</v>
      </c>
      <c r="M20" t="s">
        <v>549</v>
      </c>
      <c r="N20" t="s">
        <v>154</v>
      </c>
      <c r="O20" t="s">
        <v>45</v>
      </c>
      <c r="S20" t="str">
        <v>B650M AORUS PRO AX</v>
      </c>
    </row>
    <row r="21" spans="2:19">
      <c r="C21" t="s">
        <v>534</v>
      </c>
      <c r="E21" t="s">
        <v>552</v>
      </c>
      <c r="F21" t="s">
        <v>136</v>
      </c>
      <c r="G21" t="s">
        <v>44</v>
      </c>
      <c r="H21" t="s">
        <v>162</v>
      </c>
      <c r="I21" s="8" t="s">
        <v>163</v>
      </c>
      <c r="J21" t="s">
        <v>563</v>
      </c>
      <c r="K21" t="s">
        <v>565</v>
      </c>
      <c r="L21" t="s">
        <v>46</v>
      </c>
      <c r="M21" t="s">
        <v>542</v>
      </c>
      <c r="N21" t="s">
        <v>366</v>
      </c>
      <c r="O21" t="s">
        <v>45</v>
      </c>
      <c r="S21" t="str">
        <v>B650 EAGLE AX</v>
      </c>
    </row>
    <row r="22" spans="2:19">
      <c r="C22" t="s">
        <v>535</v>
      </c>
      <c r="E22" t="s">
        <v>553</v>
      </c>
      <c r="F22" t="s">
        <v>835</v>
      </c>
      <c r="G22" t="s">
        <v>556</v>
      </c>
      <c r="H22" t="s">
        <v>162</v>
      </c>
      <c r="I22" s="8" t="s">
        <v>163</v>
      </c>
      <c r="J22" t="s">
        <v>563</v>
      </c>
      <c r="K22" t="s">
        <v>564</v>
      </c>
      <c r="L22" t="s">
        <v>46</v>
      </c>
      <c r="M22" t="s">
        <v>547</v>
      </c>
      <c r="N22" t="s">
        <v>49</v>
      </c>
      <c r="O22" t="s">
        <v>45</v>
      </c>
      <c r="S22" t="str">
        <v>B650E AORUS ELITE X AX ICE</v>
      </c>
    </row>
    <row r="23" spans="2:19">
      <c r="C23" t="s">
        <v>545</v>
      </c>
      <c r="E23" t="s">
        <v>553</v>
      </c>
      <c r="F23" t="s">
        <v>557</v>
      </c>
      <c r="G23" t="s">
        <v>139</v>
      </c>
      <c r="H23" t="s">
        <v>164</v>
      </c>
      <c r="I23" s="8" t="s">
        <v>163</v>
      </c>
      <c r="J23" t="s">
        <v>560</v>
      </c>
      <c r="K23" t="s">
        <v>562</v>
      </c>
      <c r="L23" t="s">
        <v>46</v>
      </c>
      <c r="M23" t="s">
        <v>546</v>
      </c>
      <c r="N23" t="s">
        <v>48</v>
      </c>
      <c r="O23" t="s">
        <v>45</v>
      </c>
      <c r="S23" t="str">
        <v>B650E AORUS PRO X USB4</v>
      </c>
    </row>
    <row r="24" spans="2:19">
      <c r="C24" t="s">
        <v>558</v>
      </c>
      <c r="E24" t="s">
        <v>554</v>
      </c>
      <c r="F24" t="s">
        <v>160</v>
      </c>
      <c r="G24" t="s">
        <v>559</v>
      </c>
      <c r="H24" t="s">
        <v>162</v>
      </c>
      <c r="I24" s="8" t="s">
        <v>163</v>
      </c>
      <c r="J24" t="s">
        <v>560</v>
      </c>
      <c r="K24" t="s">
        <v>561</v>
      </c>
      <c r="L24" t="s">
        <v>46</v>
      </c>
      <c r="M24" t="s">
        <v>550</v>
      </c>
      <c r="N24" t="s">
        <v>154</v>
      </c>
      <c r="O24" t="s">
        <v>45</v>
      </c>
      <c r="S24" t="str">
        <v>X670 AORUS ELITE AX</v>
      </c>
    </row>
    <row r="25" spans="2:19">
      <c r="S25" t="str">
        <v>X870-EAGLE-WIFI7</v>
      </c>
    </row>
    <row r="26" spans="2:19">
      <c r="C26" t="s">
        <v>536</v>
      </c>
      <c r="E26" s="5" t="s">
        <v>28</v>
      </c>
      <c r="F26" t="s">
        <v>35</v>
      </c>
      <c r="G26" s="5" t="s">
        <v>44</v>
      </c>
      <c r="H26" t="s">
        <v>164</v>
      </c>
      <c r="I26" s="8" t="s">
        <v>163</v>
      </c>
      <c r="J26" t="s">
        <v>29</v>
      </c>
      <c r="K26" t="s">
        <v>42</v>
      </c>
      <c r="L26" t="s">
        <v>46</v>
      </c>
      <c r="M26" s="5" t="s">
        <v>26</v>
      </c>
      <c r="N26" t="s">
        <v>47</v>
      </c>
      <c r="O26" t="s">
        <v>45</v>
      </c>
      <c r="S26" t="str">
        <v>X870-GAMING-X-WIFI7</v>
      </c>
    </row>
    <row r="27" spans="2:19">
      <c r="C27" t="s">
        <v>537</v>
      </c>
      <c r="E27" s="5" t="s">
        <v>28</v>
      </c>
      <c r="F27" t="s">
        <v>36</v>
      </c>
      <c r="G27" s="5" t="s">
        <v>31</v>
      </c>
      <c r="H27" t="s">
        <v>164</v>
      </c>
      <c r="I27" s="8" t="s">
        <v>163</v>
      </c>
      <c r="J27" t="s">
        <v>30</v>
      </c>
      <c r="K27" t="s">
        <v>42</v>
      </c>
      <c r="L27" t="s">
        <v>46</v>
      </c>
      <c r="M27" s="5" t="s">
        <v>25</v>
      </c>
      <c r="N27" t="s">
        <v>48</v>
      </c>
      <c r="O27" t="s">
        <v>45</v>
      </c>
      <c r="S27" t="str">
        <v>X870-AORUS-ELITE-WIFI7</v>
      </c>
    </row>
    <row r="28" spans="2:19">
      <c r="C28" t="s">
        <v>538</v>
      </c>
      <c r="E28" s="5" t="s">
        <v>28</v>
      </c>
      <c r="F28" t="s">
        <v>37</v>
      </c>
      <c r="G28" s="5" t="s">
        <v>32</v>
      </c>
      <c r="H28" t="s">
        <v>164</v>
      </c>
      <c r="I28" s="8" t="s">
        <v>163</v>
      </c>
      <c r="J28" t="s">
        <v>30</v>
      </c>
      <c r="K28" t="s">
        <v>42</v>
      </c>
      <c r="L28" t="s">
        <v>46</v>
      </c>
      <c r="M28" s="5" t="s">
        <v>24</v>
      </c>
      <c r="N28" t="s">
        <v>48</v>
      </c>
      <c r="O28" t="s">
        <v>45</v>
      </c>
      <c r="S28" t="str">
        <v>X870-AORUS-ELITE-WIFI7-ICE</v>
      </c>
    </row>
    <row r="29" spans="2:19">
      <c r="C29" t="s">
        <v>539</v>
      </c>
      <c r="E29" s="5" t="s">
        <v>28</v>
      </c>
      <c r="F29" t="s">
        <v>38</v>
      </c>
      <c r="G29" s="5" t="s">
        <v>39</v>
      </c>
      <c r="H29" t="s">
        <v>164</v>
      </c>
      <c r="I29" s="8" t="s">
        <v>163</v>
      </c>
      <c r="J29" t="s">
        <v>30</v>
      </c>
      <c r="K29" t="s">
        <v>42</v>
      </c>
      <c r="L29" t="s">
        <v>46</v>
      </c>
      <c r="M29" s="5" t="s">
        <v>23</v>
      </c>
      <c r="N29" t="s">
        <v>49</v>
      </c>
      <c r="O29" t="s">
        <v>45</v>
      </c>
      <c r="S29" t="str">
        <v>X870E AORUS ELITE WIFI7</v>
      </c>
    </row>
    <row r="30" spans="2:19">
      <c r="C30" t="s">
        <v>904</v>
      </c>
      <c r="E30" s="5" t="s">
        <v>27</v>
      </c>
      <c r="F30" t="s">
        <v>88</v>
      </c>
      <c r="G30" s="5" t="s">
        <v>32</v>
      </c>
      <c r="H30" t="s">
        <v>164</v>
      </c>
      <c r="I30" s="8" t="s">
        <v>163</v>
      </c>
      <c r="J30" t="s">
        <v>30</v>
      </c>
      <c r="K30" t="s">
        <v>42</v>
      </c>
      <c r="L30" t="s">
        <v>911</v>
      </c>
      <c r="M30" s="5" t="s">
        <v>910</v>
      </c>
      <c r="N30" t="s">
        <v>48</v>
      </c>
      <c r="O30" t="s">
        <v>45</v>
      </c>
      <c r="S30" t="str">
        <v>X870E-AORUS-PRO-ICE</v>
      </c>
    </row>
    <row r="31" spans="2:19">
      <c r="C31" s="11" t="s">
        <v>540</v>
      </c>
      <c r="E31" s="5" t="s">
        <v>27</v>
      </c>
      <c r="F31" t="s">
        <v>40</v>
      </c>
      <c r="G31" s="5" t="s">
        <v>33</v>
      </c>
      <c r="H31" t="s">
        <v>164</v>
      </c>
      <c r="I31" s="8" t="s">
        <v>163</v>
      </c>
      <c r="J31" t="s">
        <v>30</v>
      </c>
      <c r="K31" t="s">
        <v>42</v>
      </c>
      <c r="L31" t="s">
        <v>838</v>
      </c>
      <c r="M31" s="5" t="s">
        <v>22</v>
      </c>
      <c r="N31" t="s">
        <v>49</v>
      </c>
      <c r="O31" t="s">
        <v>45</v>
      </c>
      <c r="S31" t="str">
        <v>X870E-AORUS-MASTER</v>
      </c>
    </row>
    <row r="32" spans="2:19" ht="16.5">
      <c r="C32" s="18" t="s">
        <v>844</v>
      </c>
      <c r="E32" s="5" t="s">
        <v>27</v>
      </c>
      <c r="F32" t="s">
        <v>41</v>
      </c>
      <c r="G32" s="5" t="s">
        <v>34</v>
      </c>
      <c r="H32" t="s">
        <v>164</v>
      </c>
      <c r="I32" s="8" t="s">
        <v>163</v>
      </c>
      <c r="J32" t="s">
        <v>848</v>
      </c>
      <c r="K32" t="s">
        <v>42</v>
      </c>
      <c r="L32" t="s">
        <v>838</v>
      </c>
      <c r="M32" s="5" t="s">
        <v>21</v>
      </c>
      <c r="N32" t="s">
        <v>48</v>
      </c>
      <c r="O32" t="s">
        <v>45</v>
      </c>
      <c r="S32" t="str">
        <v>X870I-AORUS-PRO-ICE</v>
      </c>
    </row>
    <row r="33" spans="2:19" ht="16.5">
      <c r="B33" s="5"/>
      <c r="C33" s="18" t="s">
        <v>845</v>
      </c>
      <c r="E33" s="5" t="s">
        <v>846</v>
      </c>
      <c r="F33" t="s">
        <v>40</v>
      </c>
      <c r="G33" s="5" t="s">
        <v>847</v>
      </c>
      <c r="H33" t="s">
        <v>164</v>
      </c>
      <c r="I33" s="8" t="s">
        <v>163</v>
      </c>
      <c r="J33" t="s">
        <v>849</v>
      </c>
      <c r="K33" t="s">
        <v>42</v>
      </c>
      <c r="L33" t="s">
        <v>850</v>
      </c>
      <c r="M33" s="5" t="s">
        <v>843</v>
      </c>
      <c r="N33" t="s">
        <v>49</v>
      </c>
      <c r="O33" t="s">
        <v>45</v>
      </c>
      <c r="S33" t="str">
        <v>B860M EAGLE WIFI6</v>
      </c>
    </row>
    <row r="34" spans="2:19">
      <c r="B34" s="7"/>
      <c r="C34" s="18"/>
      <c r="E34" s="5"/>
      <c r="G34" s="5"/>
      <c r="I34" s="8"/>
      <c r="M34" s="5"/>
      <c r="S34" t="str">
        <v>B860M EAGLE WIFI6 V2</v>
      </c>
    </row>
    <row r="35" spans="2:19">
      <c r="C35" s="1" t="s">
        <v>1242</v>
      </c>
      <c r="E35" t="s">
        <v>1237</v>
      </c>
      <c r="F35" t="s">
        <v>1261</v>
      </c>
      <c r="G35" t="s">
        <v>44</v>
      </c>
      <c r="H35" t="s">
        <v>1240</v>
      </c>
      <c r="I35" s="8" t="s">
        <v>163</v>
      </c>
      <c r="J35" t="s">
        <v>1253</v>
      </c>
      <c r="K35" t="s">
        <v>369</v>
      </c>
      <c r="L35" t="s">
        <v>95</v>
      </c>
      <c r="M35" t="s">
        <v>1260</v>
      </c>
      <c r="N35" t="s">
        <v>47</v>
      </c>
      <c r="O35" t="s">
        <v>79</v>
      </c>
      <c r="P35" t="s">
        <v>1397</v>
      </c>
      <c r="S35" t="str">
        <v>B860M GAMING WIFI6</v>
      </c>
    </row>
    <row r="36" spans="2:19">
      <c r="C36" s="1" t="s">
        <v>1243</v>
      </c>
      <c r="E36" t="s">
        <v>1237</v>
      </c>
      <c r="F36" t="s">
        <v>1262</v>
      </c>
      <c r="G36" t="s">
        <v>1239</v>
      </c>
      <c r="H36" t="s">
        <v>1240</v>
      </c>
      <c r="I36" s="8" t="s">
        <v>163</v>
      </c>
      <c r="J36" t="s">
        <v>1253</v>
      </c>
      <c r="K36" t="s">
        <v>369</v>
      </c>
      <c r="L36" t="s">
        <v>95</v>
      </c>
      <c r="M36" t="s">
        <v>1268</v>
      </c>
      <c r="N36" t="s">
        <v>47</v>
      </c>
      <c r="O36" t="s">
        <v>79</v>
      </c>
      <c r="P36" t="s">
        <v>1397</v>
      </c>
      <c r="S36" t="str">
        <v>B860M GAMING X WIFI6E</v>
      </c>
    </row>
    <row r="37" spans="2:19">
      <c r="C37" s="1" t="s">
        <v>1244</v>
      </c>
      <c r="E37" t="s">
        <v>1237</v>
      </c>
      <c r="F37" t="s">
        <v>1263</v>
      </c>
      <c r="G37" t="s">
        <v>65</v>
      </c>
      <c r="H37" t="s">
        <v>1240</v>
      </c>
      <c r="I37" s="8" t="s">
        <v>163</v>
      </c>
      <c r="J37" t="s">
        <v>1250</v>
      </c>
      <c r="K37" t="s">
        <v>369</v>
      </c>
      <c r="L37" t="s">
        <v>95</v>
      </c>
      <c r="M37" t="s">
        <v>1259</v>
      </c>
      <c r="N37" t="s">
        <v>47</v>
      </c>
      <c r="O37" t="s">
        <v>79</v>
      </c>
      <c r="P37" t="s">
        <v>1397</v>
      </c>
      <c r="S37" t="str">
        <v>B860M AORUS ELITE WIFI6E ICE</v>
      </c>
    </row>
    <row r="38" spans="2:19">
      <c r="C38" s="1" t="s">
        <v>1245</v>
      </c>
      <c r="E38" t="s">
        <v>1237</v>
      </c>
      <c r="F38" t="s">
        <v>1264</v>
      </c>
      <c r="G38" t="s">
        <v>1202</v>
      </c>
      <c r="H38" t="s">
        <v>162</v>
      </c>
      <c r="I38" s="8" t="s">
        <v>163</v>
      </c>
      <c r="J38" t="s">
        <v>1250</v>
      </c>
      <c r="K38" t="s">
        <v>369</v>
      </c>
      <c r="L38" t="s">
        <v>95</v>
      </c>
      <c r="M38" t="s">
        <v>1258</v>
      </c>
      <c r="N38" t="s">
        <v>47</v>
      </c>
      <c r="O38" t="s">
        <v>79</v>
      </c>
      <c r="P38" t="s">
        <v>1397</v>
      </c>
      <c r="S38" t="str">
        <v>B860M AORUS ELITE WIFI6E</v>
      </c>
    </row>
    <row r="39" spans="2:19">
      <c r="B39" s="1">
        <v>10135300682602</v>
      </c>
      <c r="C39" s="1" t="s">
        <v>1246</v>
      </c>
      <c r="E39" t="s">
        <v>1237</v>
      </c>
      <c r="F39" t="s">
        <v>1269</v>
      </c>
      <c r="G39" t="s">
        <v>1204</v>
      </c>
      <c r="H39" t="s">
        <v>162</v>
      </c>
      <c r="I39" s="8" t="s">
        <v>163</v>
      </c>
      <c r="J39" t="s">
        <v>1251</v>
      </c>
      <c r="K39" t="s">
        <v>369</v>
      </c>
      <c r="L39" t="s">
        <v>95</v>
      </c>
      <c r="M39" t="s">
        <v>1255</v>
      </c>
      <c r="N39" t="s">
        <v>49</v>
      </c>
      <c r="O39" t="s">
        <v>79</v>
      </c>
      <c r="P39" t="s">
        <v>1397</v>
      </c>
      <c r="S39" t="str">
        <v>B860M AORUS PRO WIFI7</v>
      </c>
    </row>
    <row r="40" spans="2:19">
      <c r="B40" s="1">
        <v>10135300682603</v>
      </c>
      <c r="C40" s="1" t="s">
        <v>1247</v>
      </c>
      <c r="E40" t="s">
        <v>1237</v>
      </c>
      <c r="F40" t="s">
        <v>1265</v>
      </c>
      <c r="G40" t="s">
        <v>32</v>
      </c>
      <c r="H40" t="s">
        <v>162</v>
      </c>
      <c r="I40" s="8" t="s">
        <v>163</v>
      </c>
      <c r="J40" t="s">
        <v>1251</v>
      </c>
      <c r="K40" t="s">
        <v>369</v>
      </c>
      <c r="L40" t="s">
        <v>95</v>
      </c>
      <c r="M40" t="s">
        <v>1256</v>
      </c>
      <c r="N40" t="s">
        <v>48</v>
      </c>
      <c r="O40" t="s">
        <v>79</v>
      </c>
      <c r="P40" t="s">
        <v>1397</v>
      </c>
      <c r="S40" t="str">
        <v>B860 AORUS ELITE WIFI7 ICE</v>
      </c>
    </row>
    <row r="41" spans="2:19">
      <c r="B41" s="1">
        <v>10135300682604</v>
      </c>
      <c r="C41" s="1" t="s">
        <v>1248</v>
      </c>
      <c r="E41" t="s">
        <v>1237</v>
      </c>
      <c r="F41" t="s">
        <v>1266</v>
      </c>
      <c r="G41" t="s">
        <v>1205</v>
      </c>
      <c r="H41" t="s">
        <v>1241</v>
      </c>
      <c r="I41" s="8" t="s">
        <v>163</v>
      </c>
      <c r="J41" t="s">
        <v>1251</v>
      </c>
      <c r="K41" t="s">
        <v>369</v>
      </c>
      <c r="L41" t="s">
        <v>95</v>
      </c>
      <c r="M41" t="s">
        <v>1257</v>
      </c>
      <c r="N41" t="s">
        <v>48</v>
      </c>
      <c r="O41" t="s">
        <v>79</v>
      </c>
      <c r="P41" t="s">
        <v>1397</v>
      </c>
      <c r="S41" t="str">
        <v>Z890I-AORUS-ULTRA</v>
      </c>
    </row>
    <row r="42" spans="2:19">
      <c r="B42" s="1">
        <v>10135300682605</v>
      </c>
      <c r="C42" s="1" t="s">
        <v>1249</v>
      </c>
      <c r="E42" t="s">
        <v>1238</v>
      </c>
      <c r="F42" t="s">
        <v>1267</v>
      </c>
      <c r="G42" t="s">
        <v>1204</v>
      </c>
      <c r="H42" t="s">
        <v>1241</v>
      </c>
      <c r="I42" s="8" t="s">
        <v>163</v>
      </c>
      <c r="J42" t="s">
        <v>1252</v>
      </c>
      <c r="K42" t="s">
        <v>369</v>
      </c>
      <c r="L42" t="s">
        <v>95</v>
      </c>
      <c r="M42" t="s">
        <v>1254</v>
      </c>
      <c r="N42" t="s">
        <v>49</v>
      </c>
      <c r="O42" t="s">
        <v>79</v>
      </c>
      <c r="P42" t="s">
        <v>1397</v>
      </c>
      <c r="S42" t="str">
        <v>Z890M-AORUS-ELITE-WIFI7</v>
      </c>
    </row>
    <row r="43" spans="2:19">
      <c r="S43" t="str">
        <v>Z890M-AORUS-ELITE-WIFI7-ICE</v>
      </c>
    </row>
    <row r="44" spans="2:19">
      <c r="E44" t="s">
        <v>58</v>
      </c>
      <c r="F44" t="s">
        <v>1398</v>
      </c>
      <c r="G44" t="s">
        <v>59</v>
      </c>
      <c r="H44" t="s">
        <v>164</v>
      </c>
      <c r="I44" s="8" t="s">
        <v>163</v>
      </c>
      <c r="J44" t="s">
        <v>82</v>
      </c>
      <c r="K44" t="s">
        <v>92</v>
      </c>
      <c r="L44" t="s">
        <v>95</v>
      </c>
      <c r="M44" t="s">
        <v>69</v>
      </c>
      <c r="N44" t="s">
        <v>48</v>
      </c>
      <c r="O44" t="s">
        <v>79</v>
      </c>
      <c r="P44" t="s">
        <v>1397</v>
      </c>
      <c r="S44" t="str">
        <v>Z890-EAGLE-WIFI7</v>
      </c>
    </row>
    <row r="45" spans="2:19">
      <c r="B45" s="1">
        <v>10119917690926</v>
      </c>
      <c r="E45" t="s">
        <v>60</v>
      </c>
      <c r="F45" t="s">
        <v>88</v>
      </c>
      <c r="G45" t="s">
        <v>64</v>
      </c>
      <c r="H45" t="s">
        <v>164</v>
      </c>
      <c r="I45" s="8" t="s">
        <v>163</v>
      </c>
      <c r="J45" t="s">
        <v>83</v>
      </c>
      <c r="K45" t="s">
        <v>81</v>
      </c>
      <c r="L45" t="s">
        <v>95</v>
      </c>
      <c r="M45" t="s">
        <v>70</v>
      </c>
      <c r="N45" t="s">
        <v>48</v>
      </c>
      <c r="O45" t="s">
        <v>79</v>
      </c>
      <c r="P45" t="s">
        <v>1397</v>
      </c>
      <c r="S45" t="str">
        <v>Z890-GAMING-X-WIFI7</v>
      </c>
    </row>
    <row r="46" spans="2:19">
      <c r="B46" s="1">
        <v>10119917690927</v>
      </c>
      <c r="E46" t="s">
        <v>60</v>
      </c>
      <c r="F46" t="s">
        <v>63</v>
      </c>
      <c r="G46" t="s">
        <v>39</v>
      </c>
      <c r="H46" t="s">
        <v>164</v>
      </c>
      <c r="I46" s="8" t="s">
        <v>163</v>
      </c>
      <c r="J46" t="s">
        <v>83</v>
      </c>
      <c r="K46" t="s">
        <v>81</v>
      </c>
      <c r="L46" t="s">
        <v>95</v>
      </c>
      <c r="M46" t="s">
        <v>71</v>
      </c>
      <c r="N46" t="s">
        <v>49</v>
      </c>
      <c r="O46" t="s">
        <v>79</v>
      </c>
      <c r="P46" t="s">
        <v>1397</v>
      </c>
      <c r="S46" t="str">
        <v>Z890-AORUS-ELITE-WIFI7</v>
      </c>
    </row>
    <row r="47" spans="2:19">
      <c r="B47" s="1">
        <v>10119917690928</v>
      </c>
      <c r="E47" t="s">
        <v>57</v>
      </c>
      <c r="F47" t="s">
        <v>1401</v>
      </c>
      <c r="G47" t="s">
        <v>44</v>
      </c>
      <c r="H47" t="s">
        <v>164</v>
      </c>
      <c r="I47" s="8" t="s">
        <v>163</v>
      </c>
      <c r="J47" t="s">
        <v>84</v>
      </c>
      <c r="K47" t="s">
        <v>81</v>
      </c>
      <c r="L47" t="s">
        <v>95</v>
      </c>
      <c r="M47" t="s">
        <v>72</v>
      </c>
      <c r="N47" t="s">
        <v>48</v>
      </c>
      <c r="O47" t="s">
        <v>79</v>
      </c>
      <c r="P47" t="s">
        <v>1397</v>
      </c>
      <c r="S47" t="str">
        <v>Z890-AORUS-ELITE-WIFI7-ICE</v>
      </c>
    </row>
    <row r="48" spans="2:19">
      <c r="B48" s="1">
        <v>10119917690929</v>
      </c>
      <c r="E48" t="s">
        <v>57</v>
      </c>
      <c r="F48" t="s">
        <v>1402</v>
      </c>
      <c r="G48" t="s">
        <v>65</v>
      </c>
      <c r="H48" t="s">
        <v>164</v>
      </c>
      <c r="I48" s="8" t="s">
        <v>163</v>
      </c>
      <c r="J48" t="s">
        <v>85</v>
      </c>
      <c r="K48" t="s">
        <v>81</v>
      </c>
      <c r="L48" t="s">
        <v>95</v>
      </c>
      <c r="M48" t="s">
        <v>73</v>
      </c>
      <c r="N48" t="s">
        <v>48</v>
      </c>
      <c r="O48" t="s">
        <v>79</v>
      </c>
      <c r="P48" t="s">
        <v>1397</v>
      </c>
      <c r="S48" t="str">
        <v>Z890-AERO-G</v>
      </c>
    </row>
    <row r="49" spans="2:19">
      <c r="B49" s="1">
        <v>10119917690930</v>
      </c>
      <c r="E49" t="s">
        <v>57</v>
      </c>
      <c r="F49" t="s">
        <v>1400</v>
      </c>
      <c r="G49" t="s">
        <v>64</v>
      </c>
      <c r="H49" t="s">
        <v>164</v>
      </c>
      <c r="I49" s="8" t="s">
        <v>163</v>
      </c>
      <c r="J49" t="s">
        <v>85</v>
      </c>
      <c r="K49" t="s">
        <v>92</v>
      </c>
      <c r="L49" t="s">
        <v>95</v>
      </c>
      <c r="M49" t="s">
        <v>74</v>
      </c>
      <c r="N49" t="s">
        <v>48</v>
      </c>
      <c r="O49" t="s">
        <v>79</v>
      </c>
      <c r="P49" t="s">
        <v>1397</v>
      </c>
      <c r="S49" t="str">
        <v>Z890-AORUS-PRO-ICE</v>
      </c>
    </row>
    <row r="50" spans="2:19">
      <c r="B50" s="1">
        <v>10119917690931</v>
      </c>
      <c r="E50" t="s">
        <v>57</v>
      </c>
      <c r="F50" t="s">
        <v>91</v>
      </c>
      <c r="G50" t="s">
        <v>39</v>
      </c>
      <c r="H50" t="s">
        <v>164</v>
      </c>
      <c r="I50" s="8" t="s">
        <v>163</v>
      </c>
      <c r="J50" t="s">
        <v>85</v>
      </c>
      <c r="K50" t="s">
        <v>92</v>
      </c>
      <c r="L50" t="s">
        <v>95</v>
      </c>
      <c r="M50" t="s">
        <v>75</v>
      </c>
      <c r="N50" t="s">
        <v>49</v>
      </c>
      <c r="O50" t="s">
        <v>79</v>
      </c>
      <c r="P50" t="s">
        <v>1397</v>
      </c>
      <c r="S50" t="str">
        <v>Z890-AORUS-MASTER</v>
      </c>
    </row>
    <row r="51" spans="2:19">
      <c r="B51" s="1">
        <v>10119917690932</v>
      </c>
      <c r="E51" t="s">
        <v>57</v>
      </c>
      <c r="F51" t="s">
        <v>87</v>
      </c>
      <c r="G51" t="s">
        <v>66</v>
      </c>
      <c r="H51" t="s">
        <v>164</v>
      </c>
      <c r="I51" s="8" t="s">
        <v>163</v>
      </c>
      <c r="J51" t="s">
        <v>85</v>
      </c>
      <c r="K51" t="s">
        <v>92</v>
      </c>
      <c r="L51" t="s">
        <v>95</v>
      </c>
      <c r="M51" t="s">
        <v>76</v>
      </c>
      <c r="N51" t="s">
        <v>49</v>
      </c>
      <c r="O51" t="s">
        <v>79</v>
      </c>
      <c r="P51" t="s">
        <v>1397</v>
      </c>
      <c r="S51" t="str">
        <v>H610M H V2 DDR4</v>
      </c>
    </row>
    <row r="52" spans="2:19">
      <c r="B52" s="1">
        <v>10119917690933</v>
      </c>
      <c r="E52" t="s">
        <v>57</v>
      </c>
      <c r="F52" t="s">
        <v>90</v>
      </c>
      <c r="G52" t="s">
        <v>68</v>
      </c>
      <c r="H52" t="s">
        <v>164</v>
      </c>
      <c r="I52" s="8" t="s">
        <v>163</v>
      </c>
      <c r="J52" t="s">
        <v>85</v>
      </c>
      <c r="K52" t="s">
        <v>80</v>
      </c>
      <c r="L52" t="s">
        <v>95</v>
      </c>
      <c r="M52" t="s">
        <v>77</v>
      </c>
      <c r="N52" t="s">
        <v>49</v>
      </c>
      <c r="O52" t="s">
        <v>79</v>
      </c>
      <c r="P52" t="s">
        <v>1397</v>
      </c>
      <c r="S52" t="str">
        <v>B760M E</v>
      </c>
    </row>
    <row r="53" spans="2:19">
      <c r="B53" s="1">
        <v>10119917690934</v>
      </c>
      <c r="E53" t="s">
        <v>57</v>
      </c>
      <c r="F53" t="s">
        <v>860</v>
      </c>
      <c r="G53" t="s">
        <v>67</v>
      </c>
      <c r="H53" t="s">
        <v>164</v>
      </c>
      <c r="I53" s="8" t="s">
        <v>163</v>
      </c>
      <c r="J53" t="s">
        <v>96</v>
      </c>
      <c r="K53" t="s">
        <v>80</v>
      </c>
      <c r="L53" t="s">
        <v>95</v>
      </c>
      <c r="M53" t="s">
        <v>78</v>
      </c>
      <c r="N53" t="s">
        <v>48</v>
      </c>
      <c r="O53" t="s">
        <v>79</v>
      </c>
      <c r="P53" t="s">
        <v>1397</v>
      </c>
      <c r="S53" t="str">
        <v>B760M-GAMING-AC-DDR4-rev-1x</v>
      </c>
    </row>
    <row r="54" spans="2:19">
      <c r="I54" s="8"/>
      <c r="S54" t="str">
        <v>B760M-GAMING-WIFI-PLUS-rev-11</v>
      </c>
    </row>
    <row r="55" spans="2:19">
      <c r="B55"/>
      <c r="C55" t="s">
        <v>861</v>
      </c>
      <c r="E55" t="s">
        <v>862</v>
      </c>
      <c r="F55" t="s">
        <v>555</v>
      </c>
      <c r="G55" t="s">
        <v>863</v>
      </c>
      <c r="H55" t="s">
        <v>864</v>
      </c>
      <c r="I55" s="8" t="s">
        <v>867</v>
      </c>
      <c r="J55" s="8" t="s">
        <v>865</v>
      </c>
      <c r="K55" t="s">
        <v>866</v>
      </c>
      <c r="L55" t="s">
        <v>817</v>
      </c>
      <c r="M55" t="s">
        <v>861</v>
      </c>
      <c r="O55" t="s">
        <v>79</v>
      </c>
      <c r="S55" t="str">
        <v>B760M-AORUS-PRO-AX-DDR4-rev-1x</v>
      </c>
    </row>
    <row r="56" spans="2:19">
      <c r="C56" t="s">
        <v>808</v>
      </c>
      <c r="E56" t="s">
        <v>809</v>
      </c>
      <c r="F56" t="s">
        <v>810</v>
      </c>
      <c r="G56" t="s">
        <v>811</v>
      </c>
      <c r="H56" t="s">
        <v>815</v>
      </c>
      <c r="I56" t="s">
        <v>816</v>
      </c>
      <c r="J56" t="s">
        <v>812</v>
      </c>
      <c r="K56" s="8" t="s">
        <v>813</v>
      </c>
      <c r="L56" t="s">
        <v>817</v>
      </c>
      <c r="M56" t="s">
        <v>814</v>
      </c>
      <c r="O56" t="s">
        <v>79</v>
      </c>
      <c r="S56" t="str">
        <v>B760M-AORUS-ELITE-X-AX</v>
      </c>
    </row>
    <row r="57" spans="2:19">
      <c r="C57" t="s">
        <v>358</v>
      </c>
      <c r="E57" t="s">
        <v>165</v>
      </c>
      <c r="F57" t="s">
        <v>360</v>
      </c>
      <c r="G57" t="s">
        <v>361</v>
      </c>
      <c r="H57" t="s">
        <v>367</v>
      </c>
      <c r="I57" t="s">
        <v>43</v>
      </c>
      <c r="J57" t="s">
        <v>368</v>
      </c>
      <c r="K57" t="s">
        <v>370</v>
      </c>
      <c r="L57" t="s">
        <v>371</v>
      </c>
      <c r="M57" t="s">
        <v>364</v>
      </c>
      <c r="N57" t="s">
        <v>366</v>
      </c>
      <c r="O57" t="s">
        <v>79</v>
      </c>
      <c r="S57" t="str">
        <v>Z790M-AORUS-ELITE-rev-11</v>
      </c>
    </row>
    <row r="58" spans="2:19">
      <c r="C58" t="s">
        <v>359</v>
      </c>
      <c r="E58" t="s">
        <v>165</v>
      </c>
      <c r="F58" t="s">
        <v>363</v>
      </c>
      <c r="G58" t="s">
        <v>362</v>
      </c>
      <c r="H58" t="s">
        <v>367</v>
      </c>
      <c r="I58" t="s">
        <v>43</v>
      </c>
      <c r="J58" t="s">
        <v>368</v>
      </c>
      <c r="K58" t="s">
        <v>369</v>
      </c>
      <c r="L58" t="s">
        <v>371</v>
      </c>
      <c r="M58" t="s">
        <v>365</v>
      </c>
      <c r="N58" t="s">
        <v>366</v>
      </c>
      <c r="O58" t="s">
        <v>79</v>
      </c>
      <c r="S58" t="str">
        <v>Z790M-AORUS-ELITE-AX-rev-12</v>
      </c>
    </row>
    <row r="59" spans="2:19">
      <c r="C59" t="s">
        <v>169</v>
      </c>
      <c r="E59" t="s">
        <v>165</v>
      </c>
      <c r="F59" t="s">
        <v>168</v>
      </c>
      <c r="G59" t="s">
        <v>166</v>
      </c>
      <c r="H59" t="s">
        <v>162</v>
      </c>
      <c r="I59" s="8" t="s">
        <v>163</v>
      </c>
      <c r="J59" t="s">
        <v>173</v>
      </c>
      <c r="K59" t="s">
        <v>148</v>
      </c>
      <c r="M59" t="s">
        <v>172</v>
      </c>
      <c r="N59" t="s">
        <v>154</v>
      </c>
      <c r="O59" t="s">
        <v>79</v>
      </c>
      <c r="S59" t="str">
        <v>Z790M-AORUS-ELITE-AX-ICE</v>
      </c>
    </row>
    <row r="60" spans="2:19">
      <c r="C60" t="s">
        <v>170</v>
      </c>
      <c r="E60" t="s">
        <v>165</v>
      </c>
      <c r="F60" t="s">
        <v>175</v>
      </c>
      <c r="G60" t="s">
        <v>167</v>
      </c>
      <c r="H60" t="s">
        <v>162</v>
      </c>
      <c r="I60" s="8" t="s">
        <v>163</v>
      </c>
      <c r="J60" t="s">
        <v>173</v>
      </c>
      <c r="K60" t="s">
        <v>148</v>
      </c>
      <c r="M60" t="s">
        <v>171</v>
      </c>
      <c r="N60" t="s">
        <v>49</v>
      </c>
      <c r="O60" t="s">
        <v>79</v>
      </c>
      <c r="S60" t="str">
        <v>Z790-EAGLE-rev-10</v>
      </c>
    </row>
    <row r="61" spans="2:19">
      <c r="I61" s="8"/>
      <c r="S61" t="str">
        <v>Z790-EAGLE-AX-rev-10</v>
      </c>
    </row>
    <row r="62" spans="2:19">
      <c r="C62" t="s">
        <v>102</v>
      </c>
      <c r="E62" t="s">
        <v>126</v>
      </c>
      <c r="F62" t="s">
        <v>127</v>
      </c>
      <c r="G62" t="s">
        <v>64</v>
      </c>
      <c r="H62" t="s">
        <v>144</v>
      </c>
      <c r="I62" t="s">
        <v>145</v>
      </c>
      <c r="J62" t="s">
        <v>155</v>
      </c>
      <c r="K62" t="s">
        <v>146</v>
      </c>
      <c r="L62" t="s">
        <v>176</v>
      </c>
      <c r="M62" t="s">
        <v>112</v>
      </c>
      <c r="O62" t="s">
        <v>79</v>
      </c>
      <c r="S62" t="str">
        <v>Z790-AORUS-ELITE-AX-W-rev-1x</v>
      </c>
    </row>
    <row r="63" spans="2:19">
      <c r="C63" t="s">
        <v>103</v>
      </c>
      <c r="E63" t="s">
        <v>126</v>
      </c>
      <c r="F63" t="s">
        <v>160</v>
      </c>
      <c r="G63" t="s">
        <v>135</v>
      </c>
      <c r="H63" t="s">
        <v>162</v>
      </c>
      <c r="I63" s="8" t="s">
        <v>163</v>
      </c>
      <c r="J63" t="s">
        <v>155</v>
      </c>
      <c r="K63" t="s">
        <v>147</v>
      </c>
      <c r="L63" t="s">
        <v>176</v>
      </c>
      <c r="M63" t="s">
        <v>113</v>
      </c>
      <c r="N63" t="s">
        <v>154</v>
      </c>
      <c r="O63" t="s">
        <v>79</v>
      </c>
      <c r="S63" t="str">
        <v>Z790-AORUS-ELITE-X-WIFI7</v>
      </c>
    </row>
    <row r="64" spans="2:19">
      <c r="C64" t="s">
        <v>104</v>
      </c>
      <c r="E64" t="s">
        <v>126</v>
      </c>
      <c r="F64" t="s">
        <v>128</v>
      </c>
      <c r="G64" t="s">
        <v>39</v>
      </c>
      <c r="H64" t="s">
        <v>162</v>
      </c>
      <c r="I64" s="8" t="s">
        <v>163</v>
      </c>
      <c r="J64" t="s">
        <v>155</v>
      </c>
      <c r="K64" t="s">
        <v>147</v>
      </c>
      <c r="L64" t="s">
        <v>176</v>
      </c>
      <c r="M64" t="s">
        <v>114</v>
      </c>
      <c r="N64" t="s">
        <v>49</v>
      </c>
      <c r="O64" t="s">
        <v>79</v>
      </c>
      <c r="S64" t="str">
        <v>Z790-AORUS-PRO-X-WIFI7</v>
      </c>
    </row>
    <row r="65" spans="3:19">
      <c r="C65" t="s">
        <v>105</v>
      </c>
      <c r="E65" t="s">
        <v>125</v>
      </c>
      <c r="F65" t="s">
        <v>35</v>
      </c>
      <c r="G65" t="s">
        <v>44</v>
      </c>
      <c r="H65" t="s">
        <v>144</v>
      </c>
      <c r="I65" t="s">
        <v>145</v>
      </c>
      <c r="J65" t="s">
        <v>155</v>
      </c>
      <c r="K65" t="s">
        <v>146</v>
      </c>
      <c r="L65" t="s">
        <v>176</v>
      </c>
      <c r="M65" t="s">
        <v>115</v>
      </c>
      <c r="O65" t="s">
        <v>79</v>
      </c>
      <c r="S65" t="str">
        <v>Z790-AORUS-PRO-X</v>
      </c>
    </row>
    <row r="66" spans="3:19">
      <c r="C66" t="s">
        <v>106</v>
      </c>
      <c r="E66" t="s">
        <v>125</v>
      </c>
      <c r="F66" t="s">
        <v>136</v>
      </c>
      <c r="G66" t="s">
        <v>44</v>
      </c>
      <c r="H66" t="s">
        <v>162</v>
      </c>
      <c r="I66" s="8" t="s">
        <v>163</v>
      </c>
      <c r="J66" t="s">
        <v>155</v>
      </c>
      <c r="K66" t="s">
        <v>146</v>
      </c>
      <c r="L66" t="s">
        <v>176</v>
      </c>
      <c r="M66" t="s">
        <v>116</v>
      </c>
      <c r="N66" t="s">
        <v>154</v>
      </c>
      <c r="O66" t="s">
        <v>79</v>
      </c>
      <c r="S66" t="str">
        <v>Z790-AORUS-MASTER-X</v>
      </c>
    </row>
    <row r="67" spans="3:19">
      <c r="C67" t="s">
        <v>107</v>
      </c>
      <c r="E67" t="s">
        <v>125</v>
      </c>
      <c r="F67" t="s">
        <v>129</v>
      </c>
      <c r="G67" t="s">
        <v>137</v>
      </c>
      <c r="H67" t="s">
        <v>162</v>
      </c>
      <c r="I67" s="8" t="s">
        <v>163</v>
      </c>
      <c r="J67" t="s">
        <v>85</v>
      </c>
      <c r="K67" t="s">
        <v>148</v>
      </c>
      <c r="L67" t="s">
        <v>176</v>
      </c>
      <c r="M67" t="s">
        <v>124</v>
      </c>
      <c r="N67" t="s">
        <v>154</v>
      </c>
      <c r="O67" t="s">
        <v>79</v>
      </c>
      <c r="S67" t="str">
        <v>Z790-AORUS-TACHYON-rev-10</v>
      </c>
    </row>
    <row r="68" spans="3:19">
      <c r="C68" t="s">
        <v>108</v>
      </c>
      <c r="E68" t="s">
        <v>125</v>
      </c>
      <c r="F68" t="s">
        <v>177</v>
      </c>
      <c r="G68" t="s">
        <v>138</v>
      </c>
      <c r="H68" t="s">
        <v>164</v>
      </c>
      <c r="I68" s="8" t="s">
        <v>163</v>
      </c>
      <c r="J68" t="s">
        <v>85</v>
      </c>
      <c r="K68" t="s">
        <v>148</v>
      </c>
      <c r="L68" t="s">
        <v>174</v>
      </c>
      <c r="M68" t="s">
        <v>117</v>
      </c>
      <c r="N68" t="s">
        <v>48</v>
      </c>
      <c r="O68" t="s">
        <v>79</v>
      </c>
      <c r="S68" t="str">
        <v>Z790-AORUS-XTREME-X</v>
      </c>
    </row>
    <row r="69" spans="3:19">
      <c r="C69" t="s">
        <v>109</v>
      </c>
      <c r="E69" t="s">
        <v>125</v>
      </c>
      <c r="F69" t="s">
        <v>143</v>
      </c>
      <c r="G69" t="s">
        <v>139</v>
      </c>
      <c r="H69" t="s">
        <v>164</v>
      </c>
      <c r="I69" s="8" t="s">
        <v>163</v>
      </c>
      <c r="J69" t="s">
        <v>149</v>
      </c>
      <c r="K69" t="s">
        <v>148</v>
      </c>
      <c r="L69" t="s">
        <v>176</v>
      </c>
      <c r="M69" t="s">
        <v>118</v>
      </c>
      <c r="N69" t="s">
        <v>48</v>
      </c>
      <c r="O69" t="s">
        <v>79</v>
      </c>
      <c r="S69" t="str">
        <v>Z790-AORUS-XTREME-X-ICE</v>
      </c>
    </row>
    <row r="70" spans="3:19">
      <c r="C70" t="s">
        <v>110</v>
      </c>
      <c r="E70" t="s">
        <v>125</v>
      </c>
      <c r="F70" t="s">
        <v>143</v>
      </c>
      <c r="G70" t="s">
        <v>68</v>
      </c>
      <c r="H70" t="s">
        <v>164</v>
      </c>
      <c r="I70" s="8" t="s">
        <v>163</v>
      </c>
      <c r="J70" t="s">
        <v>149</v>
      </c>
      <c r="K70" t="s">
        <v>148</v>
      </c>
      <c r="L70" t="s">
        <v>176</v>
      </c>
      <c r="M70" t="s">
        <v>119</v>
      </c>
      <c r="N70" t="s">
        <v>49</v>
      </c>
      <c r="O70" t="s">
        <v>79</v>
      </c>
      <c r="S70" t="str">
        <v>B760M AORUS ELITE AX DDR4</v>
      </c>
    </row>
    <row r="71" spans="3:19">
      <c r="C71" t="s">
        <v>111</v>
      </c>
      <c r="E71" t="s">
        <v>125</v>
      </c>
      <c r="F71" t="s">
        <v>159</v>
      </c>
      <c r="G71" t="s">
        <v>67</v>
      </c>
      <c r="H71" t="s">
        <v>164</v>
      </c>
      <c r="I71" s="8" t="s">
        <v>163</v>
      </c>
      <c r="J71" t="s">
        <v>156</v>
      </c>
      <c r="K71" t="s">
        <v>150</v>
      </c>
      <c r="M71" t="s">
        <v>120</v>
      </c>
      <c r="N71" t="s">
        <v>48</v>
      </c>
      <c r="O71" t="s">
        <v>79</v>
      </c>
      <c r="S71" t="str">
        <v>B760M AORUS ELITE AX-P</v>
      </c>
    </row>
    <row r="72" spans="3:19">
      <c r="C72" t="s">
        <v>130</v>
      </c>
      <c r="E72" t="s">
        <v>125</v>
      </c>
      <c r="F72" t="s">
        <v>131</v>
      </c>
      <c r="G72" t="s">
        <v>140</v>
      </c>
      <c r="H72" t="s">
        <v>164</v>
      </c>
      <c r="I72" s="8" t="s">
        <v>163</v>
      </c>
      <c r="J72" t="s">
        <v>157</v>
      </c>
      <c r="K72" t="s">
        <v>151</v>
      </c>
      <c r="M72" t="s">
        <v>122</v>
      </c>
      <c r="N72" t="s">
        <v>48</v>
      </c>
      <c r="O72" t="s">
        <v>79</v>
      </c>
      <c r="S72" t="str">
        <v>B760M POWER DDR4</v>
      </c>
    </row>
    <row r="73" spans="3:19">
      <c r="C73" t="s">
        <v>132</v>
      </c>
      <c r="E73" t="s">
        <v>125</v>
      </c>
      <c r="F73" t="s">
        <v>133</v>
      </c>
      <c r="G73" t="s">
        <v>141</v>
      </c>
      <c r="H73" t="s">
        <v>164</v>
      </c>
      <c r="I73" s="8" t="s">
        <v>163</v>
      </c>
      <c r="J73" t="s">
        <v>158</v>
      </c>
      <c r="K73" t="s">
        <v>152</v>
      </c>
      <c r="M73" t="s">
        <v>123</v>
      </c>
      <c r="N73" t="s">
        <v>48</v>
      </c>
      <c r="O73" t="s">
        <v>79</v>
      </c>
      <c r="S73" t="str">
        <v>B760M POWER</v>
      </c>
    </row>
    <row r="74" spans="3:19">
      <c r="C74" t="s">
        <v>134</v>
      </c>
      <c r="E74" t="s">
        <v>125</v>
      </c>
      <c r="F74" t="s">
        <v>161</v>
      </c>
      <c r="G74" t="s">
        <v>142</v>
      </c>
      <c r="H74" t="s">
        <v>164</v>
      </c>
      <c r="I74" s="8" t="s">
        <v>163</v>
      </c>
      <c r="J74" t="s">
        <v>158</v>
      </c>
      <c r="K74" t="s">
        <v>153</v>
      </c>
      <c r="M74" t="s">
        <v>121</v>
      </c>
      <c r="N74" t="s">
        <v>49</v>
      </c>
      <c r="O74" t="s">
        <v>79</v>
      </c>
      <c r="S74" t="str">
        <v>B650I AX</v>
      </c>
    </row>
    <row r="75" spans="3:19">
      <c r="S75" t="str">
        <v>B850M GAMING X WF6E</v>
      </c>
    </row>
    <row r="76" spans="3:19">
      <c r="C76" t="s">
        <v>489</v>
      </c>
      <c r="E76" t="s">
        <v>165</v>
      </c>
      <c r="F76" t="s">
        <v>526</v>
      </c>
      <c r="G76" t="s">
        <v>523</v>
      </c>
      <c r="H76" t="s">
        <v>162</v>
      </c>
      <c r="I76" s="8" t="s">
        <v>163</v>
      </c>
      <c r="J76" t="s">
        <v>527</v>
      </c>
      <c r="K76" t="s">
        <v>148</v>
      </c>
      <c r="L76" t="s">
        <v>174</v>
      </c>
      <c r="M76" t="s">
        <v>494</v>
      </c>
      <c r="N76" t="s">
        <v>154</v>
      </c>
      <c r="O76" t="s">
        <v>79</v>
      </c>
      <c r="S76" t="str">
        <v>B850M A ELT WF6E ICE</v>
      </c>
    </row>
    <row r="77" spans="3:19">
      <c r="C77" t="s">
        <v>491</v>
      </c>
      <c r="E77" t="s">
        <v>165</v>
      </c>
      <c r="F77" t="s">
        <v>525</v>
      </c>
      <c r="G77" t="s">
        <v>524</v>
      </c>
      <c r="H77" t="s">
        <v>162</v>
      </c>
      <c r="I77" s="8" t="s">
        <v>163</v>
      </c>
      <c r="J77" t="s">
        <v>527</v>
      </c>
      <c r="K77" t="s">
        <v>148</v>
      </c>
      <c r="L77" t="s">
        <v>174</v>
      </c>
      <c r="M77" t="s">
        <v>522</v>
      </c>
      <c r="N77" t="s">
        <v>154</v>
      </c>
      <c r="O77" t="s">
        <v>79</v>
      </c>
      <c r="S77" t="str">
        <v>B850M A PRO WIFI7</v>
      </c>
    </row>
    <row r="78" spans="3:19">
      <c r="S78" t="str">
        <v>B850 A ELITE WF7</v>
      </c>
    </row>
    <row r="79" spans="3:19">
      <c r="S79" t="str">
        <v>B850 A ELITE WF7 ICE</v>
      </c>
    </row>
    <row r="80" spans="3:19">
      <c r="S80" t="str">
        <v>B850I AORUS PRO</v>
      </c>
    </row>
    <row r="81" spans="2:19">
      <c r="B81" t="s">
        <v>927</v>
      </c>
      <c r="E81" t="s">
        <v>924</v>
      </c>
      <c r="F81" t="s">
        <v>925</v>
      </c>
      <c r="G81" t="s">
        <v>555</v>
      </c>
      <c r="H81" t="s">
        <v>921</v>
      </c>
      <c r="I81" t="s">
        <v>816</v>
      </c>
      <c r="J81" t="s">
        <v>812</v>
      </c>
      <c r="K81" s="8" t="s">
        <v>572</v>
      </c>
      <c r="L81" t="s">
        <v>371</v>
      </c>
      <c r="M81" t="s">
        <v>923</v>
      </c>
      <c r="O81" t="s">
        <v>79</v>
      </c>
      <c r="S81" t="str">
        <v>B650E AORUS STEALTH ICE</v>
      </c>
    </row>
    <row r="82" spans="2:19">
      <c r="E82" t="s">
        <v>924</v>
      </c>
      <c r="F82" t="s">
        <v>1209</v>
      </c>
      <c r="G82" t="s">
        <v>555</v>
      </c>
      <c r="H82" t="s">
        <v>921</v>
      </c>
      <c r="I82" t="s">
        <v>816</v>
      </c>
      <c r="J82" t="s">
        <v>812</v>
      </c>
      <c r="K82" s="8" t="s">
        <v>572</v>
      </c>
      <c r="L82" t="s">
        <v>817</v>
      </c>
      <c r="M82" t="s">
        <v>1210</v>
      </c>
      <c r="O82" t="s">
        <v>79</v>
      </c>
    </row>
    <row r="83" spans="2:19">
      <c r="B83" t="s">
        <v>1210</v>
      </c>
    </row>
    <row r="84" spans="2:19">
      <c r="B84" s="5" t="s">
        <v>843</v>
      </c>
      <c r="E84" s="5" t="s">
        <v>846</v>
      </c>
      <c r="F84" t="s">
        <v>40</v>
      </c>
      <c r="G84" s="5" t="s">
        <v>847</v>
      </c>
      <c r="H84" t="s">
        <v>164</v>
      </c>
      <c r="I84" s="8" t="s">
        <v>163</v>
      </c>
      <c r="J84" t="s">
        <v>849</v>
      </c>
      <c r="K84" t="s">
        <v>42</v>
      </c>
      <c r="L84" t="s">
        <v>913</v>
      </c>
      <c r="M84" s="5" t="s">
        <v>843</v>
      </c>
      <c r="N84" t="s">
        <v>49</v>
      </c>
      <c r="O84" t="s">
        <v>45</v>
      </c>
    </row>
    <row r="85" spans="2:19">
      <c r="B85" t="s">
        <v>747</v>
      </c>
      <c r="E85" t="s">
        <v>746</v>
      </c>
      <c r="F85" t="s">
        <v>750</v>
      </c>
      <c r="G85" t="s">
        <v>59</v>
      </c>
      <c r="H85" t="s">
        <v>162</v>
      </c>
      <c r="I85" s="8" t="s">
        <v>163</v>
      </c>
      <c r="J85" t="s">
        <v>749</v>
      </c>
      <c r="K85" t="s">
        <v>748</v>
      </c>
      <c r="L85" t="s">
        <v>913</v>
      </c>
      <c r="M85" t="s">
        <v>747</v>
      </c>
      <c r="N85" t="s">
        <v>154</v>
      </c>
      <c r="O85" t="s">
        <v>45</v>
      </c>
    </row>
    <row r="86" spans="2:19">
      <c r="B86" t="s">
        <v>1301</v>
      </c>
      <c r="E86" t="s">
        <v>914</v>
      </c>
      <c r="F86" t="s">
        <v>916</v>
      </c>
      <c r="G86" t="s">
        <v>915</v>
      </c>
      <c r="H86" t="s">
        <v>162</v>
      </c>
      <c r="I86" s="8" t="s">
        <v>163</v>
      </c>
      <c r="J86" t="s">
        <v>917</v>
      </c>
      <c r="K86" t="s">
        <v>919</v>
      </c>
      <c r="L86" t="s">
        <v>1298</v>
      </c>
      <c r="M86" t="s">
        <v>918</v>
      </c>
      <c r="N86" t="s">
        <v>47</v>
      </c>
      <c r="O86" t="s">
        <v>45</v>
      </c>
    </row>
    <row r="91" spans="2:19">
      <c r="B91" s="1" t="s">
        <v>1193</v>
      </c>
      <c r="C91" s="1" t="s">
        <v>1193</v>
      </c>
      <c r="E91" t="s">
        <v>1225</v>
      </c>
      <c r="F91" t="s">
        <v>1224</v>
      </c>
      <c r="G91" t="s">
        <v>1203</v>
      </c>
      <c r="H91" t="s">
        <v>162</v>
      </c>
      <c r="I91" s="8" t="s">
        <v>163</v>
      </c>
      <c r="J91" t="s">
        <v>1206</v>
      </c>
      <c r="K91" t="s">
        <v>1211</v>
      </c>
      <c r="L91" t="s">
        <v>46</v>
      </c>
      <c r="M91" t="s">
        <v>1198</v>
      </c>
      <c r="N91" t="s">
        <v>48</v>
      </c>
      <c r="O91" t="s">
        <v>45</v>
      </c>
    </row>
    <row r="92" spans="2:19">
      <c r="B92" s="1" t="s">
        <v>1194</v>
      </c>
      <c r="C92" s="1" t="s">
        <v>1194</v>
      </c>
      <c r="E92" t="s">
        <v>1225</v>
      </c>
      <c r="F92" t="s">
        <v>1228</v>
      </c>
      <c r="G92" t="s">
        <v>39</v>
      </c>
      <c r="H92" t="s">
        <v>162</v>
      </c>
      <c r="I92" s="8" t="s">
        <v>163</v>
      </c>
      <c r="J92" t="s">
        <v>1207</v>
      </c>
      <c r="K92" t="s">
        <v>1211</v>
      </c>
      <c r="L92" t="s">
        <v>46</v>
      </c>
      <c r="M92" t="s">
        <v>1199</v>
      </c>
      <c r="N92" t="s">
        <v>49</v>
      </c>
      <c r="O92" t="s">
        <v>45</v>
      </c>
    </row>
    <row r="93" spans="2:19">
      <c r="B93" s="1" t="s">
        <v>1396</v>
      </c>
      <c r="C93" s="1" t="s">
        <v>1195</v>
      </c>
      <c r="E93" t="s">
        <v>1225</v>
      </c>
      <c r="F93" t="s">
        <v>1223</v>
      </c>
      <c r="G93" t="s">
        <v>139</v>
      </c>
      <c r="H93" t="s">
        <v>164</v>
      </c>
      <c r="I93" s="8" t="s">
        <v>163</v>
      </c>
      <c r="J93" t="s">
        <v>1207</v>
      </c>
      <c r="K93" t="s">
        <v>1211</v>
      </c>
      <c r="L93" t="s">
        <v>46</v>
      </c>
      <c r="M93" t="s">
        <v>1395</v>
      </c>
      <c r="N93" t="s">
        <v>48</v>
      </c>
      <c r="O93" t="s">
        <v>45</v>
      </c>
    </row>
    <row r="94" spans="2:19">
      <c r="B94" s="1" t="s">
        <v>1196</v>
      </c>
      <c r="C94" s="1" t="s">
        <v>1196</v>
      </c>
      <c r="E94" t="s">
        <v>1226</v>
      </c>
      <c r="F94" t="s">
        <v>1222</v>
      </c>
      <c r="G94" t="s">
        <v>64</v>
      </c>
      <c r="H94" t="s">
        <v>164</v>
      </c>
      <c r="I94" s="8" t="s">
        <v>163</v>
      </c>
      <c r="J94" t="s">
        <v>29</v>
      </c>
      <c r="K94" t="s">
        <v>1211</v>
      </c>
      <c r="L94" t="s">
        <v>46</v>
      </c>
      <c r="M94" t="s">
        <v>1201</v>
      </c>
      <c r="N94" t="s">
        <v>48</v>
      </c>
      <c r="O94" t="s">
        <v>45</v>
      </c>
    </row>
    <row r="95" spans="2:19">
      <c r="B95" s="1" t="s">
        <v>1197</v>
      </c>
      <c r="C95" s="1" t="s">
        <v>1197</v>
      </c>
      <c r="E95" t="s">
        <v>1226</v>
      </c>
      <c r="F95" t="s">
        <v>1227</v>
      </c>
      <c r="G95" t="s">
        <v>39</v>
      </c>
      <c r="H95" t="s">
        <v>164</v>
      </c>
      <c r="I95" s="8" t="s">
        <v>163</v>
      </c>
      <c r="J95" t="s">
        <v>29</v>
      </c>
      <c r="K95" t="s">
        <v>1211</v>
      </c>
      <c r="L95" t="s">
        <v>46</v>
      </c>
      <c r="M95" t="s">
        <v>1200</v>
      </c>
      <c r="N95" t="s">
        <v>49</v>
      </c>
      <c r="O95" t="s">
        <v>45</v>
      </c>
    </row>
    <row r="96" spans="2:19">
      <c r="B96" t="s">
        <v>1299</v>
      </c>
      <c r="C96" t="s">
        <v>1270</v>
      </c>
      <c r="E96" t="s">
        <v>1271</v>
      </c>
      <c r="F96" t="s">
        <v>1272</v>
      </c>
      <c r="G96" t="s">
        <v>59</v>
      </c>
      <c r="H96" t="s">
        <v>164</v>
      </c>
      <c r="I96" s="8" t="s">
        <v>163</v>
      </c>
      <c r="J96" t="s">
        <v>749</v>
      </c>
      <c r="K96" t="s">
        <v>1275</v>
      </c>
      <c r="L96" t="s">
        <v>1300</v>
      </c>
      <c r="M96" t="s">
        <v>1273</v>
      </c>
      <c r="N96" t="s">
        <v>48</v>
      </c>
      <c r="O96" t="s">
        <v>45</v>
      </c>
    </row>
    <row r="101" spans="2:15">
      <c r="B101" s="1" t="s">
        <v>1340</v>
      </c>
      <c r="C101" t="s">
        <v>1340</v>
      </c>
      <c r="E101" t="s">
        <v>553</v>
      </c>
      <c r="F101" t="s">
        <v>1341</v>
      </c>
      <c r="G101" t="s">
        <v>1345</v>
      </c>
      <c r="H101" t="s">
        <v>164</v>
      </c>
      <c r="I101" s="8" t="s">
        <v>163</v>
      </c>
      <c r="J101" t="s">
        <v>1207</v>
      </c>
      <c r="K101" t="s">
        <v>1346</v>
      </c>
      <c r="L101" t="s">
        <v>1347</v>
      </c>
      <c r="M101" t="s">
        <v>1344</v>
      </c>
      <c r="N101" t="s">
        <v>49</v>
      </c>
      <c r="O101" t="s">
        <v>45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42B8A-B980-48F2-949E-2C3B93613D11}">
  <sheetPr codeName="Sheet11"/>
  <dimension ref="A1:T120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6" sqref="B6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1503</v>
      </c>
    </row>
    <row r="2" spans="1:17">
      <c r="A2" t="s">
        <v>3</v>
      </c>
      <c r="B2" s="1" t="s">
        <v>1410</v>
      </c>
    </row>
    <row r="3" spans="1:17">
      <c r="A3" t="s">
        <v>1</v>
      </c>
      <c r="B3" s="1" t="s">
        <v>1410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 ht="23.25">
      <c r="G7" s="30" t="s">
        <v>1403</v>
      </c>
      <c r="H7" s="31" t="s">
        <v>755</v>
      </c>
      <c r="I7" s="30" t="s">
        <v>1404</v>
      </c>
      <c r="J7" s="30" t="s">
        <v>1405</v>
      </c>
      <c r="K7" s="30" t="s">
        <v>1406</v>
      </c>
      <c r="L7" s="30" t="s">
        <v>1430</v>
      </c>
      <c r="M7" s="30" t="s">
        <v>1407</v>
      </c>
      <c r="N7" s="30" t="s">
        <v>1408</v>
      </c>
    </row>
    <row r="8" spans="1:17" ht="23.25">
      <c r="G8" s="32" t="s">
        <v>1596</v>
      </c>
      <c r="H8" s="32" t="s">
        <v>1597</v>
      </c>
      <c r="I8" s="32"/>
      <c r="J8" s="32"/>
      <c r="K8" s="32"/>
      <c r="L8" s="32"/>
      <c r="M8" s="32"/>
      <c r="N8" s="32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895</v>
      </c>
      <c r="P10" s="4" t="s">
        <v>894</v>
      </c>
      <c r="Q10" s="4" t="s">
        <v>882</v>
      </c>
    </row>
    <row r="11" spans="1:17" ht="15" thickTop="1"/>
    <row r="12" spans="1:17">
      <c r="E12" t="s">
        <v>1574</v>
      </c>
      <c r="F12" t="s">
        <v>1577</v>
      </c>
      <c r="G12" t="s">
        <v>1593</v>
      </c>
      <c r="H12" s="8" t="s">
        <v>1594</v>
      </c>
      <c r="I12" t="s">
        <v>1588</v>
      </c>
      <c r="J12" t="s">
        <v>1592</v>
      </c>
      <c r="K12" t="s">
        <v>1585</v>
      </c>
      <c r="L12" t="s">
        <v>1586</v>
      </c>
      <c r="M12" t="s">
        <v>1591</v>
      </c>
      <c r="N12" t="s">
        <v>1425</v>
      </c>
      <c r="P12" t="s">
        <v>893</v>
      </c>
    </row>
    <row r="13" spans="1:17">
      <c r="E13" t="s">
        <v>1574</v>
      </c>
      <c r="F13" t="s">
        <v>1576</v>
      </c>
      <c r="G13" t="s">
        <v>1593</v>
      </c>
      <c r="H13" s="8" t="s">
        <v>1594</v>
      </c>
      <c r="I13" t="s">
        <v>1587</v>
      </c>
      <c r="J13" t="s">
        <v>1592</v>
      </c>
      <c r="K13" t="s">
        <v>1585</v>
      </c>
      <c r="L13" t="s">
        <v>1586</v>
      </c>
      <c r="M13" t="s">
        <v>1591</v>
      </c>
      <c r="N13" t="s">
        <v>1425</v>
      </c>
      <c r="P13" t="s">
        <v>893</v>
      </c>
    </row>
    <row r="14" spans="1:17">
      <c r="E14" t="s">
        <v>1574</v>
      </c>
      <c r="F14" t="s">
        <v>1413</v>
      </c>
      <c r="G14" t="s">
        <v>1593</v>
      </c>
      <c r="H14" s="8" t="s">
        <v>1594</v>
      </c>
      <c r="I14" t="s">
        <v>1589</v>
      </c>
      <c r="J14" t="s">
        <v>1592</v>
      </c>
      <c r="K14" t="s">
        <v>1585</v>
      </c>
      <c r="L14" t="s">
        <v>1586</v>
      </c>
      <c r="M14" t="s">
        <v>1590</v>
      </c>
      <c r="N14" t="s">
        <v>1425</v>
      </c>
      <c r="P14" t="s">
        <v>893</v>
      </c>
    </row>
    <row r="15" spans="1:17">
      <c r="E15" t="s">
        <v>1574</v>
      </c>
      <c r="F15" t="s">
        <v>1417</v>
      </c>
      <c r="G15" t="s">
        <v>1593</v>
      </c>
      <c r="H15" s="8" t="s">
        <v>1594</v>
      </c>
      <c r="I15" t="s">
        <v>1589</v>
      </c>
      <c r="J15" t="s">
        <v>1592</v>
      </c>
      <c r="K15" t="s">
        <v>1585</v>
      </c>
      <c r="L15" t="s">
        <v>1586</v>
      </c>
      <c r="M15" t="s">
        <v>1590</v>
      </c>
      <c r="N15" t="s">
        <v>1425</v>
      </c>
      <c r="P15" t="s">
        <v>893</v>
      </c>
    </row>
    <row r="16" spans="1:17">
      <c r="E16" t="s">
        <v>1574</v>
      </c>
      <c r="F16" t="s">
        <v>726</v>
      </c>
      <c r="G16" t="s">
        <v>1593</v>
      </c>
      <c r="H16" s="8" t="s">
        <v>1594</v>
      </c>
      <c r="I16" t="s">
        <v>1581</v>
      </c>
      <c r="J16" t="s">
        <v>1592</v>
      </c>
      <c r="K16" t="s">
        <v>1585</v>
      </c>
      <c r="L16" t="s">
        <v>1586</v>
      </c>
      <c r="M16" t="s">
        <v>1583</v>
      </c>
      <c r="N16" t="s">
        <v>1425</v>
      </c>
      <c r="P16" t="s">
        <v>893</v>
      </c>
    </row>
    <row r="17" spans="2:16">
      <c r="E17" t="s">
        <v>1574</v>
      </c>
      <c r="F17" t="s">
        <v>725</v>
      </c>
      <c r="G17" t="s">
        <v>1593</v>
      </c>
      <c r="H17" s="8" t="s">
        <v>1594</v>
      </c>
      <c r="I17" t="s">
        <v>1581</v>
      </c>
      <c r="J17" t="s">
        <v>1592</v>
      </c>
      <c r="K17" t="s">
        <v>1585</v>
      </c>
      <c r="L17" t="s">
        <v>1586</v>
      </c>
      <c r="M17" t="s">
        <v>1584</v>
      </c>
      <c r="N17" t="s">
        <v>1425</v>
      </c>
      <c r="P17" t="s">
        <v>893</v>
      </c>
    </row>
    <row r="19" spans="2:16">
      <c r="E19" t="s">
        <v>1575</v>
      </c>
      <c r="F19" t="s">
        <v>1577</v>
      </c>
      <c r="G19" t="s">
        <v>1593</v>
      </c>
      <c r="H19" s="8" t="s">
        <v>1594</v>
      </c>
      <c r="I19" t="s">
        <v>1588</v>
      </c>
      <c r="J19" t="s">
        <v>1422</v>
      </c>
      <c r="K19" t="s">
        <v>1585</v>
      </c>
      <c r="L19" t="s">
        <v>1586</v>
      </c>
      <c r="M19" t="s">
        <v>1591</v>
      </c>
      <c r="N19" t="s">
        <v>1425</v>
      </c>
      <c r="P19" t="s">
        <v>893</v>
      </c>
    </row>
    <row r="20" spans="2:16">
      <c r="E20" t="s">
        <v>1575</v>
      </c>
      <c r="F20" t="s">
        <v>1576</v>
      </c>
      <c r="G20" t="s">
        <v>1593</v>
      </c>
      <c r="H20" s="8" t="s">
        <v>1594</v>
      </c>
      <c r="I20" t="s">
        <v>1587</v>
      </c>
      <c r="J20" t="s">
        <v>1422</v>
      </c>
      <c r="K20" t="s">
        <v>1585</v>
      </c>
      <c r="L20" t="s">
        <v>1586</v>
      </c>
      <c r="M20" t="s">
        <v>1591</v>
      </c>
      <c r="N20" t="s">
        <v>1425</v>
      </c>
      <c r="P20" t="s">
        <v>893</v>
      </c>
    </row>
    <row r="21" spans="2:16">
      <c r="E21" t="s">
        <v>1575</v>
      </c>
      <c r="F21" t="s">
        <v>1413</v>
      </c>
      <c r="G21" t="s">
        <v>1593</v>
      </c>
      <c r="H21" s="8" t="s">
        <v>1594</v>
      </c>
      <c r="I21" t="s">
        <v>1589</v>
      </c>
      <c r="J21" t="s">
        <v>1422</v>
      </c>
      <c r="K21" t="s">
        <v>1585</v>
      </c>
      <c r="L21" t="s">
        <v>1586</v>
      </c>
      <c r="M21" t="s">
        <v>1590</v>
      </c>
      <c r="N21" t="s">
        <v>1425</v>
      </c>
      <c r="P21" t="s">
        <v>893</v>
      </c>
    </row>
    <row r="22" spans="2:16">
      <c r="E22" t="s">
        <v>1575</v>
      </c>
      <c r="F22" t="s">
        <v>1417</v>
      </c>
      <c r="G22" t="s">
        <v>1593</v>
      </c>
      <c r="H22" s="8" t="s">
        <v>1594</v>
      </c>
      <c r="I22" t="s">
        <v>1589</v>
      </c>
      <c r="J22" t="s">
        <v>1422</v>
      </c>
      <c r="K22" t="s">
        <v>1585</v>
      </c>
      <c r="L22" t="s">
        <v>1586</v>
      </c>
      <c r="M22" t="s">
        <v>1590</v>
      </c>
      <c r="N22" t="s">
        <v>1425</v>
      </c>
      <c r="P22" t="s">
        <v>893</v>
      </c>
    </row>
    <row r="23" spans="2:16">
      <c r="E23" t="s">
        <v>1575</v>
      </c>
      <c r="F23" t="s">
        <v>726</v>
      </c>
      <c r="G23" t="s">
        <v>1593</v>
      </c>
      <c r="H23" s="8" t="s">
        <v>1594</v>
      </c>
      <c r="I23" t="s">
        <v>1581</v>
      </c>
      <c r="J23" t="s">
        <v>1422</v>
      </c>
      <c r="K23" t="s">
        <v>1585</v>
      </c>
      <c r="L23" t="s">
        <v>1586</v>
      </c>
      <c r="M23" t="s">
        <v>1583</v>
      </c>
      <c r="N23" t="s">
        <v>1425</v>
      </c>
      <c r="P23" t="s">
        <v>893</v>
      </c>
    </row>
    <row r="24" spans="2:16">
      <c r="E24" t="s">
        <v>1575</v>
      </c>
      <c r="F24" t="s">
        <v>1578</v>
      </c>
      <c r="G24" t="s">
        <v>1593</v>
      </c>
      <c r="H24" s="8" t="s">
        <v>1594</v>
      </c>
      <c r="I24" t="s">
        <v>1581</v>
      </c>
      <c r="J24" t="s">
        <v>1422</v>
      </c>
      <c r="K24" t="s">
        <v>1585</v>
      </c>
      <c r="L24" t="s">
        <v>1586</v>
      </c>
      <c r="M24" t="s">
        <v>1584</v>
      </c>
      <c r="N24" t="s">
        <v>1425</v>
      </c>
      <c r="P24" t="s">
        <v>893</v>
      </c>
    </row>
    <row r="25" spans="2:16">
      <c r="E25" t="s">
        <v>1575</v>
      </c>
      <c r="F25" t="s">
        <v>1579</v>
      </c>
      <c r="G25" t="s">
        <v>1593</v>
      </c>
      <c r="H25" s="8" t="s">
        <v>1594</v>
      </c>
      <c r="I25" t="s">
        <v>1580</v>
      </c>
      <c r="J25" t="s">
        <v>1422</v>
      </c>
      <c r="K25" t="s">
        <v>1585</v>
      </c>
      <c r="L25" t="s">
        <v>1586</v>
      </c>
      <c r="M25" t="s">
        <v>1582</v>
      </c>
      <c r="N25" t="s">
        <v>1425</v>
      </c>
      <c r="P25" t="s">
        <v>893</v>
      </c>
    </row>
    <row r="27" spans="2:16">
      <c r="B27" s="1" t="s">
        <v>1473</v>
      </c>
      <c r="E27" t="s">
        <v>1459</v>
      </c>
      <c r="F27" t="s">
        <v>1412</v>
      </c>
      <c r="G27" t="s">
        <v>1460</v>
      </c>
      <c r="H27" s="2">
        <v>6144</v>
      </c>
      <c r="I27" t="s">
        <v>1426</v>
      </c>
      <c r="J27" t="s">
        <v>1461</v>
      </c>
      <c r="K27" t="s">
        <v>1462</v>
      </c>
      <c r="L27" t="s">
        <v>1429</v>
      </c>
      <c r="M27" t="s">
        <v>1463</v>
      </c>
      <c r="N27" t="s">
        <v>1425</v>
      </c>
      <c r="O27" t="s">
        <v>1473</v>
      </c>
      <c r="P27" t="s">
        <v>893</v>
      </c>
    </row>
    <row r="28" spans="2:16">
      <c r="B28" s="1" t="s">
        <v>1474</v>
      </c>
      <c r="E28" t="s">
        <v>1459</v>
      </c>
      <c r="F28" t="s">
        <v>1413</v>
      </c>
      <c r="G28" t="s">
        <v>1460</v>
      </c>
      <c r="H28" s="2">
        <v>6144</v>
      </c>
      <c r="I28" t="s">
        <v>1464</v>
      </c>
      <c r="J28" t="s">
        <v>1461</v>
      </c>
      <c r="K28" t="s">
        <v>1462</v>
      </c>
      <c r="L28" t="s">
        <v>1429</v>
      </c>
      <c r="M28" t="s">
        <v>1465</v>
      </c>
      <c r="N28" t="s">
        <v>1425</v>
      </c>
      <c r="O28" t="s">
        <v>1474</v>
      </c>
      <c r="P28" t="s">
        <v>893</v>
      </c>
    </row>
    <row r="29" spans="2:16">
      <c r="B29" s="1" t="s">
        <v>1466</v>
      </c>
      <c r="E29" t="s">
        <v>1459</v>
      </c>
      <c r="F29" t="s">
        <v>1417</v>
      </c>
      <c r="G29" t="s">
        <v>1460</v>
      </c>
      <c r="H29" s="2">
        <v>6144</v>
      </c>
      <c r="I29" t="s">
        <v>1464</v>
      </c>
      <c r="J29" t="s">
        <v>1461</v>
      </c>
      <c r="K29" t="s">
        <v>1462</v>
      </c>
      <c r="L29" t="s">
        <v>1429</v>
      </c>
      <c r="M29" t="s">
        <v>1465</v>
      </c>
      <c r="N29" t="s">
        <v>1425</v>
      </c>
      <c r="O29" t="s">
        <v>1466</v>
      </c>
      <c r="P29" t="s">
        <v>893</v>
      </c>
    </row>
    <row r="30" spans="2:16">
      <c r="B30" s="1" t="s">
        <v>1475</v>
      </c>
      <c r="E30" t="s">
        <v>1459</v>
      </c>
      <c r="F30" t="s">
        <v>1414</v>
      </c>
      <c r="G30" t="s">
        <v>1460</v>
      </c>
      <c r="H30" s="2">
        <v>6144</v>
      </c>
      <c r="I30" t="s">
        <v>1468</v>
      </c>
      <c r="J30" t="s">
        <v>1461</v>
      </c>
      <c r="K30" t="s">
        <v>1462</v>
      </c>
      <c r="L30" t="s">
        <v>1429</v>
      </c>
      <c r="M30" t="s">
        <v>1469</v>
      </c>
      <c r="N30" t="s">
        <v>1425</v>
      </c>
      <c r="O30" t="s">
        <v>1475</v>
      </c>
      <c r="P30" t="s">
        <v>1418</v>
      </c>
    </row>
    <row r="31" spans="2:16">
      <c r="B31" s="1" t="s">
        <v>1476</v>
      </c>
      <c r="E31" t="s">
        <v>1459</v>
      </c>
      <c r="F31" t="s">
        <v>1415</v>
      </c>
      <c r="G31" t="s">
        <v>1460</v>
      </c>
      <c r="H31" s="2">
        <v>6144</v>
      </c>
      <c r="I31" t="s">
        <v>1468</v>
      </c>
      <c r="J31" t="s">
        <v>1461</v>
      </c>
      <c r="K31" t="s">
        <v>1462</v>
      </c>
      <c r="L31" t="s">
        <v>1429</v>
      </c>
      <c r="M31" t="s">
        <v>1470</v>
      </c>
      <c r="N31" t="s">
        <v>1425</v>
      </c>
      <c r="O31" t="s">
        <v>1476</v>
      </c>
      <c r="P31" t="s">
        <v>1418</v>
      </c>
    </row>
    <row r="32" spans="2:16">
      <c r="B32" s="1" t="s">
        <v>1477</v>
      </c>
      <c r="E32" t="s">
        <v>1459</v>
      </c>
      <c r="F32" t="s">
        <v>1416</v>
      </c>
      <c r="G32" t="s">
        <v>1460</v>
      </c>
      <c r="H32" s="2">
        <v>6144</v>
      </c>
      <c r="I32" t="s">
        <v>1471</v>
      </c>
      <c r="J32" t="s">
        <v>1461</v>
      </c>
      <c r="K32" t="s">
        <v>1462</v>
      </c>
      <c r="L32" t="s">
        <v>1429</v>
      </c>
      <c r="M32" t="s">
        <v>1472</v>
      </c>
      <c r="N32" t="s">
        <v>1425</v>
      </c>
      <c r="O32" t="s">
        <v>1477</v>
      </c>
      <c r="P32" t="s">
        <v>1418</v>
      </c>
    </row>
    <row r="34" spans="2:20">
      <c r="B34" s="1" t="s">
        <v>1380</v>
      </c>
      <c r="E34" t="s">
        <v>1411</v>
      </c>
      <c r="F34" t="s">
        <v>1412</v>
      </c>
      <c r="G34" t="s">
        <v>1419</v>
      </c>
      <c r="H34" s="2" t="s">
        <v>1431</v>
      </c>
      <c r="I34" t="s">
        <v>1428</v>
      </c>
      <c r="J34" s="8" t="s">
        <v>1422</v>
      </c>
      <c r="K34" t="s">
        <v>1424</v>
      </c>
      <c r="L34" t="s">
        <v>1429</v>
      </c>
      <c r="M34" t="s">
        <v>1432</v>
      </c>
      <c r="N34" t="s">
        <v>1425</v>
      </c>
      <c r="O34" t="s">
        <v>1380</v>
      </c>
      <c r="P34" t="s">
        <v>893</v>
      </c>
    </row>
    <row r="35" spans="2:20">
      <c r="B35" s="1" t="s">
        <v>1381</v>
      </c>
      <c r="E35" t="s">
        <v>1411</v>
      </c>
      <c r="F35" t="s">
        <v>1413</v>
      </c>
      <c r="G35" t="s">
        <v>1419</v>
      </c>
      <c r="H35" s="2" t="s">
        <v>1431</v>
      </c>
      <c r="I35" t="s">
        <v>1426</v>
      </c>
      <c r="J35" s="8" t="s">
        <v>1422</v>
      </c>
      <c r="K35" t="s">
        <v>1424</v>
      </c>
      <c r="L35" t="s">
        <v>1429</v>
      </c>
      <c r="M35" t="s">
        <v>1432</v>
      </c>
      <c r="N35" t="s">
        <v>1425</v>
      </c>
      <c r="O35" t="s">
        <v>1381</v>
      </c>
      <c r="P35" t="s">
        <v>893</v>
      </c>
      <c r="T35" cm="1">
        <f t="array" ref="T35:T39">_xlfn.UNIQUE(表1_11[文本丨规格丨规格8])</f>
        <v>0</v>
      </c>
    </row>
    <row r="36" spans="2:20">
      <c r="B36" s="1" t="s">
        <v>1382</v>
      </c>
      <c r="E36" t="s">
        <v>1411</v>
      </c>
      <c r="F36" t="s">
        <v>1417</v>
      </c>
      <c r="G36" t="s">
        <v>1419</v>
      </c>
      <c r="H36" s="2" t="s">
        <v>1431</v>
      </c>
      <c r="I36" t="s">
        <v>1427</v>
      </c>
      <c r="J36" s="8" t="s">
        <v>1422</v>
      </c>
      <c r="K36" t="s">
        <v>1424</v>
      </c>
      <c r="L36" t="s">
        <v>1429</v>
      </c>
      <c r="M36" t="s">
        <v>1432</v>
      </c>
      <c r="N36" t="s">
        <v>1425</v>
      </c>
      <c r="O36" t="s">
        <v>1382</v>
      </c>
      <c r="P36" t="s">
        <v>893</v>
      </c>
      <c r="T36" t="str">
        <v>DP2.1bx3+HDM2.1bx1</v>
      </c>
    </row>
    <row r="37" spans="2:20">
      <c r="B37" s="1" t="s">
        <v>1383</v>
      </c>
      <c r="E37" t="s">
        <v>1411</v>
      </c>
      <c r="F37" t="s">
        <v>1414</v>
      </c>
      <c r="G37" t="s">
        <v>1419</v>
      </c>
      <c r="H37" s="2" t="s">
        <v>1431</v>
      </c>
      <c r="I37" t="s">
        <v>1434</v>
      </c>
      <c r="J37" s="8" t="s">
        <v>1422</v>
      </c>
      <c r="K37" t="s">
        <v>1424</v>
      </c>
      <c r="L37" t="s">
        <v>1429</v>
      </c>
      <c r="M37" t="s">
        <v>1435</v>
      </c>
      <c r="N37" t="s">
        <v>1425</v>
      </c>
      <c r="O37" t="s">
        <v>1383</v>
      </c>
      <c r="P37" t="s">
        <v>1418</v>
      </c>
      <c r="T37" t="str">
        <v>DP1.4a*2+HDMI2.1a*2</v>
      </c>
    </row>
    <row r="38" spans="2:20">
      <c r="B38" s="1" t="s">
        <v>1384</v>
      </c>
      <c r="E38" t="s">
        <v>1411</v>
      </c>
      <c r="F38" t="s">
        <v>1415</v>
      </c>
      <c r="G38" t="s">
        <v>1419</v>
      </c>
      <c r="H38" s="2" t="s">
        <v>1431</v>
      </c>
      <c r="I38" t="s">
        <v>1434</v>
      </c>
      <c r="J38" s="8" t="s">
        <v>1422</v>
      </c>
      <c r="K38" t="s">
        <v>1424</v>
      </c>
      <c r="L38" t="s">
        <v>1429</v>
      </c>
      <c r="M38" t="s">
        <v>1435</v>
      </c>
      <c r="N38" t="s">
        <v>1425</v>
      </c>
      <c r="O38" t="s">
        <v>1384</v>
      </c>
      <c r="P38" t="s">
        <v>1418</v>
      </c>
      <c r="T38" t="str">
        <v>DP2.1a*2+HDMI2.1b*2</v>
      </c>
    </row>
    <row r="39" spans="2:20">
      <c r="B39" s="1" t="s">
        <v>1385</v>
      </c>
      <c r="E39" t="s">
        <v>1411</v>
      </c>
      <c r="F39" t="s">
        <v>1416</v>
      </c>
      <c r="G39" t="s">
        <v>1419</v>
      </c>
      <c r="H39" s="2" t="s">
        <v>1431</v>
      </c>
      <c r="I39" t="s">
        <v>1433</v>
      </c>
      <c r="J39" s="8" t="s">
        <v>1422</v>
      </c>
      <c r="K39" t="s">
        <v>1424</v>
      </c>
      <c r="L39" t="s">
        <v>1429</v>
      </c>
      <c r="M39" t="s">
        <v>1436</v>
      </c>
      <c r="N39" t="s">
        <v>1425</v>
      </c>
      <c r="O39" t="s">
        <v>1385</v>
      </c>
      <c r="P39" t="s">
        <v>1418</v>
      </c>
      <c r="T39" t="str">
        <v>DP1.4a * 3+HDM2.1ax1</v>
      </c>
    </row>
    <row r="41" spans="2:20">
      <c r="B41" s="1" t="s">
        <v>1437</v>
      </c>
      <c r="E41" t="s">
        <v>1438</v>
      </c>
      <c r="F41" t="s">
        <v>1412</v>
      </c>
      <c r="G41" t="s">
        <v>1420</v>
      </c>
      <c r="H41" s="2" t="s">
        <v>1451</v>
      </c>
      <c r="I41" t="s">
        <v>1455</v>
      </c>
      <c r="J41" s="8" t="s">
        <v>1422</v>
      </c>
      <c r="K41" t="s">
        <v>1444</v>
      </c>
      <c r="L41" t="s">
        <v>1443</v>
      </c>
      <c r="M41" t="s">
        <v>1432</v>
      </c>
      <c r="N41" t="s">
        <v>1425</v>
      </c>
      <c r="O41" t="s">
        <v>1380</v>
      </c>
      <c r="P41" t="s">
        <v>893</v>
      </c>
    </row>
    <row r="42" spans="2:20">
      <c r="B42" s="1" t="s">
        <v>1304</v>
      </c>
      <c r="E42" t="s">
        <v>1438</v>
      </c>
      <c r="F42" t="s">
        <v>1414</v>
      </c>
      <c r="G42" t="s">
        <v>1420</v>
      </c>
      <c r="H42" s="2" t="s">
        <v>1451</v>
      </c>
      <c r="I42" t="s">
        <v>1456</v>
      </c>
      <c r="J42" s="8" t="s">
        <v>1422</v>
      </c>
      <c r="K42" t="s">
        <v>1444</v>
      </c>
      <c r="L42" t="s">
        <v>1443</v>
      </c>
      <c r="M42" t="s">
        <v>1432</v>
      </c>
      <c r="N42" t="s">
        <v>1425</v>
      </c>
      <c r="O42" t="s">
        <v>1383</v>
      </c>
      <c r="P42" t="s">
        <v>1418</v>
      </c>
    </row>
    <row r="43" spans="2:20">
      <c r="B43" s="1" t="s">
        <v>1305</v>
      </c>
      <c r="E43" t="s">
        <v>1438</v>
      </c>
      <c r="F43" t="s">
        <v>1415</v>
      </c>
      <c r="G43" t="s">
        <v>1420</v>
      </c>
      <c r="H43" s="2" t="s">
        <v>1451</v>
      </c>
      <c r="I43" t="s">
        <v>1456</v>
      </c>
      <c r="J43" s="8" t="s">
        <v>1422</v>
      </c>
      <c r="K43" t="s">
        <v>1444</v>
      </c>
      <c r="L43" t="s">
        <v>1443</v>
      </c>
      <c r="M43" t="s">
        <v>1432</v>
      </c>
      <c r="N43" t="s">
        <v>1425</v>
      </c>
      <c r="O43" t="s">
        <v>1384</v>
      </c>
      <c r="P43" t="s">
        <v>1418</v>
      </c>
    </row>
    <row r="44" spans="2:20">
      <c r="B44" s="1" t="s">
        <v>1306</v>
      </c>
      <c r="E44" t="s">
        <v>1438</v>
      </c>
      <c r="F44" t="s">
        <v>1416</v>
      </c>
      <c r="G44" t="s">
        <v>1420</v>
      </c>
      <c r="H44" s="2" t="s">
        <v>1451</v>
      </c>
      <c r="I44" t="s">
        <v>1457</v>
      </c>
      <c r="J44" s="8" t="s">
        <v>1422</v>
      </c>
      <c r="K44" t="s">
        <v>1444</v>
      </c>
      <c r="L44" t="s">
        <v>1443</v>
      </c>
      <c r="M44" t="s">
        <v>1436</v>
      </c>
      <c r="N44" t="s">
        <v>1425</v>
      </c>
      <c r="O44" t="s">
        <v>1385</v>
      </c>
      <c r="P44" t="s">
        <v>1418</v>
      </c>
    </row>
    <row r="45" spans="2:20">
      <c r="B45" s="1" t="s">
        <v>1307</v>
      </c>
      <c r="E45" t="s">
        <v>1438</v>
      </c>
      <c r="F45" t="s">
        <v>1439</v>
      </c>
      <c r="G45" t="s">
        <v>1420</v>
      </c>
      <c r="H45" s="2" t="s">
        <v>1451</v>
      </c>
      <c r="I45" t="s">
        <v>1457</v>
      </c>
      <c r="J45" s="8" t="s">
        <v>1422</v>
      </c>
      <c r="K45" t="s">
        <v>1444</v>
      </c>
      <c r="L45" t="s">
        <v>1443</v>
      </c>
      <c r="M45" t="s">
        <v>1436</v>
      </c>
      <c r="N45" t="s">
        <v>1425</v>
      </c>
      <c r="O45" t="s">
        <v>1307</v>
      </c>
      <c r="P45" t="s">
        <v>1418</v>
      </c>
    </row>
    <row r="46" spans="2:20">
      <c r="B46" s="1" t="s">
        <v>1308</v>
      </c>
      <c r="E46" t="s">
        <v>1438</v>
      </c>
      <c r="F46" t="s">
        <v>1440</v>
      </c>
      <c r="G46" t="s">
        <v>1420</v>
      </c>
      <c r="H46" s="2" t="s">
        <v>1451</v>
      </c>
      <c r="I46" t="s">
        <v>1457</v>
      </c>
      <c r="J46" s="8" t="s">
        <v>1422</v>
      </c>
      <c r="K46" t="s">
        <v>1444</v>
      </c>
      <c r="L46" t="s">
        <v>1443</v>
      </c>
      <c r="M46" t="s">
        <v>1445</v>
      </c>
      <c r="N46" t="s">
        <v>1425</v>
      </c>
      <c r="O46" t="s">
        <v>1308</v>
      </c>
      <c r="P46" t="s">
        <v>1418</v>
      </c>
    </row>
    <row r="48" spans="2:20">
      <c r="B48" t="s">
        <v>1442</v>
      </c>
      <c r="E48" t="s">
        <v>1450</v>
      </c>
      <c r="F48" t="s">
        <v>1412</v>
      </c>
      <c r="G48" t="s">
        <v>1421</v>
      </c>
      <c r="H48" s="2" t="s">
        <v>1452</v>
      </c>
      <c r="I48" t="s">
        <v>1453</v>
      </c>
      <c r="J48" s="8" t="s">
        <v>1423</v>
      </c>
      <c r="K48" t="s">
        <v>1446</v>
      </c>
      <c r="L48" t="s">
        <v>1447</v>
      </c>
      <c r="M48" t="s">
        <v>1449</v>
      </c>
      <c r="N48" t="s">
        <v>1425</v>
      </c>
      <c r="O48" t="s">
        <v>1380</v>
      </c>
      <c r="P48" t="s">
        <v>893</v>
      </c>
    </row>
    <row r="49" spans="2:16">
      <c r="B49" t="s">
        <v>1441</v>
      </c>
      <c r="E49" t="s">
        <v>1450</v>
      </c>
      <c r="F49" t="s">
        <v>726</v>
      </c>
      <c r="G49" t="s">
        <v>1421</v>
      </c>
      <c r="H49" s="2" t="s">
        <v>1452</v>
      </c>
      <c r="I49" t="s">
        <v>1454</v>
      </c>
      <c r="J49" s="8" t="s">
        <v>1423</v>
      </c>
      <c r="K49" t="s">
        <v>1446</v>
      </c>
      <c r="L49" t="s">
        <v>1447</v>
      </c>
      <c r="M49" t="s">
        <v>1448</v>
      </c>
      <c r="N49" t="s">
        <v>1425</v>
      </c>
      <c r="O49" t="s">
        <v>1383</v>
      </c>
      <c r="P49" t="s">
        <v>1418</v>
      </c>
    </row>
    <row r="50" spans="2:16">
      <c r="B50" t="s">
        <v>1336</v>
      </c>
      <c r="E50" t="s">
        <v>1450</v>
      </c>
      <c r="F50" t="s">
        <v>1416</v>
      </c>
      <c r="G50" t="s">
        <v>1421</v>
      </c>
      <c r="H50" s="2" t="s">
        <v>1452</v>
      </c>
      <c r="I50" t="s">
        <v>1458</v>
      </c>
      <c r="J50" s="8" t="s">
        <v>1423</v>
      </c>
      <c r="K50" t="s">
        <v>1446</v>
      </c>
      <c r="L50" t="s">
        <v>1447</v>
      </c>
      <c r="M50" t="s">
        <v>1436</v>
      </c>
      <c r="N50" t="s">
        <v>1425</v>
      </c>
      <c r="O50" t="s">
        <v>1385</v>
      </c>
      <c r="P50" t="s">
        <v>1418</v>
      </c>
    </row>
    <row r="51" spans="2:16">
      <c r="B51" t="s">
        <v>1329</v>
      </c>
      <c r="C51" s="11"/>
      <c r="E51" t="s">
        <v>1450</v>
      </c>
      <c r="F51" t="s">
        <v>1439</v>
      </c>
      <c r="G51" t="s">
        <v>1421</v>
      </c>
      <c r="H51" s="2" t="s">
        <v>1452</v>
      </c>
      <c r="I51" t="s">
        <v>1458</v>
      </c>
      <c r="J51" s="8" t="s">
        <v>1423</v>
      </c>
      <c r="K51" t="s">
        <v>1446</v>
      </c>
      <c r="L51" t="s">
        <v>1447</v>
      </c>
      <c r="M51" t="s">
        <v>1436</v>
      </c>
      <c r="N51" t="s">
        <v>1425</v>
      </c>
      <c r="O51" t="s">
        <v>1307</v>
      </c>
      <c r="P51" t="s">
        <v>1418</v>
      </c>
    </row>
    <row r="52" spans="2:16">
      <c r="C52" s="18"/>
      <c r="E52" s="5"/>
      <c r="H52" s="5"/>
      <c r="J52" s="8"/>
    </row>
    <row r="53" spans="2:16">
      <c r="B53" s="5" t="s">
        <v>1482</v>
      </c>
      <c r="C53" s="18" t="s">
        <v>1478</v>
      </c>
      <c r="E53" s="5" t="s">
        <v>1478</v>
      </c>
      <c r="F53" t="s">
        <v>1467</v>
      </c>
      <c r="G53">
        <v>32</v>
      </c>
      <c r="H53" s="5">
        <v>2048</v>
      </c>
      <c r="I53" t="s">
        <v>1499</v>
      </c>
      <c r="J53" s="8" t="s">
        <v>1488</v>
      </c>
      <c r="K53" t="s">
        <v>1489</v>
      </c>
      <c r="L53" t="s">
        <v>1490</v>
      </c>
      <c r="M53" t="s">
        <v>1491</v>
      </c>
      <c r="N53" t="s">
        <v>1486</v>
      </c>
      <c r="O53" s="5" t="s">
        <v>1482</v>
      </c>
      <c r="P53" t="s">
        <v>786</v>
      </c>
    </row>
    <row r="54" spans="2:16">
      <c r="B54" s="1" t="s">
        <v>1479</v>
      </c>
      <c r="C54" t="s">
        <v>1480</v>
      </c>
      <c r="E54" t="s">
        <v>1480</v>
      </c>
      <c r="F54" t="s">
        <v>1467</v>
      </c>
      <c r="G54">
        <v>56</v>
      </c>
      <c r="H54">
        <v>3584</v>
      </c>
      <c r="I54" t="s">
        <v>1500</v>
      </c>
      <c r="J54" t="s">
        <v>1492</v>
      </c>
      <c r="K54" t="s">
        <v>1493</v>
      </c>
      <c r="L54" t="s">
        <v>1494</v>
      </c>
      <c r="M54" t="s">
        <v>1495</v>
      </c>
      <c r="N54" t="s">
        <v>1487</v>
      </c>
      <c r="O54" s="1" t="s">
        <v>1479</v>
      </c>
      <c r="P54" t="s">
        <v>786</v>
      </c>
    </row>
    <row r="55" spans="2:16">
      <c r="B55" s="1" t="s">
        <v>1483</v>
      </c>
      <c r="C55" t="s">
        <v>1481</v>
      </c>
      <c r="E55" t="s">
        <v>1481</v>
      </c>
      <c r="F55" t="s">
        <v>1467</v>
      </c>
      <c r="G55">
        <v>64</v>
      </c>
      <c r="H55">
        <v>4096</v>
      </c>
      <c r="I55" t="s">
        <v>1501</v>
      </c>
      <c r="J55" s="8" t="s">
        <v>1492</v>
      </c>
      <c r="K55" t="s">
        <v>1493</v>
      </c>
      <c r="L55" t="s">
        <v>1496</v>
      </c>
      <c r="M55" t="s">
        <v>1497</v>
      </c>
      <c r="N55" t="s">
        <v>1487</v>
      </c>
      <c r="O55" s="1" t="s">
        <v>1483</v>
      </c>
      <c r="P55" t="s">
        <v>786</v>
      </c>
    </row>
    <row r="56" spans="2:16">
      <c r="B56" s="1" t="s">
        <v>1484</v>
      </c>
      <c r="C56" t="s">
        <v>1481</v>
      </c>
      <c r="E56" t="s">
        <v>1481</v>
      </c>
      <c r="F56" t="s">
        <v>1595</v>
      </c>
      <c r="G56">
        <v>64</v>
      </c>
      <c r="H56">
        <v>4096</v>
      </c>
      <c r="I56" t="s">
        <v>1502</v>
      </c>
      <c r="J56" s="8" t="s">
        <v>1492</v>
      </c>
      <c r="K56" t="s">
        <v>1493</v>
      </c>
      <c r="L56" t="s">
        <v>1496</v>
      </c>
      <c r="M56" t="s">
        <v>1498</v>
      </c>
      <c r="N56" t="s">
        <v>1487</v>
      </c>
      <c r="O56" s="1" t="s">
        <v>1484</v>
      </c>
      <c r="P56" t="s">
        <v>1485</v>
      </c>
    </row>
    <row r="57" spans="2:16">
      <c r="J57" s="8"/>
    </row>
    <row r="58" spans="2:16">
      <c r="J58" s="8"/>
    </row>
    <row r="59" spans="2:16">
      <c r="J59" s="8"/>
    </row>
    <row r="60" spans="2:16">
      <c r="B60" s="1" t="s">
        <v>1564</v>
      </c>
      <c r="E60" t="s">
        <v>1556</v>
      </c>
      <c r="F60" t="s">
        <v>1412</v>
      </c>
      <c r="G60" t="s">
        <v>1557</v>
      </c>
      <c r="H60" s="16" t="s">
        <v>1565</v>
      </c>
      <c r="I60" t="s">
        <v>1558</v>
      </c>
      <c r="J60" s="8" t="s">
        <v>1566</v>
      </c>
      <c r="K60" t="s">
        <v>1560</v>
      </c>
      <c r="L60" t="s">
        <v>1561</v>
      </c>
      <c r="M60" t="s">
        <v>1562</v>
      </c>
      <c r="N60" t="s">
        <v>1563</v>
      </c>
      <c r="O60" t="s">
        <v>1564</v>
      </c>
      <c r="P60" t="s">
        <v>893</v>
      </c>
    </row>
    <row r="61" spans="2:16">
      <c r="B61" s="1" t="s">
        <v>1572</v>
      </c>
      <c r="E61" t="s">
        <v>1571</v>
      </c>
      <c r="F61" t="s">
        <v>1412</v>
      </c>
      <c r="G61" t="s">
        <v>1567</v>
      </c>
      <c r="H61" s="16" t="s">
        <v>1568</v>
      </c>
      <c r="I61" t="s">
        <v>1569</v>
      </c>
      <c r="J61" s="8" t="s">
        <v>1559</v>
      </c>
      <c r="K61" t="s">
        <v>1560</v>
      </c>
      <c r="L61" t="s">
        <v>1570</v>
      </c>
      <c r="M61" t="s">
        <v>1562</v>
      </c>
      <c r="N61" t="s">
        <v>1563</v>
      </c>
      <c r="O61" t="s">
        <v>1572</v>
      </c>
      <c r="P61" t="s">
        <v>893</v>
      </c>
    </row>
    <row r="62" spans="2:16">
      <c r="J62" s="8"/>
    </row>
    <row r="63" spans="2:16">
      <c r="J63" s="8"/>
    </row>
    <row r="64" spans="2:16">
      <c r="J64" s="8"/>
    </row>
    <row r="65" spans="2:12">
      <c r="J65" s="8"/>
    </row>
    <row r="66" spans="2:12">
      <c r="B66"/>
      <c r="J66" s="8"/>
      <c r="K66" s="8"/>
    </row>
    <row r="67" spans="2:12">
      <c r="L67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7" spans="2:12">
      <c r="J77" s="8"/>
    </row>
    <row r="78" spans="2:12">
      <c r="J78" s="8"/>
    </row>
    <row r="79" spans="2:12">
      <c r="J79" s="8"/>
    </row>
    <row r="80" spans="2:12">
      <c r="J80" s="8"/>
    </row>
    <row r="81" spans="2:14">
      <c r="J81" s="8"/>
    </row>
    <row r="82" spans="2:14">
      <c r="J82" s="8"/>
    </row>
    <row r="83" spans="2:14">
      <c r="J83" s="8"/>
    </row>
    <row r="84" spans="2:14">
      <c r="J84" s="8"/>
    </row>
    <row r="85" spans="2:14">
      <c r="J85" s="8"/>
    </row>
    <row r="87" spans="2:14">
      <c r="J87" s="8"/>
    </row>
    <row r="88" spans="2:14">
      <c r="J88" s="8"/>
    </row>
    <row r="92" spans="2:14">
      <c r="B92"/>
      <c r="L92" s="8"/>
    </row>
    <row r="93" spans="2:14">
      <c r="L93" s="8"/>
    </row>
    <row r="94" spans="2:14">
      <c r="B94"/>
    </row>
    <row r="95" spans="2:14">
      <c r="B95" s="5"/>
      <c r="E95" s="5"/>
      <c r="H95" s="5"/>
      <c r="J95" s="8"/>
      <c r="N95" s="5"/>
    </row>
    <row r="96" spans="2:14">
      <c r="B96"/>
      <c r="J96" s="8"/>
    </row>
    <row r="97" spans="2:10">
      <c r="B97"/>
      <c r="J97" s="8"/>
    </row>
    <row r="102" spans="2:10">
      <c r="C102" s="1"/>
      <c r="J102" s="8"/>
    </row>
    <row r="103" spans="2:10">
      <c r="C103" s="1"/>
      <c r="J103" s="8"/>
    </row>
    <row r="104" spans="2:10">
      <c r="C104" s="1"/>
      <c r="J104" s="8"/>
    </row>
    <row r="105" spans="2:10">
      <c r="C105" s="1"/>
      <c r="J105" s="8"/>
    </row>
    <row r="106" spans="2:10">
      <c r="C106" s="1"/>
      <c r="J106" s="8"/>
    </row>
    <row r="107" spans="2:10">
      <c r="B107"/>
      <c r="J107" s="8"/>
    </row>
    <row r="110" spans="2:10">
      <c r="C110" s="1"/>
      <c r="J110" s="8"/>
    </row>
    <row r="111" spans="2:10">
      <c r="C111" s="1"/>
      <c r="J111" s="8"/>
    </row>
    <row r="112" spans="2:10">
      <c r="C112" s="1"/>
      <c r="J112" s="8"/>
    </row>
    <row r="113" spans="3:10">
      <c r="C113" s="1"/>
      <c r="J113" s="8"/>
    </row>
    <row r="114" spans="3:10">
      <c r="C114" s="1"/>
      <c r="J114" s="8"/>
    </row>
    <row r="115" spans="3:10">
      <c r="C115" s="1"/>
      <c r="J115" s="8"/>
    </row>
    <row r="116" spans="3:10">
      <c r="C116" s="1"/>
      <c r="J116" s="8"/>
    </row>
    <row r="117" spans="3:10">
      <c r="C117" s="1"/>
      <c r="J117" s="8"/>
    </row>
    <row r="120" spans="3:10">
      <c r="J120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A6A99-6745-4CE6-BCBA-9822934C8A56}">
  <sheetPr codeName="Sheet12"/>
  <dimension ref="A1:T107"/>
  <sheetViews>
    <sheetView zoomScaleNormal="100" workbookViewId="0">
      <pane xSplit="1" ySplit="10" topLeftCell="B25" activePane="bottomRight" state="frozen"/>
      <selection pane="topRight" activeCell="B1" sqref="B1"/>
      <selection pane="bottomLeft" activeCell="A10" sqref="A10"/>
      <selection pane="bottomRight" activeCell="G34" sqref="G34"/>
    </sheetView>
  </sheetViews>
  <sheetFormatPr defaultRowHeight="14.25" outlineLevelCol="1"/>
  <cols>
    <col min="1" max="1" width="11" bestFit="1" customWidth="1"/>
    <col min="2" max="2" width="36.5" style="1" customWidth="1"/>
    <col min="3" max="3" width="6.25" hidden="1" customWidth="1" outlineLevel="1"/>
    <col min="4" max="4" width="11.5" hidden="1" customWidth="1" outlineLevel="1"/>
    <col min="5" max="5" width="18.375" bestFit="1" customWidth="1" collapsed="1"/>
    <col min="6" max="6" width="41.625" bestFit="1" customWidth="1"/>
    <col min="7" max="11" width="18.375" bestFit="1" customWidth="1"/>
    <col min="12" max="12" width="23.625" bestFit="1" customWidth="1"/>
    <col min="13" max="13" width="23.125" bestFit="1" customWidth="1"/>
    <col min="14" max="14" width="21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>
      <c r="A1" s="9" t="s">
        <v>236</v>
      </c>
      <c r="B1" t="s">
        <v>1503</v>
      </c>
    </row>
    <row r="2" spans="1:17">
      <c r="A2" t="s">
        <v>3</v>
      </c>
      <c r="B2" s="1" t="s">
        <v>1520</v>
      </c>
    </row>
    <row r="3" spans="1:17">
      <c r="A3" t="s">
        <v>1</v>
      </c>
      <c r="B3" s="1" t="s">
        <v>1520</v>
      </c>
    </row>
    <row r="4" spans="1:17">
      <c r="A4" t="s">
        <v>2</v>
      </c>
      <c r="B4" s="1" t="s">
        <v>10</v>
      </c>
    </row>
    <row r="5" spans="1:17">
      <c r="A5" t="s">
        <v>17</v>
      </c>
      <c r="B5" s="2"/>
    </row>
    <row r="7" spans="1:17">
      <c r="F7" t="s">
        <v>1505</v>
      </c>
      <c r="G7" s="5" t="s">
        <v>1506</v>
      </c>
      <c r="H7" s="2" t="s">
        <v>1518</v>
      </c>
      <c r="I7" s="2" t="s">
        <v>1507</v>
      </c>
      <c r="J7" s="5" t="s">
        <v>1508</v>
      </c>
      <c r="K7" s="5" t="s">
        <v>1509</v>
      </c>
      <c r="L7" s="5" t="s">
        <v>1510</v>
      </c>
      <c r="M7" s="5"/>
      <c r="N7" s="5"/>
    </row>
    <row r="9" spans="1:17" ht="15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1409</v>
      </c>
      <c r="G10" s="3" t="s">
        <v>178</v>
      </c>
      <c r="H10" s="14" t="s">
        <v>179</v>
      </c>
      <c r="I10" s="3" t="s">
        <v>180</v>
      </c>
      <c r="J10" s="3" t="s">
        <v>181</v>
      </c>
      <c r="K10" s="3" t="s">
        <v>182</v>
      </c>
      <c r="L10" s="3" t="s">
        <v>183</v>
      </c>
      <c r="M10" s="3" t="s">
        <v>184</v>
      </c>
      <c r="N10" s="3" t="s">
        <v>185</v>
      </c>
      <c r="O10" s="4" t="s">
        <v>1504</v>
      </c>
      <c r="P10" s="4" t="s">
        <v>894</v>
      </c>
      <c r="Q10" s="4" t="s">
        <v>882</v>
      </c>
    </row>
    <row r="11" spans="1:17" ht="15" thickTop="1"/>
    <row r="14" spans="1:17">
      <c r="B14" s="1" t="s">
        <v>1511</v>
      </c>
      <c r="E14" t="s">
        <v>1512</v>
      </c>
      <c r="F14" t="s">
        <v>1521</v>
      </c>
      <c r="G14" t="s">
        <v>1513</v>
      </c>
      <c r="H14" s="2" t="s">
        <v>1519</v>
      </c>
      <c r="I14" t="s">
        <v>1514</v>
      </c>
      <c r="J14" t="s">
        <v>1515</v>
      </c>
      <c r="K14" t="s">
        <v>1516</v>
      </c>
      <c r="L14" t="s">
        <v>1517</v>
      </c>
      <c r="O14" t="s">
        <v>1512</v>
      </c>
    </row>
    <row r="15" spans="1:17">
      <c r="H15" s="2"/>
    </row>
    <row r="16" spans="1:17">
      <c r="B16" t="s">
        <v>642</v>
      </c>
      <c r="E16" t="s">
        <v>642</v>
      </c>
      <c r="F16" t="s">
        <v>1521</v>
      </c>
      <c r="G16" t="s">
        <v>1513</v>
      </c>
      <c r="H16" s="2" t="s">
        <v>1519</v>
      </c>
      <c r="I16" t="s">
        <v>1514</v>
      </c>
      <c r="J16" t="s">
        <v>1515</v>
      </c>
      <c r="K16" t="s">
        <v>1523</v>
      </c>
      <c r="L16" t="s">
        <v>1517</v>
      </c>
      <c r="O16" t="s">
        <v>642</v>
      </c>
    </row>
    <row r="17" spans="2:20">
      <c r="B17" t="s">
        <v>643</v>
      </c>
      <c r="E17" t="s">
        <v>643</v>
      </c>
      <c r="F17" t="s">
        <v>1521</v>
      </c>
      <c r="G17" t="s">
        <v>1513</v>
      </c>
      <c r="H17" s="2" t="s">
        <v>1522</v>
      </c>
      <c r="I17" t="s">
        <v>1514</v>
      </c>
      <c r="J17" t="s">
        <v>1515</v>
      </c>
      <c r="K17" t="s">
        <v>1523</v>
      </c>
      <c r="L17" t="s">
        <v>1517</v>
      </c>
      <c r="O17" t="s">
        <v>643</v>
      </c>
    </row>
    <row r="18" spans="2:20">
      <c r="H18" s="2"/>
    </row>
    <row r="19" spans="2:20">
      <c r="H19" s="2"/>
    </row>
    <row r="20" spans="2:20">
      <c r="B20" s="1">
        <v>10021524980748</v>
      </c>
      <c r="E20" t="s">
        <v>1524</v>
      </c>
      <c r="F20" t="s">
        <v>1540</v>
      </c>
      <c r="G20" t="s">
        <v>1513</v>
      </c>
      <c r="H20" s="2" t="s">
        <v>1530</v>
      </c>
      <c r="I20" t="s">
        <v>1531</v>
      </c>
      <c r="J20" t="s">
        <v>1525</v>
      </c>
      <c r="K20" t="s">
        <v>1534</v>
      </c>
      <c r="L20" t="s">
        <v>1533</v>
      </c>
      <c r="O20" t="s">
        <v>1524</v>
      </c>
    </row>
    <row r="21" spans="2:20">
      <c r="B21" s="1">
        <v>10108527146197</v>
      </c>
      <c r="E21" t="s">
        <v>638</v>
      </c>
      <c r="F21" t="s">
        <v>1541</v>
      </c>
      <c r="G21" t="s">
        <v>1513</v>
      </c>
      <c r="H21" s="2" t="s">
        <v>1537</v>
      </c>
      <c r="I21" t="s">
        <v>1531</v>
      </c>
      <c r="J21" s="8" t="s">
        <v>1538</v>
      </c>
      <c r="K21" t="s">
        <v>1539</v>
      </c>
      <c r="L21" t="s">
        <v>1533</v>
      </c>
      <c r="O21" t="s">
        <v>1542</v>
      </c>
    </row>
    <row r="22" spans="2:20">
      <c r="B22" s="1">
        <v>10035626675403</v>
      </c>
      <c r="E22" t="s">
        <v>640</v>
      </c>
      <c r="F22" t="s">
        <v>1540</v>
      </c>
      <c r="G22" t="s">
        <v>1528</v>
      </c>
      <c r="H22" s="2" t="s">
        <v>1529</v>
      </c>
      <c r="I22" t="s">
        <v>1531</v>
      </c>
      <c r="J22" s="8" t="s">
        <v>1526</v>
      </c>
      <c r="K22" t="s">
        <v>1535</v>
      </c>
      <c r="L22" t="s">
        <v>1532</v>
      </c>
      <c r="O22" t="s">
        <v>1543</v>
      </c>
      <c r="T22" cm="1">
        <f t="array" ref="T22">_xlfn.UNIQUE(表1_1112[文本丨规格丨规格8])</f>
        <v>0</v>
      </c>
    </row>
    <row r="23" spans="2:20">
      <c r="B23" s="1">
        <v>10125785668421</v>
      </c>
      <c r="E23" t="s">
        <v>868</v>
      </c>
      <c r="F23" t="s">
        <v>1541</v>
      </c>
      <c r="G23" t="s">
        <v>1528</v>
      </c>
      <c r="H23" s="2" t="s">
        <v>1529</v>
      </c>
      <c r="I23" t="s">
        <v>1531</v>
      </c>
      <c r="J23" s="8" t="s">
        <v>1527</v>
      </c>
      <c r="K23" t="s">
        <v>1536</v>
      </c>
      <c r="L23" t="s">
        <v>1532</v>
      </c>
      <c r="O23" t="s">
        <v>868</v>
      </c>
    </row>
    <row r="24" spans="2:20">
      <c r="H24" s="2"/>
      <c r="J24" s="8"/>
    </row>
    <row r="25" spans="2:20">
      <c r="H25" s="2"/>
      <c r="J25" s="8"/>
    </row>
    <row r="26" spans="2:20">
      <c r="H26" s="2"/>
      <c r="J26" s="8"/>
    </row>
    <row r="28" spans="2:20">
      <c r="H28" s="2"/>
      <c r="J28" s="8"/>
    </row>
    <row r="29" spans="2:20">
      <c r="H29" s="2"/>
      <c r="J29" s="8"/>
    </row>
    <row r="30" spans="2:20">
      <c r="H30" s="2"/>
      <c r="J30" s="8"/>
    </row>
    <row r="31" spans="2:20">
      <c r="H31" s="2"/>
      <c r="J31" s="8"/>
    </row>
    <row r="32" spans="2:20">
      <c r="H32" s="2"/>
      <c r="J32" s="8"/>
    </row>
    <row r="33" spans="2:15">
      <c r="H33" s="2"/>
      <c r="J33" s="8"/>
    </row>
    <row r="35" spans="2:15">
      <c r="B35"/>
      <c r="H35" s="2"/>
      <c r="J35" s="8"/>
    </row>
    <row r="36" spans="2:15">
      <c r="B36"/>
      <c r="H36" s="2"/>
      <c r="J36" s="8"/>
    </row>
    <row r="37" spans="2:15">
      <c r="B37"/>
      <c r="H37" s="2"/>
      <c r="J37" s="8"/>
    </row>
    <row r="38" spans="2:15">
      <c r="B38"/>
      <c r="C38" s="11"/>
      <c r="H38" s="2"/>
      <c r="J38" s="8"/>
    </row>
    <row r="39" spans="2:15">
      <c r="C39" s="18"/>
      <c r="E39" s="5"/>
      <c r="H39" s="5"/>
      <c r="J39" s="8"/>
    </row>
    <row r="40" spans="2:15">
      <c r="B40" s="5"/>
      <c r="C40" s="18"/>
      <c r="E40" s="5"/>
      <c r="H40" s="5"/>
      <c r="J40" s="8"/>
      <c r="O40" s="5"/>
    </row>
    <row r="41" spans="2:15">
      <c r="O41" s="1"/>
    </row>
    <row r="42" spans="2:15">
      <c r="J42" s="8"/>
      <c r="O42" s="1"/>
    </row>
    <row r="43" spans="2:15">
      <c r="J43" s="8"/>
      <c r="O43" s="1"/>
    </row>
    <row r="44" spans="2:15">
      <c r="J44" s="8"/>
    </row>
    <row r="45" spans="2:15">
      <c r="J45" s="8"/>
    </row>
    <row r="46" spans="2:15">
      <c r="J46" s="8"/>
    </row>
    <row r="47" spans="2:15">
      <c r="J47" s="8"/>
    </row>
    <row r="48" spans="2:15">
      <c r="J48" s="8"/>
    </row>
    <row r="49" spans="2:12">
      <c r="J49" s="8"/>
    </row>
    <row r="50" spans="2:12">
      <c r="J50" s="8"/>
    </row>
    <row r="51" spans="2:12">
      <c r="J51" s="8"/>
    </row>
    <row r="52" spans="2:12">
      <c r="J52" s="8"/>
    </row>
    <row r="53" spans="2:12">
      <c r="B53"/>
      <c r="J53" s="8"/>
      <c r="K53" s="8"/>
    </row>
    <row r="54" spans="2:12">
      <c r="L54" s="8"/>
    </row>
    <row r="57" spans="2:12">
      <c r="J57" s="8"/>
    </row>
    <row r="58" spans="2:12">
      <c r="J58" s="8"/>
    </row>
    <row r="59" spans="2:12">
      <c r="J59" s="8"/>
    </row>
    <row r="61" spans="2:12">
      <c r="J61" s="8"/>
    </row>
    <row r="62" spans="2:12">
      <c r="J62" s="8"/>
    </row>
    <row r="64" spans="2:12">
      <c r="J64" s="8"/>
    </row>
    <row r="65" spans="2:12">
      <c r="J65" s="8"/>
    </row>
    <row r="66" spans="2:12">
      <c r="J66" s="8"/>
    </row>
    <row r="67" spans="2:12">
      <c r="J67" s="8"/>
    </row>
    <row r="68" spans="2:12">
      <c r="J68" s="8"/>
    </row>
    <row r="69" spans="2:12">
      <c r="J69" s="8"/>
    </row>
    <row r="70" spans="2:12">
      <c r="J70" s="8"/>
    </row>
    <row r="71" spans="2:12">
      <c r="J71" s="8"/>
    </row>
    <row r="72" spans="2:12">
      <c r="J72" s="8"/>
    </row>
    <row r="74" spans="2:12">
      <c r="J74" s="8"/>
    </row>
    <row r="75" spans="2:12">
      <c r="J75" s="8"/>
    </row>
    <row r="79" spans="2:12">
      <c r="B79"/>
      <c r="L79" s="8"/>
    </row>
    <row r="80" spans="2:12">
      <c r="L80" s="8"/>
    </row>
    <row r="81" spans="2:14">
      <c r="B81"/>
    </row>
    <row r="82" spans="2:14">
      <c r="B82" s="5"/>
      <c r="E82" s="5"/>
      <c r="H82" s="5"/>
      <c r="J82" s="8"/>
      <c r="N82" s="5"/>
    </row>
    <row r="83" spans="2:14">
      <c r="B83"/>
      <c r="J83" s="8"/>
    </row>
    <row r="84" spans="2:14">
      <c r="B84"/>
      <c r="J84" s="8"/>
    </row>
    <row r="89" spans="2:14">
      <c r="C89" s="1"/>
      <c r="J89" s="8"/>
    </row>
    <row r="90" spans="2:14">
      <c r="C90" s="1"/>
      <c r="J90" s="8"/>
    </row>
    <row r="91" spans="2:14">
      <c r="C91" s="1"/>
      <c r="J91" s="8"/>
    </row>
    <row r="92" spans="2:14">
      <c r="C92" s="1"/>
      <c r="J92" s="8"/>
    </row>
    <row r="93" spans="2:14">
      <c r="C93" s="1"/>
      <c r="J93" s="8"/>
    </row>
    <row r="94" spans="2:14">
      <c r="B94"/>
      <c r="J94" s="8"/>
    </row>
    <row r="97" spans="3:10">
      <c r="C97" s="1"/>
      <c r="J97" s="8"/>
    </row>
    <row r="98" spans="3:10">
      <c r="C98" s="1"/>
      <c r="J98" s="8"/>
    </row>
    <row r="99" spans="3:10">
      <c r="C99" s="1"/>
      <c r="J99" s="8"/>
    </row>
    <row r="100" spans="3:10">
      <c r="C100" s="1"/>
      <c r="J100" s="8"/>
    </row>
    <row r="101" spans="3:10">
      <c r="C101" s="1"/>
      <c r="J101" s="8"/>
    </row>
    <row r="102" spans="3:10">
      <c r="C102" s="1"/>
      <c r="J102" s="8"/>
    </row>
    <row r="103" spans="3:10">
      <c r="C103" s="1"/>
      <c r="J103" s="8"/>
    </row>
    <row r="104" spans="3:10">
      <c r="C104" s="1"/>
      <c r="J104" s="8"/>
    </row>
    <row r="107" spans="3:10">
      <c r="J107" s="8"/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3C091-77E1-4ED8-84B6-47560205B89C}">
  <sheetPr codeName="Sheet5"/>
  <dimension ref="A1:R222"/>
  <sheetViews>
    <sheetView zoomScale="98" zoomScaleNormal="98" workbookViewId="0">
      <pane xSplit="1" ySplit="10" topLeftCell="B70" activePane="bottomRight" state="frozen"/>
      <selection pane="topRight" activeCell="B1" sqref="B1"/>
      <selection pane="bottomLeft" activeCell="A11" sqref="A11"/>
      <selection pane="bottomRight" activeCell="I57" sqref="I57"/>
    </sheetView>
  </sheetViews>
  <sheetFormatPr defaultRowHeight="14.25" outlineLevelCol="1"/>
  <cols>
    <col min="1" max="1" width="11" bestFit="1" customWidth="1"/>
    <col min="2" max="2" width="32.7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1503</v>
      </c>
    </row>
    <row r="2" spans="1:18">
      <c r="A2" t="s">
        <v>3</v>
      </c>
      <c r="B2" s="1" t="s">
        <v>238</v>
      </c>
    </row>
    <row r="3" spans="1:18">
      <c r="A3" t="s">
        <v>1</v>
      </c>
      <c r="B3" s="1" t="s">
        <v>1189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6</v>
      </c>
      <c r="G10" s="3" t="s">
        <v>7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883</v>
      </c>
    </row>
    <row r="11" spans="1:18" ht="15" thickTop="1">
      <c r="B11" s="1">
        <v>10026118345213</v>
      </c>
      <c r="C11" t="s">
        <v>418</v>
      </c>
      <c r="D11" t="s">
        <v>397</v>
      </c>
      <c r="F11" t="s">
        <v>424</v>
      </c>
      <c r="G11" t="s">
        <v>425</v>
      </c>
      <c r="H11" t="s">
        <v>852</v>
      </c>
      <c r="M11" t="s">
        <v>418</v>
      </c>
    </row>
    <row r="13" spans="1:18">
      <c r="B13" s="1">
        <v>10035181892982</v>
      </c>
      <c r="C13" t="s">
        <v>419</v>
      </c>
      <c r="D13" t="s">
        <v>397</v>
      </c>
      <c r="F13" t="s">
        <v>426</v>
      </c>
      <c r="G13" t="s">
        <v>427</v>
      </c>
      <c r="H13" t="s">
        <v>852</v>
      </c>
      <c r="M13" t="s">
        <v>419</v>
      </c>
    </row>
    <row r="14" spans="1:18">
      <c r="B14" s="1">
        <v>10035181892983</v>
      </c>
      <c r="C14" t="s">
        <v>419</v>
      </c>
      <c r="D14" t="s">
        <v>398</v>
      </c>
      <c r="F14" t="s">
        <v>426</v>
      </c>
      <c r="G14" t="s">
        <v>427</v>
      </c>
      <c r="H14" t="s">
        <v>283</v>
      </c>
      <c r="M14" t="s">
        <v>419</v>
      </c>
      <c r="N14" s="7" t="s">
        <v>347</v>
      </c>
    </row>
    <row r="15" spans="1:18">
      <c r="B15" s="1">
        <v>10113040029939</v>
      </c>
      <c r="C15" t="s">
        <v>420</v>
      </c>
      <c r="D15" t="s">
        <v>397</v>
      </c>
      <c r="F15" t="s">
        <v>426</v>
      </c>
      <c r="G15" t="s">
        <v>428</v>
      </c>
      <c r="H15" t="s">
        <v>852</v>
      </c>
      <c r="M15" t="s">
        <v>853</v>
      </c>
    </row>
    <row r="17" spans="2:18">
      <c r="B17" s="1">
        <v>10100026079725</v>
      </c>
      <c r="C17" t="s">
        <v>1187</v>
      </c>
      <c r="D17" t="s">
        <v>397</v>
      </c>
      <c r="F17" t="s">
        <v>429</v>
      </c>
      <c r="G17" t="s">
        <v>1188</v>
      </c>
      <c r="H17" t="s">
        <v>852</v>
      </c>
      <c r="I17" t="s">
        <v>289</v>
      </c>
      <c r="J17" t="s">
        <v>1190</v>
      </c>
      <c r="K17" t="s">
        <v>1191</v>
      </c>
      <c r="M17" t="s">
        <v>1187</v>
      </c>
    </row>
    <row r="18" spans="2:18">
      <c r="B18" s="1">
        <v>10100026079726</v>
      </c>
      <c r="C18" t="s">
        <v>1187</v>
      </c>
      <c r="D18" t="s">
        <v>398</v>
      </c>
      <c r="F18" t="s">
        <v>429</v>
      </c>
      <c r="G18" t="s">
        <v>1188</v>
      </c>
      <c r="H18" t="s">
        <v>283</v>
      </c>
      <c r="I18" t="s">
        <v>289</v>
      </c>
      <c r="J18" t="s">
        <v>1190</v>
      </c>
      <c r="K18" t="s">
        <v>1191</v>
      </c>
      <c r="M18" t="s">
        <v>1187</v>
      </c>
      <c r="N18" s="7" t="s">
        <v>347</v>
      </c>
    </row>
    <row r="20" spans="2:18">
      <c r="B20" s="1">
        <v>10097046624604</v>
      </c>
      <c r="C20" t="s">
        <v>1187</v>
      </c>
      <c r="D20" t="s">
        <v>397</v>
      </c>
      <c r="F20" t="s">
        <v>429</v>
      </c>
      <c r="G20" t="s">
        <v>1188</v>
      </c>
      <c r="H20" t="s">
        <v>852</v>
      </c>
      <c r="I20" t="s">
        <v>289</v>
      </c>
      <c r="J20" t="s">
        <v>1190</v>
      </c>
      <c r="K20" t="s">
        <v>1191</v>
      </c>
      <c r="M20" t="s">
        <v>1187</v>
      </c>
    </row>
    <row r="21" spans="2:18">
      <c r="B21" s="1">
        <v>10097046624605</v>
      </c>
      <c r="C21" t="s">
        <v>1187</v>
      </c>
      <c r="D21" t="s">
        <v>398</v>
      </c>
      <c r="F21" t="s">
        <v>429</v>
      </c>
      <c r="G21" t="s">
        <v>1188</v>
      </c>
      <c r="H21" t="s">
        <v>283</v>
      </c>
      <c r="I21" t="s">
        <v>289</v>
      </c>
      <c r="J21" t="s">
        <v>1190</v>
      </c>
      <c r="K21" t="s">
        <v>1191</v>
      </c>
      <c r="M21" t="s">
        <v>1187</v>
      </c>
      <c r="N21" s="7" t="s">
        <v>347</v>
      </c>
    </row>
    <row r="22" spans="2:18">
      <c r="B22" s="1">
        <v>10092787668648</v>
      </c>
      <c r="C22" t="s">
        <v>422</v>
      </c>
      <c r="D22" t="s">
        <v>397</v>
      </c>
      <c r="F22" t="s">
        <v>836</v>
      </c>
      <c r="G22" t="s">
        <v>431</v>
      </c>
      <c r="H22" t="s">
        <v>852</v>
      </c>
      <c r="M22" t="s">
        <v>422</v>
      </c>
    </row>
    <row r="23" spans="2:18">
      <c r="B23" s="1">
        <v>10092787668649</v>
      </c>
      <c r="C23" t="s">
        <v>422</v>
      </c>
      <c r="D23" t="s">
        <v>398</v>
      </c>
      <c r="F23" t="s">
        <v>836</v>
      </c>
      <c r="G23" t="s">
        <v>431</v>
      </c>
      <c r="H23" t="s">
        <v>283</v>
      </c>
      <c r="M23" t="s">
        <v>422</v>
      </c>
      <c r="N23" s="7" t="s">
        <v>347</v>
      </c>
    </row>
    <row r="24" spans="2:18">
      <c r="B24" s="1">
        <v>10026688701393</v>
      </c>
      <c r="C24" t="s">
        <v>423</v>
      </c>
      <c r="D24" t="s">
        <v>397</v>
      </c>
      <c r="F24" t="s">
        <v>836</v>
      </c>
      <c r="G24" t="s">
        <v>430</v>
      </c>
      <c r="H24" t="s">
        <v>852</v>
      </c>
      <c r="M24" t="s">
        <v>423</v>
      </c>
    </row>
    <row r="25" spans="2:18">
      <c r="B25" s="1">
        <v>10026689800635</v>
      </c>
      <c r="C25" t="s">
        <v>423</v>
      </c>
      <c r="D25" t="s">
        <v>398</v>
      </c>
      <c r="F25" t="s">
        <v>836</v>
      </c>
      <c r="G25" t="s">
        <v>430</v>
      </c>
      <c r="H25" t="s">
        <v>283</v>
      </c>
      <c r="M25" t="s">
        <v>423</v>
      </c>
      <c r="N25" s="7" t="s">
        <v>347</v>
      </c>
    </row>
    <row r="27" spans="2:18">
      <c r="B27" s="7">
        <v>10088108110902</v>
      </c>
      <c r="C27" t="s">
        <v>328</v>
      </c>
      <c r="F27" s="5" t="s">
        <v>239</v>
      </c>
      <c r="G27" t="s">
        <v>251</v>
      </c>
      <c r="H27" t="s">
        <v>852</v>
      </c>
      <c r="I27" t="s">
        <v>289</v>
      </c>
      <c r="J27" t="s">
        <v>291</v>
      </c>
      <c r="K27" t="s">
        <v>303</v>
      </c>
      <c r="L27" t="s">
        <v>321</v>
      </c>
      <c r="M27" s="7" t="s">
        <v>328</v>
      </c>
      <c r="N27" s="7" t="s">
        <v>282</v>
      </c>
      <c r="O27" s="7"/>
      <c r="P27" s="7"/>
      <c r="Q27" s="7" t="s">
        <v>327</v>
      </c>
      <c r="R27" t="s">
        <v>414</v>
      </c>
    </row>
    <row r="28" spans="2:18">
      <c r="B28" s="7">
        <v>10088108110903</v>
      </c>
      <c r="C28" t="s">
        <v>328</v>
      </c>
      <c r="F28" s="5" t="s">
        <v>239</v>
      </c>
      <c r="G28" t="s">
        <v>251</v>
      </c>
      <c r="H28" t="s">
        <v>281</v>
      </c>
      <c r="I28" t="s">
        <v>289</v>
      </c>
      <c r="J28" t="s">
        <v>291</v>
      </c>
      <c r="K28" t="s">
        <v>303</v>
      </c>
      <c r="L28" t="s">
        <v>321</v>
      </c>
      <c r="M28" s="7" t="s">
        <v>328</v>
      </c>
      <c r="N28" s="7" t="s">
        <v>346</v>
      </c>
      <c r="O28" s="7"/>
      <c r="P28" s="7"/>
      <c r="Q28" s="7" t="s">
        <v>327</v>
      </c>
      <c r="R28" t="s">
        <v>414</v>
      </c>
    </row>
    <row r="29" spans="2:18">
      <c r="B29" s="7">
        <v>10079004855423</v>
      </c>
      <c r="C29" t="s">
        <v>716</v>
      </c>
      <c r="D29" t="s">
        <v>397</v>
      </c>
      <c r="F29" s="5" t="s">
        <v>239</v>
      </c>
      <c r="G29" t="s">
        <v>252</v>
      </c>
      <c r="H29" t="s">
        <v>852</v>
      </c>
      <c r="I29" t="s">
        <v>289</v>
      </c>
      <c r="J29" t="s">
        <v>291</v>
      </c>
      <c r="K29" t="s">
        <v>304</v>
      </c>
      <c r="L29" t="s">
        <v>321</v>
      </c>
      <c r="M29" s="7" t="s">
        <v>329</v>
      </c>
      <c r="N29" s="7" t="s">
        <v>282</v>
      </c>
      <c r="O29" s="7"/>
      <c r="P29" s="7"/>
      <c r="Q29" s="7" t="s">
        <v>327</v>
      </c>
      <c r="R29" t="s">
        <v>414</v>
      </c>
    </row>
    <row r="30" spans="2:18">
      <c r="B30" s="7">
        <v>10079004855424</v>
      </c>
      <c r="C30" t="s">
        <v>329</v>
      </c>
      <c r="D30" t="s">
        <v>398</v>
      </c>
      <c r="F30" s="5" t="s">
        <v>239</v>
      </c>
      <c r="G30" t="s">
        <v>252</v>
      </c>
      <c r="H30" t="s">
        <v>283</v>
      </c>
      <c r="I30" t="s">
        <v>289</v>
      </c>
      <c r="J30" t="s">
        <v>291</v>
      </c>
      <c r="K30" t="s">
        <v>304</v>
      </c>
      <c r="L30" t="s">
        <v>321</v>
      </c>
      <c r="M30" s="7" t="s">
        <v>329</v>
      </c>
      <c r="N30" s="7" t="s">
        <v>347</v>
      </c>
      <c r="O30" s="7"/>
      <c r="P30" s="7"/>
      <c r="Q30" s="7" t="s">
        <v>327</v>
      </c>
      <c r="R30" t="s">
        <v>414</v>
      </c>
    </row>
    <row r="31" spans="2:18">
      <c r="B31" s="7">
        <v>10079005338526</v>
      </c>
      <c r="C31" t="s">
        <v>330</v>
      </c>
      <c r="D31" t="s">
        <v>397</v>
      </c>
      <c r="F31" s="5" t="s">
        <v>239</v>
      </c>
      <c r="G31" t="s">
        <v>253</v>
      </c>
      <c r="H31" t="s">
        <v>852</v>
      </c>
      <c r="I31" t="s">
        <v>289</v>
      </c>
      <c r="J31" t="s">
        <v>292</v>
      </c>
      <c r="K31" t="s">
        <v>304</v>
      </c>
      <c r="L31" t="s">
        <v>321</v>
      </c>
      <c r="M31" s="7" t="s">
        <v>330</v>
      </c>
      <c r="N31" s="7" t="s">
        <v>282</v>
      </c>
      <c r="O31" s="7"/>
      <c r="P31" s="7"/>
      <c r="Q31" s="7" t="s">
        <v>327</v>
      </c>
      <c r="R31" t="s">
        <v>414</v>
      </c>
    </row>
    <row r="32" spans="2:18">
      <c r="B32" s="7">
        <v>10079005338527</v>
      </c>
      <c r="C32" t="s">
        <v>330</v>
      </c>
      <c r="D32" t="s">
        <v>398</v>
      </c>
      <c r="F32" s="5" t="s">
        <v>239</v>
      </c>
      <c r="G32" t="s">
        <v>253</v>
      </c>
      <c r="H32" t="s">
        <v>283</v>
      </c>
      <c r="I32" t="s">
        <v>289</v>
      </c>
      <c r="J32" t="s">
        <v>292</v>
      </c>
      <c r="K32" t="s">
        <v>304</v>
      </c>
      <c r="L32" t="s">
        <v>321</v>
      </c>
      <c r="M32" s="7" t="s">
        <v>330</v>
      </c>
      <c r="N32" s="7" t="s">
        <v>347</v>
      </c>
      <c r="O32" s="7"/>
      <c r="P32" s="7"/>
      <c r="Q32" s="7" t="s">
        <v>327</v>
      </c>
      <c r="R32" t="s">
        <v>414</v>
      </c>
    </row>
    <row r="33" spans="2:18">
      <c r="B33" s="1">
        <v>10096423596457</v>
      </c>
      <c r="C33" t="s">
        <v>331</v>
      </c>
      <c r="D33" t="s">
        <v>397</v>
      </c>
      <c r="F33" t="s">
        <v>239</v>
      </c>
      <c r="G33" t="s">
        <v>254</v>
      </c>
      <c r="H33" t="s">
        <v>852</v>
      </c>
      <c r="I33" t="s">
        <v>289</v>
      </c>
      <c r="J33" t="s">
        <v>292</v>
      </c>
      <c r="K33" t="s">
        <v>304</v>
      </c>
      <c r="L33" t="s">
        <v>321</v>
      </c>
      <c r="M33" t="s">
        <v>331</v>
      </c>
      <c r="N33" t="s">
        <v>282</v>
      </c>
      <c r="O33" s="7"/>
      <c r="P33" s="7"/>
      <c r="Q33" s="7" t="s">
        <v>327</v>
      </c>
      <c r="R33" t="s">
        <v>414</v>
      </c>
    </row>
    <row r="34" spans="2:18">
      <c r="B34" s="1">
        <v>10096423596458</v>
      </c>
      <c r="C34" t="s">
        <v>331</v>
      </c>
      <c r="D34" t="s">
        <v>399</v>
      </c>
      <c r="F34" t="s">
        <v>239</v>
      </c>
      <c r="G34" t="s">
        <v>254</v>
      </c>
      <c r="H34" t="s">
        <v>283</v>
      </c>
      <c r="I34" t="s">
        <v>289</v>
      </c>
      <c r="J34" t="s">
        <v>292</v>
      </c>
      <c r="K34" t="s">
        <v>304</v>
      </c>
      <c r="L34" t="s">
        <v>321</v>
      </c>
      <c r="M34" t="s">
        <v>331</v>
      </c>
      <c r="N34" t="s">
        <v>348</v>
      </c>
      <c r="O34" s="7"/>
      <c r="P34" s="7"/>
      <c r="Q34" s="7" t="s">
        <v>327</v>
      </c>
      <c r="R34" t="s">
        <v>414</v>
      </c>
    </row>
    <row r="35" spans="2:18">
      <c r="B35" s="1">
        <v>10079004855425</v>
      </c>
      <c r="C35" t="s">
        <v>332</v>
      </c>
      <c r="D35" t="s">
        <v>397</v>
      </c>
      <c r="F35" t="s">
        <v>239</v>
      </c>
      <c r="G35" t="s">
        <v>255</v>
      </c>
      <c r="H35" t="s">
        <v>852</v>
      </c>
      <c r="I35" t="s">
        <v>289</v>
      </c>
      <c r="J35" t="s">
        <v>293</v>
      </c>
      <c r="K35" t="s">
        <v>305</v>
      </c>
      <c r="L35" t="s">
        <v>321</v>
      </c>
      <c r="M35" t="s">
        <v>332</v>
      </c>
      <c r="N35" t="s">
        <v>282</v>
      </c>
      <c r="O35" s="7"/>
      <c r="P35" s="7"/>
      <c r="Q35" s="7" t="s">
        <v>327</v>
      </c>
      <c r="R35" t="s">
        <v>414</v>
      </c>
    </row>
    <row r="36" spans="2:18">
      <c r="B36" s="1">
        <v>10079004855426</v>
      </c>
      <c r="C36" t="s">
        <v>332</v>
      </c>
      <c r="D36" t="s">
        <v>398</v>
      </c>
      <c r="F36" t="s">
        <v>239</v>
      </c>
      <c r="G36" t="s">
        <v>255</v>
      </c>
      <c r="H36" t="s">
        <v>283</v>
      </c>
      <c r="I36" t="s">
        <v>289</v>
      </c>
      <c r="J36" t="s">
        <v>293</v>
      </c>
      <c r="K36" t="s">
        <v>305</v>
      </c>
      <c r="L36" t="s">
        <v>321</v>
      </c>
      <c r="M36" t="s">
        <v>332</v>
      </c>
      <c r="N36" s="7" t="s">
        <v>347</v>
      </c>
      <c r="O36" s="7"/>
      <c r="P36" s="7"/>
      <c r="Q36" s="7" t="s">
        <v>327</v>
      </c>
      <c r="R36" t="s">
        <v>414</v>
      </c>
    </row>
    <row r="37" spans="2:18">
      <c r="B37" s="1">
        <v>10079004855427</v>
      </c>
      <c r="C37" t="s">
        <v>333</v>
      </c>
      <c r="D37" t="s">
        <v>397</v>
      </c>
      <c r="F37" t="s">
        <v>239</v>
      </c>
      <c r="G37" t="s">
        <v>256</v>
      </c>
      <c r="H37" t="s">
        <v>852</v>
      </c>
      <c r="I37" t="s">
        <v>289</v>
      </c>
      <c r="J37" t="s">
        <v>293</v>
      </c>
      <c r="K37" t="s">
        <v>305</v>
      </c>
      <c r="L37" t="s">
        <v>321</v>
      </c>
      <c r="M37" t="s">
        <v>333</v>
      </c>
      <c r="N37" s="7" t="s">
        <v>282</v>
      </c>
      <c r="O37" s="7"/>
      <c r="P37" s="7"/>
      <c r="Q37" s="7" t="s">
        <v>327</v>
      </c>
      <c r="R37" t="s">
        <v>414</v>
      </c>
    </row>
    <row r="38" spans="2:18">
      <c r="B38" s="1">
        <v>10079004855428</v>
      </c>
      <c r="C38" t="s">
        <v>333</v>
      </c>
      <c r="D38" t="s">
        <v>399</v>
      </c>
      <c r="F38" t="s">
        <v>239</v>
      </c>
      <c r="G38" t="s">
        <v>256</v>
      </c>
      <c r="H38" t="s">
        <v>283</v>
      </c>
      <c r="I38" t="s">
        <v>289</v>
      </c>
      <c r="J38" t="s">
        <v>293</v>
      </c>
      <c r="K38" t="s">
        <v>305</v>
      </c>
      <c r="L38" t="s">
        <v>321</v>
      </c>
      <c r="M38" t="s">
        <v>333</v>
      </c>
      <c r="N38" s="7" t="s">
        <v>348</v>
      </c>
      <c r="O38" s="7"/>
      <c r="P38" s="7"/>
      <c r="Q38" s="7" t="s">
        <v>327</v>
      </c>
      <c r="R38" t="s">
        <v>414</v>
      </c>
    </row>
    <row r="39" spans="2:18">
      <c r="O39" s="7"/>
      <c r="P39" s="7"/>
      <c r="Q39" s="7"/>
    </row>
    <row r="40" spans="2:18">
      <c r="O40" s="7"/>
      <c r="P40" s="7"/>
      <c r="Q40" s="7"/>
    </row>
    <row r="41" spans="2:18">
      <c r="B41" s="1">
        <v>10079952515170</v>
      </c>
      <c r="C41" t="s">
        <v>372</v>
      </c>
      <c r="D41" t="s">
        <v>397</v>
      </c>
      <c r="F41" t="s">
        <v>240</v>
      </c>
      <c r="G41" t="s">
        <v>257</v>
      </c>
      <c r="H41" t="s">
        <v>852</v>
      </c>
      <c r="I41" t="s">
        <v>289</v>
      </c>
      <c r="J41" t="s">
        <v>291</v>
      </c>
      <c r="K41" t="s">
        <v>304</v>
      </c>
      <c r="L41" t="s">
        <v>322</v>
      </c>
      <c r="M41" t="s">
        <v>329</v>
      </c>
      <c r="N41" t="s">
        <v>282</v>
      </c>
      <c r="O41" s="7"/>
      <c r="P41" s="7"/>
      <c r="Q41" s="7" t="s">
        <v>327</v>
      </c>
      <c r="R41" t="s">
        <v>414</v>
      </c>
    </row>
    <row r="42" spans="2:18">
      <c r="B42" s="1">
        <v>10098325451765</v>
      </c>
      <c r="C42" t="s">
        <v>372</v>
      </c>
      <c r="D42" t="s">
        <v>400</v>
      </c>
      <c r="F42" t="s">
        <v>240</v>
      </c>
      <c r="G42" t="s">
        <v>257</v>
      </c>
      <c r="H42" t="s">
        <v>284</v>
      </c>
      <c r="I42" t="s">
        <v>289</v>
      </c>
      <c r="J42" t="s">
        <v>291</v>
      </c>
      <c r="K42" t="s">
        <v>304</v>
      </c>
      <c r="L42" t="s">
        <v>322</v>
      </c>
      <c r="M42" t="s">
        <v>329</v>
      </c>
      <c r="N42" t="s">
        <v>356</v>
      </c>
      <c r="O42" s="7"/>
      <c r="P42" s="7"/>
      <c r="Q42" s="7" t="s">
        <v>327</v>
      </c>
      <c r="R42" t="s">
        <v>414</v>
      </c>
    </row>
    <row r="43" spans="2:18">
      <c r="B43" s="1">
        <v>10076155580250</v>
      </c>
      <c r="C43" t="s">
        <v>373</v>
      </c>
      <c r="D43" t="s">
        <v>397</v>
      </c>
      <c r="F43" t="s">
        <v>240</v>
      </c>
      <c r="G43" t="s">
        <v>253</v>
      </c>
      <c r="H43" t="s">
        <v>852</v>
      </c>
      <c r="I43" t="s">
        <v>289</v>
      </c>
      <c r="J43" t="s">
        <v>292</v>
      </c>
      <c r="K43" t="s">
        <v>304</v>
      </c>
      <c r="L43" t="s">
        <v>322</v>
      </c>
      <c r="M43" t="s">
        <v>330</v>
      </c>
      <c r="N43" t="s">
        <v>282</v>
      </c>
      <c r="O43" s="7"/>
      <c r="P43" s="7"/>
      <c r="Q43" s="7" t="s">
        <v>327</v>
      </c>
      <c r="R43" t="s">
        <v>414</v>
      </c>
    </row>
    <row r="44" spans="2:18">
      <c r="B44" s="1">
        <v>10098325451766</v>
      </c>
      <c r="C44" t="s">
        <v>373</v>
      </c>
      <c r="D44" t="s">
        <v>400</v>
      </c>
      <c r="F44" t="s">
        <v>240</v>
      </c>
      <c r="G44" t="s">
        <v>253</v>
      </c>
      <c r="H44" s="8" t="s">
        <v>284</v>
      </c>
      <c r="I44" t="s">
        <v>289</v>
      </c>
      <c r="J44" t="s">
        <v>292</v>
      </c>
      <c r="K44" t="s">
        <v>304</v>
      </c>
      <c r="L44" t="s">
        <v>322</v>
      </c>
      <c r="M44" t="s">
        <v>330</v>
      </c>
      <c r="N44" t="s">
        <v>356</v>
      </c>
      <c r="O44" s="7"/>
      <c r="P44" s="7"/>
      <c r="Q44" s="7" t="s">
        <v>327</v>
      </c>
      <c r="R44" t="s">
        <v>414</v>
      </c>
    </row>
    <row r="45" spans="2:18">
      <c r="B45" s="1">
        <v>10096423783964</v>
      </c>
      <c r="C45" t="s">
        <v>374</v>
      </c>
      <c r="D45" t="s">
        <v>397</v>
      </c>
      <c r="F45" t="s">
        <v>240</v>
      </c>
      <c r="G45" t="s">
        <v>254</v>
      </c>
      <c r="H45" t="s">
        <v>852</v>
      </c>
      <c r="I45" t="s">
        <v>289</v>
      </c>
      <c r="J45" t="s">
        <v>292</v>
      </c>
      <c r="K45" t="s">
        <v>304</v>
      </c>
      <c r="L45" t="s">
        <v>322</v>
      </c>
      <c r="M45" t="s">
        <v>331</v>
      </c>
      <c r="N45" t="s">
        <v>282</v>
      </c>
      <c r="O45" s="7"/>
      <c r="P45" s="7"/>
      <c r="Q45" s="7" t="s">
        <v>327</v>
      </c>
      <c r="R45" t="s">
        <v>414</v>
      </c>
    </row>
    <row r="46" spans="2:18">
      <c r="B46" s="1">
        <v>10098325451767</v>
      </c>
      <c r="C46" t="s">
        <v>374</v>
      </c>
      <c r="D46" t="s">
        <v>401</v>
      </c>
      <c r="F46" t="s">
        <v>240</v>
      </c>
      <c r="G46" t="s">
        <v>254</v>
      </c>
      <c r="H46" t="s">
        <v>284</v>
      </c>
      <c r="I46" t="s">
        <v>289</v>
      </c>
      <c r="J46" t="s">
        <v>292</v>
      </c>
      <c r="K46" t="s">
        <v>304</v>
      </c>
      <c r="L46" t="s">
        <v>322</v>
      </c>
      <c r="M46" t="s">
        <v>331</v>
      </c>
      <c r="N46" t="s">
        <v>349</v>
      </c>
      <c r="O46" s="7"/>
      <c r="P46" s="7"/>
      <c r="Q46" s="7" t="s">
        <v>327</v>
      </c>
      <c r="R46" t="s">
        <v>414</v>
      </c>
    </row>
    <row r="47" spans="2:18">
      <c r="B47" s="1">
        <v>10076155580252</v>
      </c>
      <c r="C47" t="s">
        <v>375</v>
      </c>
      <c r="D47" t="s">
        <v>397</v>
      </c>
      <c r="F47" t="s">
        <v>240</v>
      </c>
      <c r="G47" t="s">
        <v>258</v>
      </c>
      <c r="H47" t="s">
        <v>852</v>
      </c>
      <c r="I47" t="s">
        <v>289</v>
      </c>
      <c r="J47" t="s">
        <v>293</v>
      </c>
      <c r="K47" t="s">
        <v>305</v>
      </c>
      <c r="L47" t="s">
        <v>322</v>
      </c>
      <c r="M47" t="s">
        <v>332</v>
      </c>
      <c r="N47" t="s">
        <v>282</v>
      </c>
      <c r="O47" s="7"/>
      <c r="P47" s="7"/>
      <c r="Q47" s="7" t="s">
        <v>327</v>
      </c>
      <c r="R47" t="s">
        <v>414</v>
      </c>
    </row>
    <row r="48" spans="2:18">
      <c r="B48" s="1">
        <v>10098325451768</v>
      </c>
      <c r="C48" t="s">
        <v>375</v>
      </c>
      <c r="D48" t="s">
        <v>400</v>
      </c>
      <c r="F48" t="s">
        <v>240</v>
      </c>
      <c r="G48" t="s">
        <v>258</v>
      </c>
      <c r="H48" s="8" t="s">
        <v>284</v>
      </c>
      <c r="I48" t="s">
        <v>289</v>
      </c>
      <c r="J48" t="s">
        <v>293</v>
      </c>
      <c r="K48" t="s">
        <v>305</v>
      </c>
      <c r="L48" t="s">
        <v>322</v>
      </c>
      <c r="M48" t="s">
        <v>332</v>
      </c>
      <c r="N48" t="s">
        <v>356</v>
      </c>
      <c r="O48" s="7"/>
      <c r="P48" s="7"/>
      <c r="Q48" s="7" t="s">
        <v>327</v>
      </c>
      <c r="R48" t="s">
        <v>414</v>
      </c>
    </row>
    <row r="49" spans="2:18">
      <c r="B49" s="1">
        <v>10076155580254</v>
      </c>
      <c r="C49" t="s">
        <v>376</v>
      </c>
      <c r="D49" t="s">
        <v>397</v>
      </c>
      <c r="F49" t="s">
        <v>240</v>
      </c>
      <c r="G49" t="s">
        <v>256</v>
      </c>
      <c r="H49" t="s">
        <v>852</v>
      </c>
      <c r="I49" t="s">
        <v>289</v>
      </c>
      <c r="J49" t="s">
        <v>293</v>
      </c>
      <c r="K49" t="s">
        <v>305</v>
      </c>
      <c r="L49" t="s">
        <v>322</v>
      </c>
      <c r="M49" t="s">
        <v>333</v>
      </c>
      <c r="N49" t="s">
        <v>282</v>
      </c>
      <c r="O49" s="7"/>
      <c r="P49" s="7"/>
      <c r="Q49" s="7" t="s">
        <v>327</v>
      </c>
      <c r="R49" t="s">
        <v>414</v>
      </c>
    </row>
    <row r="50" spans="2:18">
      <c r="B50" s="1">
        <v>10098325451769</v>
      </c>
      <c r="C50" t="s">
        <v>376</v>
      </c>
      <c r="D50" t="s">
        <v>401</v>
      </c>
      <c r="F50" t="s">
        <v>240</v>
      </c>
      <c r="G50" t="s">
        <v>256</v>
      </c>
      <c r="H50" s="8" t="s">
        <v>284</v>
      </c>
      <c r="I50" t="s">
        <v>289</v>
      </c>
      <c r="J50" t="s">
        <v>293</v>
      </c>
      <c r="K50" t="s">
        <v>305</v>
      </c>
      <c r="L50" t="s">
        <v>322</v>
      </c>
      <c r="M50" t="s">
        <v>333</v>
      </c>
      <c r="N50" t="s">
        <v>349</v>
      </c>
      <c r="O50" s="7"/>
      <c r="P50" s="7"/>
      <c r="Q50" s="7" t="s">
        <v>327</v>
      </c>
      <c r="R50" t="s">
        <v>414</v>
      </c>
    </row>
    <row r="51" spans="2:18">
      <c r="B51" s="1">
        <v>10076155580248</v>
      </c>
      <c r="C51" t="s">
        <v>377</v>
      </c>
      <c r="D51" t="s">
        <v>397</v>
      </c>
      <c r="F51" t="s">
        <v>240</v>
      </c>
      <c r="G51" t="s">
        <v>259</v>
      </c>
      <c r="H51" t="s">
        <v>852</v>
      </c>
      <c r="I51" t="s">
        <v>289</v>
      </c>
      <c r="J51" t="s">
        <v>295</v>
      </c>
      <c r="K51" t="s">
        <v>304</v>
      </c>
      <c r="L51" t="s">
        <v>322</v>
      </c>
      <c r="M51" t="s">
        <v>329</v>
      </c>
      <c r="N51" t="s">
        <v>282</v>
      </c>
      <c r="O51" s="7"/>
      <c r="P51" s="7"/>
      <c r="Q51" s="7" t="s">
        <v>327</v>
      </c>
      <c r="R51" t="s">
        <v>414</v>
      </c>
    </row>
    <row r="52" spans="2:18">
      <c r="B52" s="1">
        <v>10098325451770</v>
      </c>
      <c r="C52" t="s">
        <v>377</v>
      </c>
      <c r="D52" t="s">
        <v>400</v>
      </c>
      <c r="F52" t="s">
        <v>240</v>
      </c>
      <c r="G52" t="s">
        <v>259</v>
      </c>
      <c r="H52" t="s">
        <v>284</v>
      </c>
      <c r="I52" t="s">
        <v>289</v>
      </c>
      <c r="J52" t="s">
        <v>295</v>
      </c>
      <c r="K52" t="s">
        <v>304</v>
      </c>
      <c r="L52" t="s">
        <v>322</v>
      </c>
      <c r="M52" t="s">
        <v>329</v>
      </c>
      <c r="N52" t="s">
        <v>356</v>
      </c>
      <c r="O52" s="7"/>
      <c r="P52" s="7"/>
      <c r="Q52" s="7" t="s">
        <v>327</v>
      </c>
      <c r="R52" t="s">
        <v>414</v>
      </c>
    </row>
    <row r="53" spans="2:18">
      <c r="B53" s="1">
        <v>10080978603165</v>
      </c>
      <c r="C53" t="s">
        <v>378</v>
      </c>
      <c r="D53" t="s">
        <v>397</v>
      </c>
      <c r="F53" t="s">
        <v>240</v>
      </c>
      <c r="G53" t="s">
        <v>260</v>
      </c>
      <c r="H53" t="s">
        <v>852</v>
      </c>
      <c r="I53" t="s">
        <v>289</v>
      </c>
      <c r="J53" t="s">
        <v>295</v>
      </c>
      <c r="K53" t="s">
        <v>305</v>
      </c>
      <c r="L53" t="s">
        <v>322</v>
      </c>
      <c r="M53" t="s">
        <v>332</v>
      </c>
      <c r="N53" t="s">
        <v>282</v>
      </c>
      <c r="O53" s="7"/>
      <c r="P53" s="7"/>
      <c r="Q53" s="7" t="s">
        <v>327</v>
      </c>
      <c r="R53" t="s">
        <v>414</v>
      </c>
    </row>
    <row r="54" spans="2:18">
      <c r="B54" s="1">
        <v>10098325451771</v>
      </c>
      <c r="C54" t="s">
        <v>378</v>
      </c>
      <c r="D54" t="s">
        <v>400</v>
      </c>
      <c r="F54" t="s">
        <v>240</v>
      </c>
      <c r="G54" t="s">
        <v>260</v>
      </c>
      <c r="H54" s="8" t="s">
        <v>284</v>
      </c>
      <c r="I54" t="s">
        <v>289</v>
      </c>
      <c r="J54" t="s">
        <v>295</v>
      </c>
      <c r="K54" t="s">
        <v>305</v>
      </c>
      <c r="L54" t="s">
        <v>322</v>
      </c>
      <c r="M54" t="s">
        <v>332</v>
      </c>
      <c r="N54" t="s">
        <v>356</v>
      </c>
      <c r="O54" s="7"/>
      <c r="P54" s="7"/>
      <c r="Q54" s="7" t="s">
        <v>327</v>
      </c>
      <c r="R54" t="s">
        <v>414</v>
      </c>
    </row>
    <row r="55" spans="2:18">
      <c r="H55" s="8"/>
      <c r="O55" s="7"/>
      <c r="P55" s="7"/>
    </row>
    <row r="56" spans="2:18">
      <c r="B56" s="1">
        <v>10072886192147</v>
      </c>
      <c r="C56" s="29" t="s">
        <v>334</v>
      </c>
      <c r="F56" t="s">
        <v>1296</v>
      </c>
      <c r="G56" t="s">
        <v>431</v>
      </c>
      <c r="H56" t="s">
        <v>357</v>
      </c>
      <c r="I56" t="s">
        <v>1573</v>
      </c>
      <c r="J56" t="s">
        <v>291</v>
      </c>
      <c r="K56" t="s">
        <v>302</v>
      </c>
      <c r="M56" t="s">
        <v>1322</v>
      </c>
      <c r="P56" s="7"/>
    </row>
    <row r="57" spans="2:18">
      <c r="B57" s="1">
        <v>10072886192148</v>
      </c>
      <c r="C57" s="29" t="s">
        <v>334</v>
      </c>
      <c r="F57" t="s">
        <v>1296</v>
      </c>
      <c r="G57" t="s">
        <v>431</v>
      </c>
      <c r="H57" s="8" t="s">
        <v>284</v>
      </c>
      <c r="I57" t="s">
        <v>1573</v>
      </c>
      <c r="J57" t="s">
        <v>291</v>
      </c>
      <c r="K57" t="s">
        <v>302</v>
      </c>
      <c r="M57" t="s">
        <v>1322</v>
      </c>
      <c r="N57" t="s">
        <v>356</v>
      </c>
      <c r="P57" s="7"/>
    </row>
    <row r="58" spans="2:18">
      <c r="B58" s="1">
        <v>10095556454944</v>
      </c>
      <c r="C58" t="s">
        <v>379</v>
      </c>
      <c r="F58" t="s">
        <v>241</v>
      </c>
      <c r="G58" t="s">
        <v>261</v>
      </c>
      <c r="H58" t="s">
        <v>852</v>
      </c>
      <c r="I58" t="s">
        <v>289</v>
      </c>
      <c r="J58" t="s">
        <v>291</v>
      </c>
      <c r="K58" t="s">
        <v>302</v>
      </c>
      <c r="L58" t="s">
        <v>323</v>
      </c>
      <c r="M58" t="s">
        <v>334</v>
      </c>
      <c r="O58" s="7"/>
      <c r="P58" s="7" t="s">
        <v>472</v>
      </c>
      <c r="Q58" s="7" t="s">
        <v>327</v>
      </c>
      <c r="R58" t="s">
        <v>414</v>
      </c>
    </row>
    <row r="59" spans="2:18">
      <c r="B59" s="1">
        <v>10095556454945</v>
      </c>
      <c r="C59" t="s">
        <v>379</v>
      </c>
      <c r="F59" t="s">
        <v>241</v>
      </c>
      <c r="G59" t="s">
        <v>261</v>
      </c>
      <c r="H59" s="8" t="s">
        <v>285</v>
      </c>
      <c r="I59" t="s">
        <v>289</v>
      </c>
      <c r="J59" t="s">
        <v>291</v>
      </c>
      <c r="K59" t="s">
        <v>302</v>
      </c>
      <c r="L59" t="s">
        <v>323</v>
      </c>
      <c r="M59" t="s">
        <v>334</v>
      </c>
      <c r="N59" t="s">
        <v>350</v>
      </c>
      <c r="O59" s="7"/>
      <c r="P59" s="7" t="s">
        <v>472</v>
      </c>
      <c r="Q59" s="7" t="s">
        <v>327</v>
      </c>
      <c r="R59" t="s">
        <v>414</v>
      </c>
    </row>
    <row r="60" spans="2:18">
      <c r="B60" s="1">
        <v>10095556454946</v>
      </c>
      <c r="C60" t="s">
        <v>335</v>
      </c>
      <c r="F60" t="s">
        <v>241</v>
      </c>
      <c r="G60" t="s">
        <v>262</v>
      </c>
      <c r="H60" t="s">
        <v>852</v>
      </c>
      <c r="I60" t="s">
        <v>289</v>
      </c>
      <c r="J60" t="s">
        <v>296</v>
      </c>
      <c r="K60" t="s">
        <v>302</v>
      </c>
      <c r="L60" t="s">
        <v>323</v>
      </c>
      <c r="M60" t="s">
        <v>335</v>
      </c>
      <c r="O60" s="7"/>
      <c r="P60" s="7" t="s">
        <v>472</v>
      </c>
      <c r="Q60" s="7" t="s">
        <v>327</v>
      </c>
      <c r="R60" t="s">
        <v>414</v>
      </c>
    </row>
    <row r="61" spans="2:18">
      <c r="B61" s="1">
        <v>10095556454947</v>
      </c>
      <c r="C61" t="s">
        <v>335</v>
      </c>
      <c r="F61" t="s">
        <v>241</v>
      </c>
      <c r="G61" t="s">
        <v>262</v>
      </c>
      <c r="H61" s="8" t="s">
        <v>285</v>
      </c>
      <c r="I61" t="s">
        <v>289</v>
      </c>
      <c r="J61" t="s">
        <v>296</v>
      </c>
      <c r="K61" t="s">
        <v>302</v>
      </c>
      <c r="L61" t="s">
        <v>323</v>
      </c>
      <c r="M61" t="s">
        <v>335</v>
      </c>
      <c r="N61" t="s">
        <v>350</v>
      </c>
      <c r="O61" s="7"/>
      <c r="P61" s="7" t="s">
        <v>472</v>
      </c>
      <c r="Q61" s="7" t="s">
        <v>327</v>
      </c>
      <c r="R61" t="s">
        <v>414</v>
      </c>
    </row>
    <row r="62" spans="2:18">
      <c r="B62" s="1">
        <v>10096423837392</v>
      </c>
      <c r="C62" t="s">
        <v>380</v>
      </c>
      <c r="F62" t="s">
        <v>241</v>
      </c>
      <c r="G62" t="s">
        <v>263</v>
      </c>
      <c r="H62" t="s">
        <v>852</v>
      </c>
      <c r="I62" t="s">
        <v>289</v>
      </c>
      <c r="J62" t="s">
        <v>297</v>
      </c>
      <c r="K62" t="s">
        <v>302</v>
      </c>
      <c r="L62" t="s">
        <v>323</v>
      </c>
      <c r="M62" t="s">
        <v>336</v>
      </c>
      <c r="O62" s="7"/>
      <c r="P62" s="7" t="s">
        <v>472</v>
      </c>
      <c r="Q62" s="7" t="s">
        <v>327</v>
      </c>
      <c r="R62" t="s">
        <v>414</v>
      </c>
    </row>
    <row r="63" spans="2:18">
      <c r="B63" s="1">
        <v>10096423837393</v>
      </c>
      <c r="C63" t="s">
        <v>380</v>
      </c>
      <c r="F63" t="s">
        <v>241</v>
      </c>
      <c r="G63" t="s">
        <v>263</v>
      </c>
      <c r="H63" s="8" t="s">
        <v>285</v>
      </c>
      <c r="I63" t="s">
        <v>289</v>
      </c>
      <c r="J63" t="s">
        <v>297</v>
      </c>
      <c r="K63" t="s">
        <v>302</v>
      </c>
      <c r="L63" t="s">
        <v>323</v>
      </c>
      <c r="M63" t="s">
        <v>336</v>
      </c>
      <c r="N63" t="s">
        <v>350</v>
      </c>
      <c r="O63" s="7"/>
      <c r="P63" s="7" t="s">
        <v>472</v>
      </c>
      <c r="Q63" s="7" t="s">
        <v>327</v>
      </c>
      <c r="R63" t="s">
        <v>414</v>
      </c>
    </row>
    <row r="64" spans="2:18">
      <c r="B64" s="1">
        <v>10113469917671</v>
      </c>
      <c r="C64" t="s">
        <v>381</v>
      </c>
      <c r="F64" t="s">
        <v>241</v>
      </c>
      <c r="G64" t="s">
        <v>884</v>
      </c>
      <c r="H64" t="s">
        <v>357</v>
      </c>
      <c r="I64" t="s">
        <v>289</v>
      </c>
      <c r="J64" t="s">
        <v>291</v>
      </c>
      <c r="K64" t="s">
        <v>302</v>
      </c>
      <c r="L64" t="s">
        <v>323</v>
      </c>
      <c r="M64" t="s">
        <v>473</v>
      </c>
      <c r="O64" s="7"/>
      <c r="P64" s="7"/>
      <c r="Q64" s="7"/>
    </row>
    <row r="65" spans="2:18">
      <c r="B65" s="1">
        <v>10113469917672</v>
      </c>
      <c r="C65" t="s">
        <v>381</v>
      </c>
      <c r="F65" t="s">
        <v>241</v>
      </c>
      <c r="G65" t="s">
        <v>884</v>
      </c>
      <c r="H65" s="8" t="s">
        <v>285</v>
      </c>
      <c r="I65" t="s">
        <v>289</v>
      </c>
      <c r="J65" t="s">
        <v>291</v>
      </c>
      <c r="K65" t="s">
        <v>302</v>
      </c>
      <c r="L65" t="s">
        <v>323</v>
      </c>
      <c r="M65" t="s">
        <v>473</v>
      </c>
      <c r="N65" t="s">
        <v>350</v>
      </c>
      <c r="O65" s="7"/>
      <c r="P65" s="7"/>
      <c r="Q65" s="7"/>
    </row>
    <row r="66" spans="2:18">
      <c r="B66" s="1">
        <v>10072886192153</v>
      </c>
      <c r="C66" t="s">
        <v>382</v>
      </c>
      <c r="F66" t="s">
        <v>241</v>
      </c>
      <c r="G66" t="s">
        <v>264</v>
      </c>
      <c r="H66" t="s">
        <v>852</v>
      </c>
      <c r="I66" t="s">
        <v>290</v>
      </c>
      <c r="J66" t="s">
        <v>294</v>
      </c>
      <c r="K66" t="s">
        <v>307</v>
      </c>
      <c r="L66" t="s">
        <v>323</v>
      </c>
      <c r="M66" t="s">
        <v>337</v>
      </c>
      <c r="O66" s="7"/>
      <c r="P66" s="7" t="s">
        <v>472</v>
      </c>
      <c r="Q66" s="7" t="s">
        <v>327</v>
      </c>
      <c r="R66" t="s">
        <v>414</v>
      </c>
    </row>
    <row r="67" spans="2:18">
      <c r="B67" s="1">
        <v>10072886192154</v>
      </c>
      <c r="C67" t="s">
        <v>382</v>
      </c>
      <c r="F67" t="s">
        <v>241</v>
      </c>
      <c r="G67" t="s">
        <v>264</v>
      </c>
      <c r="H67" t="s">
        <v>285</v>
      </c>
      <c r="I67" t="s">
        <v>290</v>
      </c>
      <c r="J67" t="s">
        <v>294</v>
      </c>
      <c r="K67" t="s">
        <v>307</v>
      </c>
      <c r="L67" t="s">
        <v>323</v>
      </c>
      <c r="M67" t="s">
        <v>337</v>
      </c>
      <c r="N67" t="s">
        <v>350</v>
      </c>
      <c r="O67" s="7"/>
      <c r="P67" s="7" t="s">
        <v>472</v>
      </c>
      <c r="Q67" s="7" t="s">
        <v>327</v>
      </c>
      <c r="R67" t="s">
        <v>414</v>
      </c>
    </row>
    <row r="68" spans="2:18">
      <c r="B68" s="1">
        <v>10095556454948</v>
      </c>
      <c r="C68" t="s">
        <v>338</v>
      </c>
      <c r="F68" t="s">
        <v>241</v>
      </c>
      <c r="G68" t="s">
        <v>265</v>
      </c>
      <c r="H68" t="s">
        <v>852</v>
      </c>
      <c r="I68" t="s">
        <v>290</v>
      </c>
      <c r="J68" t="s">
        <v>298</v>
      </c>
      <c r="K68" t="s">
        <v>307</v>
      </c>
      <c r="L68" t="s">
        <v>323</v>
      </c>
      <c r="M68" t="s">
        <v>338</v>
      </c>
      <c r="O68" s="7"/>
      <c r="P68" s="7" t="s">
        <v>472</v>
      </c>
      <c r="Q68" s="7" t="s">
        <v>327</v>
      </c>
      <c r="R68" t="s">
        <v>414</v>
      </c>
    </row>
    <row r="69" spans="2:18">
      <c r="B69" s="1">
        <v>10095556454949</v>
      </c>
      <c r="C69" t="s">
        <v>338</v>
      </c>
      <c r="F69" t="s">
        <v>241</v>
      </c>
      <c r="G69" t="s">
        <v>265</v>
      </c>
      <c r="H69" t="s">
        <v>285</v>
      </c>
      <c r="I69" t="s">
        <v>290</v>
      </c>
      <c r="J69" t="s">
        <v>298</v>
      </c>
      <c r="K69" t="s">
        <v>307</v>
      </c>
      <c r="L69" t="s">
        <v>323</v>
      </c>
      <c r="M69" t="s">
        <v>338</v>
      </c>
      <c r="N69" t="s">
        <v>350</v>
      </c>
      <c r="O69" s="7"/>
      <c r="P69" s="7" t="s">
        <v>472</v>
      </c>
      <c r="Q69" s="7" t="s">
        <v>327</v>
      </c>
      <c r="R69" t="s">
        <v>414</v>
      </c>
    </row>
    <row r="70" spans="2:18">
      <c r="B70" s="1">
        <v>10072886192155</v>
      </c>
      <c r="C70" t="s">
        <v>339</v>
      </c>
      <c r="F70" t="s">
        <v>241</v>
      </c>
      <c r="G70" t="s">
        <v>266</v>
      </c>
      <c r="H70" t="s">
        <v>852</v>
      </c>
      <c r="I70" t="s">
        <v>290</v>
      </c>
      <c r="J70" t="s">
        <v>294</v>
      </c>
      <c r="K70" t="s">
        <v>306</v>
      </c>
      <c r="L70" t="s">
        <v>323</v>
      </c>
      <c r="M70" t="s">
        <v>339</v>
      </c>
      <c r="O70" s="7"/>
      <c r="P70" s="7" t="s">
        <v>472</v>
      </c>
      <c r="Q70" s="7" t="s">
        <v>327</v>
      </c>
      <c r="R70" t="s">
        <v>414</v>
      </c>
    </row>
    <row r="71" spans="2:18">
      <c r="B71" s="1">
        <v>10072886192156</v>
      </c>
      <c r="C71" t="s">
        <v>339</v>
      </c>
      <c r="F71" t="s">
        <v>241</v>
      </c>
      <c r="G71" t="s">
        <v>266</v>
      </c>
      <c r="H71" t="s">
        <v>285</v>
      </c>
      <c r="I71" t="s">
        <v>290</v>
      </c>
      <c r="J71" t="s">
        <v>294</v>
      </c>
      <c r="K71" t="s">
        <v>306</v>
      </c>
      <c r="L71" t="s">
        <v>323</v>
      </c>
      <c r="M71" t="s">
        <v>339</v>
      </c>
      <c r="N71" t="s">
        <v>350</v>
      </c>
      <c r="O71" s="7"/>
      <c r="P71" s="7" t="s">
        <v>472</v>
      </c>
      <c r="Q71" s="7" t="s">
        <v>327</v>
      </c>
      <c r="R71" t="s">
        <v>414</v>
      </c>
    </row>
    <row r="72" spans="2:18">
      <c r="O72" s="7"/>
      <c r="P72" s="7"/>
      <c r="Q72" s="7"/>
    </row>
    <row r="73" spans="2:18">
      <c r="B73" s="1">
        <v>10096110497205</v>
      </c>
      <c r="C73" t="s">
        <v>717</v>
      </c>
      <c r="D73" t="s">
        <v>397</v>
      </c>
      <c r="F73" t="s">
        <v>242</v>
      </c>
      <c r="G73" t="s">
        <v>718</v>
      </c>
      <c r="H73" t="s">
        <v>852</v>
      </c>
      <c r="I73" t="s">
        <v>289</v>
      </c>
      <c r="J73" t="s">
        <v>291</v>
      </c>
      <c r="K73" t="s">
        <v>302</v>
      </c>
      <c r="L73" t="s">
        <v>324</v>
      </c>
      <c r="M73" t="s">
        <v>334</v>
      </c>
      <c r="O73" s="7"/>
      <c r="P73" s="7" t="s">
        <v>472</v>
      </c>
      <c r="Q73" s="7" t="s">
        <v>327</v>
      </c>
      <c r="R73" t="s">
        <v>414</v>
      </c>
    </row>
    <row r="74" spans="2:18">
      <c r="B74" s="1">
        <v>10096110497206</v>
      </c>
      <c r="C74" t="s">
        <v>717</v>
      </c>
      <c r="D74" t="s">
        <v>350</v>
      </c>
      <c r="F74" t="s">
        <v>242</v>
      </c>
      <c r="G74" t="s">
        <v>718</v>
      </c>
      <c r="H74" t="s">
        <v>285</v>
      </c>
      <c r="I74" t="s">
        <v>289</v>
      </c>
      <c r="J74" t="s">
        <v>291</v>
      </c>
      <c r="K74" t="s">
        <v>302</v>
      </c>
      <c r="L74" t="s">
        <v>324</v>
      </c>
      <c r="M74" t="s">
        <v>334</v>
      </c>
      <c r="N74" t="s">
        <v>350</v>
      </c>
      <c r="O74" s="7"/>
      <c r="P74" s="7" t="s">
        <v>472</v>
      </c>
      <c r="Q74" s="7" t="s">
        <v>327</v>
      </c>
      <c r="R74" t="s">
        <v>414</v>
      </c>
    </row>
    <row r="75" spans="2:18">
      <c r="B75" s="1">
        <v>10096110497207</v>
      </c>
      <c r="C75" t="s">
        <v>384</v>
      </c>
      <c r="D75" t="s">
        <v>397</v>
      </c>
      <c r="F75" t="s">
        <v>242</v>
      </c>
      <c r="G75" t="s">
        <v>268</v>
      </c>
      <c r="H75" t="s">
        <v>852</v>
      </c>
      <c r="I75" t="s">
        <v>289</v>
      </c>
      <c r="J75" t="s">
        <v>296</v>
      </c>
      <c r="K75" t="s">
        <v>302</v>
      </c>
      <c r="L75" t="s">
        <v>324</v>
      </c>
      <c r="M75" t="s">
        <v>335</v>
      </c>
      <c r="O75" s="7"/>
      <c r="P75" s="7" t="s">
        <v>472</v>
      </c>
      <c r="Q75" s="7" t="s">
        <v>327</v>
      </c>
      <c r="R75" t="s">
        <v>414</v>
      </c>
    </row>
    <row r="76" spans="2:18">
      <c r="B76" s="1">
        <v>10096110497208</v>
      </c>
      <c r="C76" t="s">
        <v>384</v>
      </c>
      <c r="D76" t="s">
        <v>350</v>
      </c>
      <c r="F76" t="s">
        <v>242</v>
      </c>
      <c r="G76" t="s">
        <v>268</v>
      </c>
      <c r="H76" t="s">
        <v>285</v>
      </c>
      <c r="I76" t="s">
        <v>289</v>
      </c>
      <c r="J76" t="s">
        <v>296</v>
      </c>
      <c r="K76" t="s">
        <v>302</v>
      </c>
      <c r="L76" t="s">
        <v>324</v>
      </c>
      <c r="M76" t="s">
        <v>335</v>
      </c>
      <c r="N76" t="s">
        <v>350</v>
      </c>
      <c r="O76" s="7"/>
      <c r="P76" s="7" t="s">
        <v>472</v>
      </c>
      <c r="Q76" s="7" t="s">
        <v>327</v>
      </c>
      <c r="R76" t="s">
        <v>414</v>
      </c>
    </row>
    <row r="77" spans="2:18">
      <c r="B77" s="1">
        <v>10096423959786</v>
      </c>
      <c r="C77" t="s">
        <v>385</v>
      </c>
      <c r="D77" t="s">
        <v>397</v>
      </c>
      <c r="F77" t="s">
        <v>242</v>
      </c>
      <c r="G77" t="s">
        <v>269</v>
      </c>
      <c r="H77" t="s">
        <v>852</v>
      </c>
      <c r="I77" t="s">
        <v>289</v>
      </c>
      <c r="J77" t="s">
        <v>297</v>
      </c>
      <c r="K77" t="s">
        <v>302</v>
      </c>
      <c r="L77" t="s">
        <v>324</v>
      </c>
      <c r="M77" t="s">
        <v>336</v>
      </c>
      <c r="O77" s="7"/>
      <c r="P77" s="7" t="s">
        <v>472</v>
      </c>
      <c r="Q77" s="7" t="s">
        <v>327</v>
      </c>
      <c r="R77" t="s">
        <v>414</v>
      </c>
    </row>
    <row r="78" spans="2:18">
      <c r="B78" s="1">
        <v>10096423959787</v>
      </c>
      <c r="C78" t="s">
        <v>385</v>
      </c>
      <c r="D78" t="s">
        <v>350</v>
      </c>
      <c r="F78" t="s">
        <v>242</v>
      </c>
      <c r="G78" t="s">
        <v>269</v>
      </c>
      <c r="H78" t="s">
        <v>285</v>
      </c>
      <c r="I78" t="s">
        <v>289</v>
      </c>
      <c r="J78" t="s">
        <v>297</v>
      </c>
      <c r="K78" t="s">
        <v>302</v>
      </c>
      <c r="L78" t="s">
        <v>324</v>
      </c>
      <c r="M78" t="s">
        <v>336</v>
      </c>
      <c r="N78" t="s">
        <v>350</v>
      </c>
      <c r="O78" s="7"/>
      <c r="P78" s="7" t="s">
        <v>472</v>
      </c>
      <c r="Q78" s="7" t="s">
        <v>327</v>
      </c>
      <c r="R78" t="s">
        <v>414</v>
      </c>
    </row>
    <row r="79" spans="2:18">
      <c r="B79" s="1">
        <v>10096110497209</v>
      </c>
      <c r="C79" t="s">
        <v>386</v>
      </c>
      <c r="D79" t="s">
        <v>397</v>
      </c>
      <c r="F79" t="s">
        <v>242</v>
      </c>
      <c r="G79" t="s">
        <v>270</v>
      </c>
      <c r="H79" t="s">
        <v>852</v>
      </c>
      <c r="I79" t="s">
        <v>290</v>
      </c>
      <c r="J79" t="s">
        <v>294</v>
      </c>
      <c r="K79" t="s">
        <v>307</v>
      </c>
      <c r="L79" t="s">
        <v>324</v>
      </c>
      <c r="M79" t="s">
        <v>337</v>
      </c>
      <c r="O79" s="7"/>
      <c r="P79" s="7" t="s">
        <v>472</v>
      </c>
      <c r="Q79" s="7" t="s">
        <v>327</v>
      </c>
      <c r="R79" t="s">
        <v>414</v>
      </c>
    </row>
    <row r="80" spans="2:18">
      <c r="B80" s="1">
        <v>10096110497210</v>
      </c>
      <c r="C80" t="s">
        <v>386</v>
      </c>
      <c r="D80" t="s">
        <v>350</v>
      </c>
      <c r="F80" t="s">
        <v>242</v>
      </c>
      <c r="G80" t="s">
        <v>270</v>
      </c>
      <c r="H80" t="s">
        <v>285</v>
      </c>
      <c r="I80" t="s">
        <v>290</v>
      </c>
      <c r="J80" t="s">
        <v>294</v>
      </c>
      <c r="K80" t="s">
        <v>307</v>
      </c>
      <c r="L80" t="s">
        <v>324</v>
      </c>
      <c r="M80" t="s">
        <v>337</v>
      </c>
      <c r="N80" t="s">
        <v>350</v>
      </c>
      <c r="O80" s="7"/>
      <c r="P80" s="7" t="s">
        <v>472</v>
      </c>
      <c r="Q80" s="7" t="s">
        <v>327</v>
      </c>
      <c r="R80" t="s">
        <v>414</v>
      </c>
    </row>
    <row r="81" spans="2:18">
      <c r="B81" s="1">
        <v>10096110601011</v>
      </c>
      <c r="C81" t="s">
        <v>387</v>
      </c>
      <c r="D81" t="s">
        <v>397</v>
      </c>
      <c r="F81" t="s">
        <v>242</v>
      </c>
      <c r="G81" t="s">
        <v>271</v>
      </c>
      <c r="H81" t="s">
        <v>852</v>
      </c>
      <c r="I81" t="s">
        <v>290</v>
      </c>
      <c r="J81" t="s">
        <v>298</v>
      </c>
      <c r="K81" t="s">
        <v>307</v>
      </c>
      <c r="L81" t="s">
        <v>324</v>
      </c>
      <c r="M81" t="s">
        <v>338</v>
      </c>
      <c r="O81" s="7"/>
      <c r="P81" s="7" t="s">
        <v>472</v>
      </c>
      <c r="Q81" s="7" t="s">
        <v>327</v>
      </c>
      <c r="R81" t="s">
        <v>414</v>
      </c>
    </row>
    <row r="82" spans="2:18">
      <c r="B82" s="1">
        <v>10096110601012</v>
      </c>
      <c r="C82" t="s">
        <v>387</v>
      </c>
      <c r="D82" t="s">
        <v>350</v>
      </c>
      <c r="F82" t="s">
        <v>242</v>
      </c>
      <c r="G82" t="s">
        <v>271</v>
      </c>
      <c r="H82" t="s">
        <v>285</v>
      </c>
      <c r="I82" t="s">
        <v>290</v>
      </c>
      <c r="J82" t="s">
        <v>298</v>
      </c>
      <c r="K82" t="s">
        <v>307</v>
      </c>
      <c r="L82" t="s">
        <v>324</v>
      </c>
      <c r="M82" t="s">
        <v>338</v>
      </c>
      <c r="N82" t="s">
        <v>350</v>
      </c>
      <c r="O82" s="7"/>
      <c r="P82" s="7" t="s">
        <v>472</v>
      </c>
      <c r="Q82" s="7" t="s">
        <v>327</v>
      </c>
      <c r="R82" t="s">
        <v>414</v>
      </c>
    </row>
    <row r="83" spans="2:18">
      <c r="B83" s="1">
        <v>10096110601013</v>
      </c>
      <c r="C83" t="s">
        <v>388</v>
      </c>
      <c r="D83" t="s">
        <v>397</v>
      </c>
      <c r="F83" t="s">
        <v>242</v>
      </c>
      <c r="G83" t="s">
        <v>272</v>
      </c>
      <c r="H83" t="s">
        <v>852</v>
      </c>
      <c r="I83" t="s">
        <v>290</v>
      </c>
      <c r="J83" t="s">
        <v>294</v>
      </c>
      <c r="K83" t="s">
        <v>306</v>
      </c>
      <c r="L83" t="s">
        <v>324</v>
      </c>
      <c r="M83" t="s">
        <v>339</v>
      </c>
      <c r="O83" s="7"/>
      <c r="P83" s="7" t="s">
        <v>472</v>
      </c>
      <c r="Q83" s="7" t="s">
        <v>327</v>
      </c>
      <c r="R83" t="s">
        <v>414</v>
      </c>
    </row>
    <row r="84" spans="2:18">
      <c r="B84" s="1">
        <v>10096110601014</v>
      </c>
      <c r="C84" t="s">
        <v>388</v>
      </c>
      <c r="D84" t="s">
        <v>350</v>
      </c>
      <c r="F84" t="s">
        <v>242</v>
      </c>
      <c r="G84" t="s">
        <v>272</v>
      </c>
      <c r="H84" t="s">
        <v>285</v>
      </c>
      <c r="I84" t="s">
        <v>290</v>
      </c>
      <c r="J84" t="s">
        <v>294</v>
      </c>
      <c r="K84" t="s">
        <v>306</v>
      </c>
      <c r="L84" t="s">
        <v>324</v>
      </c>
      <c r="M84" t="s">
        <v>339</v>
      </c>
      <c r="N84" t="s">
        <v>350</v>
      </c>
      <c r="O84" s="7"/>
      <c r="P84" s="7" t="s">
        <v>472</v>
      </c>
      <c r="Q84" s="7" t="s">
        <v>327</v>
      </c>
      <c r="R84" t="s">
        <v>414</v>
      </c>
    </row>
    <row r="85" spans="2:18">
      <c r="O85" s="7"/>
      <c r="P85" s="7"/>
      <c r="Q85" s="7"/>
    </row>
    <row r="86" spans="2:18">
      <c r="B86" s="1">
        <v>10096330687992</v>
      </c>
      <c r="C86" t="s">
        <v>389</v>
      </c>
      <c r="D86" t="s">
        <v>397</v>
      </c>
      <c r="F86" t="s">
        <v>243</v>
      </c>
      <c r="G86" t="s">
        <v>267</v>
      </c>
      <c r="H86" t="s">
        <v>852</v>
      </c>
      <c r="I86" t="s">
        <v>289</v>
      </c>
      <c r="J86" t="s">
        <v>299</v>
      </c>
      <c r="K86" t="s">
        <v>308</v>
      </c>
      <c r="L86" t="s">
        <v>325</v>
      </c>
      <c r="M86" t="s">
        <v>340</v>
      </c>
      <c r="O86" s="7"/>
      <c r="P86" s="7" t="s">
        <v>472</v>
      </c>
      <c r="Q86" s="7" t="s">
        <v>327</v>
      </c>
      <c r="R86" t="s">
        <v>414</v>
      </c>
    </row>
    <row r="87" spans="2:18">
      <c r="B87" s="1">
        <v>10096330687993</v>
      </c>
      <c r="C87" t="s">
        <v>389</v>
      </c>
      <c r="D87" t="s">
        <v>402</v>
      </c>
      <c r="F87" t="s">
        <v>243</v>
      </c>
      <c r="G87" t="s">
        <v>267</v>
      </c>
      <c r="H87" t="s">
        <v>286</v>
      </c>
      <c r="I87" t="s">
        <v>289</v>
      </c>
      <c r="J87" t="s">
        <v>299</v>
      </c>
      <c r="K87" t="s">
        <v>308</v>
      </c>
      <c r="L87" t="s">
        <v>325</v>
      </c>
      <c r="M87" t="s">
        <v>340</v>
      </c>
      <c r="N87" t="s">
        <v>351</v>
      </c>
      <c r="O87" s="7"/>
      <c r="P87" s="7" t="s">
        <v>472</v>
      </c>
      <c r="Q87" s="7" t="s">
        <v>327</v>
      </c>
      <c r="R87" t="s">
        <v>414</v>
      </c>
    </row>
    <row r="88" spans="2:18">
      <c r="B88" s="1">
        <v>10096330687994</v>
      </c>
      <c r="C88" t="s">
        <v>390</v>
      </c>
      <c r="D88" t="s">
        <v>397</v>
      </c>
      <c r="F88" t="s">
        <v>243</v>
      </c>
      <c r="G88" t="s">
        <v>270</v>
      </c>
      <c r="H88" t="s">
        <v>852</v>
      </c>
      <c r="I88" t="s">
        <v>290</v>
      </c>
      <c r="J88" t="s">
        <v>294</v>
      </c>
      <c r="K88" t="s">
        <v>306</v>
      </c>
      <c r="L88" t="s">
        <v>325</v>
      </c>
      <c r="M88" t="s">
        <v>337</v>
      </c>
      <c r="O88" s="7"/>
      <c r="P88" s="7" t="s">
        <v>472</v>
      </c>
      <c r="Q88" s="7" t="s">
        <v>327</v>
      </c>
      <c r="R88" t="s">
        <v>414</v>
      </c>
    </row>
    <row r="89" spans="2:18">
      <c r="B89" s="1">
        <v>10096330687995</v>
      </c>
      <c r="C89" t="s">
        <v>390</v>
      </c>
      <c r="D89" t="s">
        <v>402</v>
      </c>
      <c r="F89" t="s">
        <v>243</v>
      </c>
      <c r="G89" t="s">
        <v>270</v>
      </c>
      <c r="H89" t="s">
        <v>286</v>
      </c>
      <c r="I89" t="s">
        <v>290</v>
      </c>
      <c r="J89" t="s">
        <v>294</v>
      </c>
      <c r="K89" t="s">
        <v>306</v>
      </c>
      <c r="L89" t="s">
        <v>325</v>
      </c>
      <c r="M89" t="s">
        <v>337</v>
      </c>
      <c r="N89" t="s">
        <v>351</v>
      </c>
      <c r="O89" s="7"/>
      <c r="P89" s="7" t="s">
        <v>472</v>
      </c>
      <c r="Q89" s="7" t="s">
        <v>327</v>
      </c>
      <c r="R89" t="s">
        <v>414</v>
      </c>
    </row>
    <row r="90" spans="2:18">
      <c r="B90" s="1">
        <v>10096330687996</v>
      </c>
      <c r="C90" t="s">
        <v>391</v>
      </c>
      <c r="D90" t="s">
        <v>397</v>
      </c>
      <c r="F90" t="s">
        <v>243</v>
      </c>
      <c r="G90" t="s">
        <v>271</v>
      </c>
      <c r="H90" t="s">
        <v>852</v>
      </c>
      <c r="I90" t="s">
        <v>290</v>
      </c>
      <c r="J90" t="s">
        <v>298</v>
      </c>
      <c r="K90" t="s">
        <v>306</v>
      </c>
      <c r="L90" t="s">
        <v>325</v>
      </c>
      <c r="M90" t="s">
        <v>338</v>
      </c>
      <c r="O90" s="7"/>
      <c r="P90" s="7" t="s">
        <v>472</v>
      </c>
      <c r="Q90" s="7" t="s">
        <v>327</v>
      </c>
      <c r="R90" t="s">
        <v>414</v>
      </c>
    </row>
    <row r="91" spans="2:18">
      <c r="B91" s="1">
        <v>10096330687997</v>
      </c>
      <c r="C91" t="s">
        <v>391</v>
      </c>
      <c r="D91" t="s">
        <v>403</v>
      </c>
      <c r="F91" t="s">
        <v>243</v>
      </c>
      <c r="G91" t="s">
        <v>271</v>
      </c>
      <c r="H91" t="s">
        <v>286</v>
      </c>
      <c r="I91" t="s">
        <v>290</v>
      </c>
      <c r="J91" t="s">
        <v>298</v>
      </c>
      <c r="K91" t="s">
        <v>306</v>
      </c>
      <c r="L91" t="s">
        <v>325</v>
      </c>
      <c r="M91" t="s">
        <v>338</v>
      </c>
      <c r="N91" t="s">
        <v>352</v>
      </c>
      <c r="O91" s="7"/>
      <c r="P91" s="7" t="s">
        <v>472</v>
      </c>
      <c r="Q91" s="7" t="s">
        <v>327</v>
      </c>
      <c r="R91" t="s">
        <v>414</v>
      </c>
    </row>
    <row r="92" spans="2:18">
      <c r="B92" s="1">
        <v>10065676030060</v>
      </c>
      <c r="C92" t="s">
        <v>392</v>
      </c>
      <c r="D92" t="s">
        <v>397</v>
      </c>
      <c r="F92" t="s">
        <v>243</v>
      </c>
      <c r="G92" t="s">
        <v>272</v>
      </c>
      <c r="H92" t="s">
        <v>852</v>
      </c>
      <c r="I92" t="s">
        <v>290</v>
      </c>
      <c r="J92" t="s">
        <v>294</v>
      </c>
      <c r="K92" t="s">
        <v>309</v>
      </c>
      <c r="L92" t="s">
        <v>325</v>
      </c>
      <c r="M92" t="s">
        <v>339</v>
      </c>
      <c r="O92" s="7"/>
      <c r="P92" s="7" t="s">
        <v>472</v>
      </c>
      <c r="Q92" s="7" t="s">
        <v>327</v>
      </c>
      <c r="R92" t="s">
        <v>414</v>
      </c>
    </row>
    <row r="93" spans="2:18">
      <c r="B93" s="1">
        <v>10065792510700</v>
      </c>
      <c r="C93" t="s">
        <v>392</v>
      </c>
      <c r="D93" t="s">
        <v>402</v>
      </c>
      <c r="F93" t="s">
        <v>243</v>
      </c>
      <c r="G93" t="s">
        <v>272</v>
      </c>
      <c r="H93" t="s">
        <v>286</v>
      </c>
      <c r="I93" t="s">
        <v>290</v>
      </c>
      <c r="J93" t="s">
        <v>294</v>
      </c>
      <c r="K93" t="s">
        <v>309</v>
      </c>
      <c r="L93" t="s">
        <v>325</v>
      </c>
      <c r="M93" t="s">
        <v>339</v>
      </c>
      <c r="N93" t="s">
        <v>351</v>
      </c>
      <c r="O93" s="7"/>
      <c r="P93" s="7" t="s">
        <v>472</v>
      </c>
      <c r="Q93" s="7" t="s">
        <v>327</v>
      </c>
      <c r="R93" t="s">
        <v>414</v>
      </c>
    </row>
    <row r="94" spans="2:18">
      <c r="O94" s="7"/>
      <c r="P94" s="7"/>
      <c r="Q94" s="7"/>
    </row>
    <row r="95" spans="2:18">
      <c r="O95" s="7"/>
      <c r="P95" s="7"/>
      <c r="Q95" s="7"/>
    </row>
    <row r="96" spans="2:18">
      <c r="B96" s="1">
        <v>1</v>
      </c>
      <c r="C96" t="s">
        <v>1380</v>
      </c>
      <c r="D96" t="s">
        <v>397</v>
      </c>
      <c r="F96" t="s">
        <v>1370</v>
      </c>
      <c r="G96" t="s">
        <v>267</v>
      </c>
      <c r="H96" t="s">
        <v>1371</v>
      </c>
      <c r="I96" t="s">
        <v>1391</v>
      </c>
      <c r="J96" t="s">
        <v>1375</v>
      </c>
      <c r="K96" t="s">
        <v>305</v>
      </c>
      <c r="L96" t="s">
        <v>1392</v>
      </c>
      <c r="M96" t="s">
        <v>1380</v>
      </c>
      <c r="O96" s="7"/>
      <c r="P96" s="7" t="s">
        <v>1387</v>
      </c>
      <c r="Q96" s="7" t="s">
        <v>1388</v>
      </c>
      <c r="R96" t="s">
        <v>1389</v>
      </c>
    </row>
    <row r="97" spans="2:18">
      <c r="B97" s="1">
        <v>2</v>
      </c>
      <c r="C97" t="s">
        <v>1380</v>
      </c>
      <c r="D97" t="s">
        <v>350</v>
      </c>
      <c r="F97" t="s">
        <v>1370</v>
      </c>
      <c r="G97" t="s">
        <v>267</v>
      </c>
      <c r="H97" t="s">
        <v>285</v>
      </c>
      <c r="I97" t="s">
        <v>1391</v>
      </c>
      <c r="J97" t="s">
        <v>1375</v>
      </c>
      <c r="K97" t="s">
        <v>305</v>
      </c>
      <c r="L97" t="s">
        <v>1392</v>
      </c>
      <c r="M97" t="s">
        <v>1380</v>
      </c>
      <c r="N97" t="s">
        <v>350</v>
      </c>
      <c r="O97" s="7"/>
      <c r="P97" s="7" t="s">
        <v>1387</v>
      </c>
      <c r="Q97" s="7" t="s">
        <v>1388</v>
      </c>
      <c r="R97" t="s">
        <v>1389</v>
      </c>
    </row>
    <row r="98" spans="2:18">
      <c r="B98" s="1">
        <v>3</v>
      </c>
      <c r="C98" t="s">
        <v>1381</v>
      </c>
      <c r="D98" t="s">
        <v>397</v>
      </c>
      <c r="F98" t="s">
        <v>1370</v>
      </c>
      <c r="G98" t="s">
        <v>1378</v>
      </c>
      <c r="H98" t="s">
        <v>35</v>
      </c>
      <c r="I98" t="s">
        <v>1391</v>
      </c>
      <c r="J98" t="s">
        <v>1375</v>
      </c>
      <c r="K98" t="s">
        <v>305</v>
      </c>
      <c r="L98" t="s">
        <v>1392</v>
      </c>
      <c r="M98" t="s">
        <v>1381</v>
      </c>
      <c r="O98" s="7"/>
      <c r="P98" s="7" t="s">
        <v>1387</v>
      </c>
      <c r="Q98" s="7" t="s">
        <v>1388</v>
      </c>
      <c r="R98" t="s">
        <v>1389</v>
      </c>
    </row>
    <row r="99" spans="2:18">
      <c r="B99" s="1">
        <v>4</v>
      </c>
      <c r="C99" t="s">
        <v>1381</v>
      </c>
      <c r="D99" t="s">
        <v>350</v>
      </c>
      <c r="F99" t="s">
        <v>1370</v>
      </c>
      <c r="G99" t="s">
        <v>1378</v>
      </c>
      <c r="H99" t="s">
        <v>285</v>
      </c>
      <c r="I99" t="s">
        <v>1391</v>
      </c>
      <c r="J99" t="s">
        <v>1375</v>
      </c>
      <c r="K99" t="s">
        <v>305</v>
      </c>
      <c r="L99" t="s">
        <v>1392</v>
      </c>
      <c r="M99" t="s">
        <v>1381</v>
      </c>
      <c r="N99" t="s">
        <v>350</v>
      </c>
      <c r="O99" s="7"/>
      <c r="P99" s="7" t="s">
        <v>1387</v>
      </c>
      <c r="Q99" s="7" t="s">
        <v>1388</v>
      </c>
      <c r="R99" t="s">
        <v>1389</v>
      </c>
    </row>
    <row r="100" spans="2:18">
      <c r="B100" s="1">
        <v>5</v>
      </c>
      <c r="C100" t="s">
        <v>1382</v>
      </c>
      <c r="D100" t="s">
        <v>397</v>
      </c>
      <c r="F100" t="s">
        <v>1370</v>
      </c>
      <c r="G100" t="s">
        <v>1379</v>
      </c>
      <c r="H100" t="s">
        <v>1393</v>
      </c>
      <c r="I100" t="s">
        <v>1391</v>
      </c>
      <c r="J100" t="s">
        <v>1375</v>
      </c>
      <c r="K100" t="s">
        <v>305</v>
      </c>
      <c r="L100" t="s">
        <v>1392</v>
      </c>
      <c r="M100" t="s">
        <v>1382</v>
      </c>
      <c r="O100" s="7"/>
      <c r="P100" s="7" t="s">
        <v>1387</v>
      </c>
      <c r="Q100" s="7" t="s">
        <v>1388</v>
      </c>
      <c r="R100" t="s">
        <v>1389</v>
      </c>
    </row>
    <row r="101" spans="2:18">
      <c r="B101" s="1">
        <v>6</v>
      </c>
      <c r="C101" t="s">
        <v>1382</v>
      </c>
      <c r="D101" t="s">
        <v>1390</v>
      </c>
      <c r="F101" t="s">
        <v>1370</v>
      </c>
      <c r="G101" t="s">
        <v>1379</v>
      </c>
      <c r="H101" t="s">
        <v>285</v>
      </c>
      <c r="I101" t="s">
        <v>1391</v>
      </c>
      <c r="J101" t="s">
        <v>1375</v>
      </c>
      <c r="K101" t="s">
        <v>305</v>
      </c>
      <c r="L101" t="s">
        <v>1392</v>
      </c>
      <c r="M101" t="s">
        <v>1382</v>
      </c>
      <c r="N101" t="s">
        <v>1386</v>
      </c>
      <c r="O101" s="7"/>
      <c r="P101" s="7" t="s">
        <v>1387</v>
      </c>
      <c r="Q101" s="7" t="s">
        <v>1388</v>
      </c>
      <c r="R101" t="s">
        <v>1389</v>
      </c>
    </row>
    <row r="102" spans="2:18">
      <c r="B102" s="1">
        <v>7</v>
      </c>
      <c r="C102" t="s">
        <v>1383</v>
      </c>
      <c r="D102" t="s">
        <v>397</v>
      </c>
      <c r="F102" t="s">
        <v>1370</v>
      </c>
      <c r="G102" t="s">
        <v>270</v>
      </c>
      <c r="H102" t="s">
        <v>1372</v>
      </c>
      <c r="I102" t="s">
        <v>1394</v>
      </c>
      <c r="J102" t="s">
        <v>294</v>
      </c>
      <c r="K102" t="s">
        <v>305</v>
      </c>
      <c r="L102" t="s">
        <v>1392</v>
      </c>
      <c r="M102" t="s">
        <v>1383</v>
      </c>
      <c r="O102" s="7"/>
      <c r="P102" s="7" t="s">
        <v>1387</v>
      </c>
      <c r="Q102" s="7" t="s">
        <v>1388</v>
      </c>
      <c r="R102" t="s">
        <v>1389</v>
      </c>
    </row>
    <row r="103" spans="2:18">
      <c r="B103" s="1">
        <v>8</v>
      </c>
      <c r="C103" t="s">
        <v>1383</v>
      </c>
      <c r="D103" t="s">
        <v>350</v>
      </c>
      <c r="F103" t="s">
        <v>1370</v>
      </c>
      <c r="G103" t="s">
        <v>270</v>
      </c>
      <c r="H103" t="s">
        <v>285</v>
      </c>
      <c r="I103" t="s">
        <v>1394</v>
      </c>
      <c r="J103" t="s">
        <v>294</v>
      </c>
      <c r="K103" t="s">
        <v>305</v>
      </c>
      <c r="L103" t="s">
        <v>1392</v>
      </c>
      <c r="M103" t="s">
        <v>1383</v>
      </c>
      <c r="N103" t="s">
        <v>350</v>
      </c>
      <c r="O103" s="7"/>
      <c r="P103" s="7" t="s">
        <v>1387</v>
      </c>
      <c r="Q103" s="7" t="s">
        <v>1388</v>
      </c>
      <c r="R103" t="s">
        <v>1389</v>
      </c>
    </row>
    <row r="104" spans="2:18">
      <c r="B104" s="1">
        <v>9</v>
      </c>
      <c r="C104" t="s">
        <v>1384</v>
      </c>
      <c r="D104" t="s">
        <v>397</v>
      </c>
      <c r="F104" t="s">
        <v>1370</v>
      </c>
      <c r="G104" t="s">
        <v>271</v>
      </c>
      <c r="H104" t="s">
        <v>1373</v>
      </c>
      <c r="I104" t="s">
        <v>1394</v>
      </c>
      <c r="J104" t="s">
        <v>298</v>
      </c>
      <c r="K104" t="s">
        <v>305</v>
      </c>
      <c r="L104" t="s">
        <v>1392</v>
      </c>
      <c r="M104" t="s">
        <v>1384</v>
      </c>
      <c r="O104" s="7"/>
      <c r="P104" s="7" t="s">
        <v>1387</v>
      </c>
      <c r="Q104" s="7" t="s">
        <v>1388</v>
      </c>
      <c r="R104" t="s">
        <v>1389</v>
      </c>
    </row>
    <row r="105" spans="2:18">
      <c r="B105" s="1">
        <v>10</v>
      </c>
      <c r="C105" t="s">
        <v>1384</v>
      </c>
      <c r="D105" t="s">
        <v>1390</v>
      </c>
      <c r="F105" t="s">
        <v>1370</v>
      </c>
      <c r="G105" t="s">
        <v>271</v>
      </c>
      <c r="H105" t="s">
        <v>285</v>
      </c>
      <c r="I105" t="s">
        <v>1394</v>
      </c>
      <c r="J105" t="s">
        <v>298</v>
      </c>
      <c r="K105" t="s">
        <v>305</v>
      </c>
      <c r="L105" t="s">
        <v>1392</v>
      </c>
      <c r="M105" t="s">
        <v>1384</v>
      </c>
      <c r="N105" t="s">
        <v>1386</v>
      </c>
      <c r="O105" s="7"/>
      <c r="P105" s="7" t="s">
        <v>1387</v>
      </c>
      <c r="Q105" s="7" t="s">
        <v>1388</v>
      </c>
      <c r="R105" t="s">
        <v>1389</v>
      </c>
    </row>
    <row r="106" spans="2:18">
      <c r="B106" s="1">
        <v>11</v>
      </c>
      <c r="C106" t="s">
        <v>1385</v>
      </c>
      <c r="D106" t="s">
        <v>397</v>
      </c>
      <c r="F106" t="s">
        <v>1370</v>
      </c>
      <c r="G106" t="s">
        <v>272</v>
      </c>
      <c r="H106" t="s">
        <v>1374</v>
      </c>
      <c r="I106" t="s">
        <v>1394</v>
      </c>
      <c r="J106" t="s">
        <v>1376</v>
      </c>
      <c r="K106" t="s">
        <v>1377</v>
      </c>
      <c r="L106" t="s">
        <v>1392</v>
      </c>
      <c r="M106" t="s">
        <v>1385</v>
      </c>
      <c r="O106" s="7"/>
      <c r="P106" s="7" t="s">
        <v>1387</v>
      </c>
      <c r="Q106" s="7" t="s">
        <v>1388</v>
      </c>
      <c r="R106" t="s">
        <v>1389</v>
      </c>
    </row>
    <row r="107" spans="2:18">
      <c r="B107" s="1">
        <v>12</v>
      </c>
      <c r="C107" t="s">
        <v>1385</v>
      </c>
      <c r="D107" t="s">
        <v>350</v>
      </c>
      <c r="F107" t="s">
        <v>1370</v>
      </c>
      <c r="G107" t="s">
        <v>272</v>
      </c>
      <c r="H107" t="s">
        <v>285</v>
      </c>
      <c r="I107" t="s">
        <v>1394</v>
      </c>
      <c r="J107" t="s">
        <v>1376</v>
      </c>
      <c r="K107" t="s">
        <v>1377</v>
      </c>
      <c r="L107" t="s">
        <v>1392</v>
      </c>
      <c r="M107" t="s">
        <v>1385</v>
      </c>
      <c r="N107" t="s">
        <v>350</v>
      </c>
      <c r="O107" s="7"/>
      <c r="P107" s="7" t="s">
        <v>1387</v>
      </c>
      <c r="Q107" s="7" t="s">
        <v>1388</v>
      </c>
      <c r="R107" t="s">
        <v>1389</v>
      </c>
    </row>
    <row r="108" spans="2:18">
      <c r="O108" s="7"/>
      <c r="P108" s="7"/>
      <c r="Q108" s="7"/>
    </row>
    <row r="109" spans="2:18">
      <c r="B109" s="1">
        <v>10136251148677</v>
      </c>
      <c r="C109" t="s">
        <v>1314</v>
      </c>
      <c r="F109" t="s">
        <v>1323</v>
      </c>
      <c r="G109" t="s">
        <v>267</v>
      </c>
      <c r="H109" t="s">
        <v>1320</v>
      </c>
      <c r="I109" t="s">
        <v>289</v>
      </c>
      <c r="J109" t="s">
        <v>1311</v>
      </c>
      <c r="K109" t="s">
        <v>1312</v>
      </c>
      <c r="L109" t="s">
        <v>1313</v>
      </c>
      <c r="M109" t="s">
        <v>1314</v>
      </c>
      <c r="O109" s="7"/>
      <c r="P109" s="7" t="s">
        <v>1348</v>
      </c>
      <c r="Q109" s="7" t="s">
        <v>327</v>
      </c>
      <c r="R109" t="s">
        <v>414</v>
      </c>
    </row>
    <row r="110" spans="2:18">
      <c r="B110" s="1">
        <v>10136251148678</v>
      </c>
      <c r="C110" t="s">
        <v>1314</v>
      </c>
      <c r="D110" t="s">
        <v>402</v>
      </c>
      <c r="F110" t="s">
        <v>1309</v>
      </c>
      <c r="G110" t="s">
        <v>267</v>
      </c>
      <c r="H110" t="s">
        <v>286</v>
      </c>
      <c r="I110" t="s">
        <v>289</v>
      </c>
      <c r="J110" t="s">
        <v>1311</v>
      </c>
      <c r="K110" t="s">
        <v>1312</v>
      </c>
      <c r="L110" t="s">
        <v>1313</v>
      </c>
      <c r="M110" t="s">
        <v>1314</v>
      </c>
      <c r="N110" t="s">
        <v>351</v>
      </c>
      <c r="O110" s="7"/>
      <c r="P110" s="7" t="s">
        <v>1348</v>
      </c>
      <c r="Q110" s="7" t="s">
        <v>327</v>
      </c>
      <c r="R110" t="s">
        <v>414</v>
      </c>
    </row>
    <row r="111" spans="2:18">
      <c r="B111" s="1">
        <v>10136251148679</v>
      </c>
      <c r="C111" t="s">
        <v>1304</v>
      </c>
      <c r="F111" t="s">
        <v>1309</v>
      </c>
      <c r="G111" t="s">
        <v>270</v>
      </c>
      <c r="H111" t="s">
        <v>1316</v>
      </c>
      <c r="I111" t="s">
        <v>290</v>
      </c>
      <c r="J111" t="s">
        <v>1318</v>
      </c>
      <c r="K111" t="s">
        <v>1312</v>
      </c>
      <c r="L111" t="s">
        <v>1313</v>
      </c>
      <c r="M111" t="s">
        <v>1304</v>
      </c>
      <c r="O111" s="7"/>
      <c r="P111" s="7" t="s">
        <v>1348</v>
      </c>
      <c r="Q111" s="7" t="s">
        <v>327</v>
      </c>
      <c r="R111" t="s">
        <v>414</v>
      </c>
    </row>
    <row r="112" spans="2:18">
      <c r="B112" s="1">
        <v>10136251148680</v>
      </c>
      <c r="C112" t="s">
        <v>1304</v>
      </c>
      <c r="D112" t="s">
        <v>402</v>
      </c>
      <c r="F112" t="s">
        <v>1309</v>
      </c>
      <c r="G112" t="s">
        <v>270</v>
      </c>
      <c r="H112" t="s">
        <v>286</v>
      </c>
      <c r="I112" t="s">
        <v>290</v>
      </c>
      <c r="J112" t="s">
        <v>1318</v>
      </c>
      <c r="K112" t="s">
        <v>1312</v>
      </c>
      <c r="L112" t="s">
        <v>1313</v>
      </c>
      <c r="M112" t="s">
        <v>1304</v>
      </c>
      <c r="N112" t="s">
        <v>351</v>
      </c>
      <c r="O112" s="7"/>
      <c r="P112" s="7" t="s">
        <v>1348</v>
      </c>
      <c r="Q112" s="7" t="s">
        <v>327</v>
      </c>
      <c r="R112" t="s">
        <v>414</v>
      </c>
    </row>
    <row r="113" spans="2:18">
      <c r="B113" s="1">
        <v>10136251148681</v>
      </c>
      <c r="C113" t="s">
        <v>1305</v>
      </c>
      <c r="F113" t="s">
        <v>1309</v>
      </c>
      <c r="G113" t="s">
        <v>271</v>
      </c>
      <c r="H113" t="s">
        <v>1315</v>
      </c>
      <c r="I113" t="s">
        <v>290</v>
      </c>
      <c r="J113" t="s">
        <v>298</v>
      </c>
      <c r="K113" t="s">
        <v>1312</v>
      </c>
      <c r="L113" t="s">
        <v>1313</v>
      </c>
      <c r="M113" t="s">
        <v>1305</v>
      </c>
      <c r="O113" s="7"/>
      <c r="P113" s="7" t="s">
        <v>1348</v>
      </c>
      <c r="Q113" s="7" t="s">
        <v>327</v>
      </c>
      <c r="R113" t="s">
        <v>414</v>
      </c>
    </row>
    <row r="114" spans="2:18">
      <c r="B114" s="1">
        <v>10136251148682</v>
      </c>
      <c r="C114" t="s">
        <v>1305</v>
      </c>
      <c r="D114" t="s">
        <v>403</v>
      </c>
      <c r="F114" t="s">
        <v>1309</v>
      </c>
      <c r="G114" t="s">
        <v>271</v>
      </c>
      <c r="H114" t="s">
        <v>286</v>
      </c>
      <c r="I114" t="s">
        <v>290</v>
      </c>
      <c r="J114" t="s">
        <v>298</v>
      </c>
      <c r="K114" t="s">
        <v>1312</v>
      </c>
      <c r="L114" t="s">
        <v>1313</v>
      </c>
      <c r="M114" t="s">
        <v>1305</v>
      </c>
      <c r="N114" t="s">
        <v>352</v>
      </c>
      <c r="O114" s="7"/>
      <c r="P114" s="7" t="s">
        <v>1348</v>
      </c>
      <c r="Q114" s="7" t="s">
        <v>327</v>
      </c>
      <c r="R114" t="s">
        <v>414</v>
      </c>
    </row>
    <row r="115" spans="2:18">
      <c r="B115" s="1">
        <v>10136251148683</v>
      </c>
      <c r="C115" t="s">
        <v>1306</v>
      </c>
      <c r="F115" t="s">
        <v>1309</v>
      </c>
      <c r="G115" t="s">
        <v>272</v>
      </c>
      <c r="H115" t="s">
        <v>1325</v>
      </c>
      <c r="I115" t="s">
        <v>290</v>
      </c>
      <c r="J115" t="s">
        <v>1324</v>
      </c>
      <c r="K115" t="s">
        <v>1319</v>
      </c>
      <c r="L115" t="s">
        <v>1313</v>
      </c>
      <c r="M115" t="s">
        <v>1306</v>
      </c>
      <c r="O115" s="7"/>
      <c r="P115" s="7" t="s">
        <v>1348</v>
      </c>
      <c r="Q115" s="7" t="s">
        <v>327</v>
      </c>
      <c r="R115" t="s">
        <v>414</v>
      </c>
    </row>
    <row r="116" spans="2:18">
      <c r="B116" s="1">
        <v>10136251148684</v>
      </c>
      <c r="C116" t="s">
        <v>1306</v>
      </c>
      <c r="D116" t="s">
        <v>402</v>
      </c>
      <c r="F116" t="s">
        <v>1309</v>
      </c>
      <c r="G116" t="s">
        <v>272</v>
      </c>
      <c r="H116" t="s">
        <v>286</v>
      </c>
      <c r="I116" t="s">
        <v>290</v>
      </c>
      <c r="J116" t="s">
        <v>1324</v>
      </c>
      <c r="K116" t="s">
        <v>1319</v>
      </c>
      <c r="L116" t="s">
        <v>1313</v>
      </c>
      <c r="M116" t="s">
        <v>1306</v>
      </c>
      <c r="N116" t="s">
        <v>351</v>
      </c>
      <c r="O116" s="7"/>
      <c r="P116" s="7" t="s">
        <v>1348</v>
      </c>
      <c r="Q116" s="7" t="s">
        <v>327</v>
      </c>
      <c r="R116" t="s">
        <v>414</v>
      </c>
    </row>
    <row r="117" spans="2:18">
      <c r="B117" s="1">
        <v>10136295116156</v>
      </c>
      <c r="C117" t="s">
        <v>1307</v>
      </c>
      <c r="F117" t="s">
        <v>1309</v>
      </c>
      <c r="G117" t="s">
        <v>1310</v>
      </c>
      <c r="H117" t="s">
        <v>1317</v>
      </c>
      <c r="I117" t="s">
        <v>290</v>
      </c>
      <c r="J117" t="s">
        <v>1324</v>
      </c>
      <c r="K117" t="s">
        <v>1319</v>
      </c>
      <c r="L117" t="s">
        <v>1313</v>
      </c>
      <c r="M117" t="s">
        <v>1307</v>
      </c>
      <c r="O117" s="7"/>
      <c r="P117" s="7" t="s">
        <v>1348</v>
      </c>
      <c r="Q117" s="7" t="s">
        <v>327</v>
      </c>
      <c r="R117" t="s">
        <v>414</v>
      </c>
    </row>
    <row r="118" spans="2:18">
      <c r="B118" s="1">
        <v>10136295116157</v>
      </c>
      <c r="C118" t="s">
        <v>1307</v>
      </c>
      <c r="D118" t="s">
        <v>403</v>
      </c>
      <c r="F118" t="s">
        <v>1309</v>
      </c>
      <c r="G118" t="s">
        <v>1310</v>
      </c>
      <c r="H118" t="s">
        <v>286</v>
      </c>
      <c r="I118" t="s">
        <v>290</v>
      </c>
      <c r="J118" t="s">
        <v>1324</v>
      </c>
      <c r="K118" t="s">
        <v>1319</v>
      </c>
      <c r="L118" t="s">
        <v>1313</v>
      </c>
      <c r="M118" t="s">
        <v>1307</v>
      </c>
      <c r="N118" t="s">
        <v>352</v>
      </c>
      <c r="O118" s="7"/>
      <c r="P118" s="7" t="s">
        <v>1348</v>
      </c>
      <c r="Q118" s="7" t="s">
        <v>327</v>
      </c>
      <c r="R118" t="s">
        <v>414</v>
      </c>
    </row>
    <row r="119" spans="2:18">
      <c r="B119" s="1">
        <v>10136295116158</v>
      </c>
      <c r="C119" t="s">
        <v>1308</v>
      </c>
      <c r="F119" t="s">
        <v>1309</v>
      </c>
      <c r="G119" t="s">
        <v>1350</v>
      </c>
      <c r="H119" t="s">
        <v>1349</v>
      </c>
      <c r="I119" t="s">
        <v>290</v>
      </c>
      <c r="J119" t="s">
        <v>1318</v>
      </c>
      <c r="K119" t="s">
        <v>1351</v>
      </c>
      <c r="L119" t="s">
        <v>1313</v>
      </c>
      <c r="M119" t="s">
        <v>1308</v>
      </c>
      <c r="O119" s="7"/>
      <c r="P119" s="7" t="s">
        <v>1348</v>
      </c>
      <c r="Q119" s="7" t="s">
        <v>327</v>
      </c>
      <c r="R119" t="s">
        <v>414</v>
      </c>
    </row>
    <row r="120" spans="2:18">
      <c r="B120" s="1">
        <v>10136295116159</v>
      </c>
      <c r="C120" t="s">
        <v>1308</v>
      </c>
      <c r="D120" t="s">
        <v>402</v>
      </c>
      <c r="F120" t="s">
        <v>1309</v>
      </c>
      <c r="G120" t="s">
        <v>1350</v>
      </c>
      <c r="H120" t="s">
        <v>286</v>
      </c>
      <c r="I120" t="s">
        <v>290</v>
      </c>
      <c r="J120" t="s">
        <v>1318</v>
      </c>
      <c r="K120" t="s">
        <v>1351</v>
      </c>
      <c r="L120" t="s">
        <v>1313</v>
      </c>
      <c r="M120" t="s">
        <v>1308</v>
      </c>
      <c r="N120" t="s">
        <v>351</v>
      </c>
      <c r="O120" s="7"/>
      <c r="P120" s="7" t="s">
        <v>1348</v>
      </c>
      <c r="Q120" s="7" t="s">
        <v>327</v>
      </c>
      <c r="R120" t="s">
        <v>414</v>
      </c>
    </row>
    <row r="121" spans="2:18">
      <c r="O121" s="7"/>
      <c r="P121" s="7"/>
      <c r="Q121" s="7"/>
    </row>
    <row r="122" spans="2:18">
      <c r="O122" s="7"/>
      <c r="P122" s="7"/>
      <c r="Q122" s="7"/>
    </row>
    <row r="123" spans="2:18">
      <c r="B123" s="1">
        <v>10076368638988</v>
      </c>
      <c r="C123" t="s">
        <v>1330</v>
      </c>
      <c r="D123" t="s">
        <v>397</v>
      </c>
      <c r="F123" t="s">
        <v>1334</v>
      </c>
      <c r="G123" t="s">
        <v>1327</v>
      </c>
      <c r="H123" t="s">
        <v>852</v>
      </c>
      <c r="I123" t="s">
        <v>289</v>
      </c>
      <c r="J123" t="s">
        <v>1332</v>
      </c>
      <c r="K123" t="s">
        <v>1312</v>
      </c>
      <c r="L123" t="s">
        <v>1326</v>
      </c>
      <c r="M123" t="s">
        <v>1330</v>
      </c>
      <c r="O123" s="7"/>
      <c r="P123" s="7" t="s">
        <v>1348</v>
      </c>
      <c r="Q123" s="7" t="s">
        <v>327</v>
      </c>
      <c r="R123" t="s">
        <v>414</v>
      </c>
    </row>
    <row r="124" spans="2:18">
      <c r="B124" s="1">
        <v>10076368638989</v>
      </c>
      <c r="C124" t="s">
        <v>1330</v>
      </c>
      <c r="D124" t="s">
        <v>404</v>
      </c>
      <c r="F124" t="s">
        <v>1334</v>
      </c>
      <c r="G124" t="s">
        <v>1327</v>
      </c>
      <c r="H124" t="s">
        <v>287</v>
      </c>
      <c r="I124" t="s">
        <v>289</v>
      </c>
      <c r="J124" t="s">
        <v>1332</v>
      </c>
      <c r="K124" t="s">
        <v>1312</v>
      </c>
      <c r="L124" t="s">
        <v>1326</v>
      </c>
      <c r="M124" t="s">
        <v>1314</v>
      </c>
      <c r="N124" t="s">
        <v>353</v>
      </c>
      <c r="O124" s="7"/>
      <c r="P124" s="7" t="s">
        <v>1348</v>
      </c>
      <c r="Q124" s="7" t="s">
        <v>327</v>
      </c>
      <c r="R124" t="s">
        <v>414</v>
      </c>
    </row>
    <row r="125" spans="2:18">
      <c r="B125" s="1">
        <v>10062429832101</v>
      </c>
      <c r="C125" t="s">
        <v>1328</v>
      </c>
      <c r="D125" t="s">
        <v>397</v>
      </c>
      <c r="F125" t="s">
        <v>1334</v>
      </c>
      <c r="G125" t="s">
        <v>1331</v>
      </c>
      <c r="H125" t="s">
        <v>357</v>
      </c>
      <c r="I125" t="s">
        <v>290</v>
      </c>
      <c r="J125" t="s">
        <v>1318</v>
      </c>
      <c r="K125" t="s">
        <v>1312</v>
      </c>
      <c r="L125" t="s">
        <v>1326</v>
      </c>
      <c r="M125" t="s">
        <v>1304</v>
      </c>
      <c r="O125" s="7"/>
      <c r="P125" s="7" t="s">
        <v>1348</v>
      </c>
      <c r="Q125" s="7" t="s">
        <v>327</v>
      </c>
      <c r="R125" t="s">
        <v>414</v>
      </c>
    </row>
    <row r="126" spans="2:18">
      <c r="B126" s="1">
        <v>10062760039975</v>
      </c>
      <c r="C126" t="s">
        <v>1328</v>
      </c>
      <c r="D126" t="s">
        <v>404</v>
      </c>
      <c r="F126" t="s">
        <v>1334</v>
      </c>
      <c r="G126" t="s">
        <v>1331</v>
      </c>
      <c r="H126" t="s">
        <v>287</v>
      </c>
      <c r="I126" t="s">
        <v>290</v>
      </c>
      <c r="J126" t="s">
        <v>1318</v>
      </c>
      <c r="K126" t="s">
        <v>1312</v>
      </c>
      <c r="L126" t="s">
        <v>1326</v>
      </c>
      <c r="M126" t="s">
        <v>1304</v>
      </c>
      <c r="N126" t="s">
        <v>353</v>
      </c>
      <c r="O126" s="7"/>
      <c r="P126" s="7" t="s">
        <v>1348</v>
      </c>
      <c r="Q126" s="7" t="s">
        <v>327</v>
      </c>
      <c r="R126" t="s">
        <v>414</v>
      </c>
    </row>
    <row r="127" spans="2:18">
      <c r="B127" s="1">
        <v>10096459454585</v>
      </c>
      <c r="C127" t="s">
        <v>1336</v>
      </c>
      <c r="F127" t="s">
        <v>1334</v>
      </c>
      <c r="G127" t="s">
        <v>1338</v>
      </c>
      <c r="H127" t="s">
        <v>357</v>
      </c>
      <c r="I127" t="s">
        <v>290</v>
      </c>
      <c r="J127" t="s">
        <v>1339</v>
      </c>
      <c r="K127" t="s">
        <v>1319</v>
      </c>
      <c r="L127" t="s">
        <v>1326</v>
      </c>
      <c r="M127" t="s">
        <v>1306</v>
      </c>
      <c r="O127" s="7"/>
      <c r="P127" s="7" t="s">
        <v>1348</v>
      </c>
      <c r="Q127" s="7" t="s">
        <v>327</v>
      </c>
      <c r="R127" t="s">
        <v>414</v>
      </c>
    </row>
    <row r="128" spans="2:18">
      <c r="B128" s="1">
        <v>10096459454584</v>
      </c>
      <c r="C128" t="s">
        <v>1336</v>
      </c>
      <c r="D128" t="s">
        <v>1337</v>
      </c>
      <c r="F128" t="s">
        <v>1334</v>
      </c>
      <c r="G128" t="s">
        <v>1338</v>
      </c>
      <c r="H128" t="s">
        <v>1335</v>
      </c>
      <c r="I128" t="s">
        <v>290</v>
      </c>
      <c r="J128" t="s">
        <v>1339</v>
      </c>
      <c r="K128" t="s">
        <v>1319</v>
      </c>
      <c r="L128" t="s">
        <v>1326</v>
      </c>
      <c r="M128" t="s">
        <v>1306</v>
      </c>
      <c r="N128" t="s">
        <v>646</v>
      </c>
      <c r="O128" s="7"/>
      <c r="P128" s="7" t="s">
        <v>1348</v>
      </c>
      <c r="Q128" s="7" t="s">
        <v>327</v>
      </c>
      <c r="R128" t="s">
        <v>414</v>
      </c>
    </row>
    <row r="129" spans="2:18">
      <c r="B129" s="1">
        <v>10062429832100</v>
      </c>
      <c r="C129" t="s">
        <v>1329</v>
      </c>
      <c r="D129" t="s">
        <v>397</v>
      </c>
      <c r="F129" t="s">
        <v>1334</v>
      </c>
      <c r="G129" t="s">
        <v>1333</v>
      </c>
      <c r="H129" t="s">
        <v>357</v>
      </c>
      <c r="I129" t="s">
        <v>290</v>
      </c>
      <c r="J129" t="s">
        <v>1339</v>
      </c>
      <c r="K129" t="s">
        <v>1319</v>
      </c>
      <c r="L129" t="s">
        <v>1326</v>
      </c>
      <c r="M129" t="s">
        <v>1307</v>
      </c>
      <c r="O129" s="7"/>
      <c r="P129" s="7" t="s">
        <v>1348</v>
      </c>
      <c r="Q129" s="7" t="s">
        <v>327</v>
      </c>
      <c r="R129" t="s">
        <v>414</v>
      </c>
    </row>
    <row r="130" spans="2:18">
      <c r="B130" s="1">
        <v>10062760039973</v>
      </c>
      <c r="C130" t="s">
        <v>1329</v>
      </c>
      <c r="D130" t="s">
        <v>405</v>
      </c>
      <c r="F130" t="s">
        <v>1334</v>
      </c>
      <c r="G130" t="s">
        <v>1333</v>
      </c>
      <c r="H130" t="s">
        <v>1335</v>
      </c>
      <c r="I130" t="s">
        <v>290</v>
      </c>
      <c r="J130" t="s">
        <v>1339</v>
      </c>
      <c r="K130" t="s">
        <v>1319</v>
      </c>
      <c r="L130" t="s">
        <v>1326</v>
      </c>
      <c r="M130" t="s">
        <v>1307</v>
      </c>
      <c r="N130" t="s">
        <v>354</v>
      </c>
      <c r="O130" s="7"/>
      <c r="P130" s="7" t="s">
        <v>1348</v>
      </c>
      <c r="Q130" s="7" t="s">
        <v>327</v>
      </c>
      <c r="R130" t="s">
        <v>414</v>
      </c>
    </row>
    <row r="131" spans="2:18">
      <c r="O131" s="7"/>
      <c r="P131" s="7"/>
    </row>
    <row r="132" spans="2:18">
      <c r="O132" s="7"/>
      <c r="P132" s="7"/>
    </row>
    <row r="133" spans="2:18">
      <c r="O133" s="7"/>
      <c r="P133" s="7"/>
    </row>
    <row r="134" spans="2:18">
      <c r="O134" s="7"/>
      <c r="P134" s="7"/>
    </row>
    <row r="135" spans="2:18">
      <c r="O135" s="7"/>
      <c r="P135" s="7"/>
    </row>
    <row r="136" spans="2:18">
      <c r="O136" s="7"/>
      <c r="P136" s="7"/>
    </row>
    <row r="137" spans="2:18">
      <c r="B137" s="1">
        <v>65560396374</v>
      </c>
      <c r="C137" t="s">
        <v>341</v>
      </c>
      <c r="D137" t="s">
        <v>397</v>
      </c>
      <c r="F137" t="s">
        <v>245</v>
      </c>
      <c r="G137" t="s">
        <v>276</v>
      </c>
      <c r="H137" t="s">
        <v>852</v>
      </c>
      <c r="I137" t="s">
        <v>289</v>
      </c>
      <c r="J137" t="s">
        <v>300</v>
      </c>
      <c r="K137" t="s">
        <v>312</v>
      </c>
      <c r="M137" t="s">
        <v>341</v>
      </c>
      <c r="O137" s="7"/>
      <c r="P137" s="7"/>
    </row>
    <row r="138" spans="2:18">
      <c r="B138" s="1">
        <v>65575452393</v>
      </c>
      <c r="C138" t="s">
        <v>341</v>
      </c>
      <c r="D138" t="s">
        <v>398</v>
      </c>
      <c r="F138" t="s">
        <v>245</v>
      </c>
      <c r="G138" t="s">
        <v>276</v>
      </c>
      <c r="H138" t="s">
        <v>283</v>
      </c>
      <c r="I138" t="s">
        <v>289</v>
      </c>
      <c r="J138" t="s">
        <v>300</v>
      </c>
      <c r="K138" t="s">
        <v>312</v>
      </c>
      <c r="M138" t="s">
        <v>341</v>
      </c>
      <c r="N138" t="s">
        <v>347</v>
      </c>
      <c r="O138" s="7"/>
      <c r="P138" s="7"/>
    </row>
    <row r="139" spans="2:18">
      <c r="B139" s="1">
        <v>10063852356778</v>
      </c>
      <c r="C139" t="s">
        <v>342</v>
      </c>
      <c r="D139" t="s">
        <v>397</v>
      </c>
      <c r="F139" t="s">
        <v>246</v>
      </c>
      <c r="G139" t="s">
        <v>253</v>
      </c>
      <c r="H139" t="s">
        <v>852</v>
      </c>
      <c r="I139" t="s">
        <v>289</v>
      </c>
      <c r="J139" t="s">
        <v>301</v>
      </c>
      <c r="K139" t="s">
        <v>313</v>
      </c>
      <c r="M139" t="s">
        <v>342</v>
      </c>
      <c r="O139" s="7"/>
      <c r="P139" s="7"/>
    </row>
    <row r="140" spans="2:18">
      <c r="B140" s="1">
        <v>10063852356779</v>
      </c>
      <c r="C140" t="s">
        <v>342</v>
      </c>
      <c r="D140" t="s">
        <v>398</v>
      </c>
      <c r="F140" t="s">
        <v>246</v>
      </c>
      <c r="G140" t="s">
        <v>253</v>
      </c>
      <c r="H140" t="s">
        <v>283</v>
      </c>
      <c r="I140" t="s">
        <v>289</v>
      </c>
      <c r="J140" t="s">
        <v>301</v>
      </c>
      <c r="K140" t="s">
        <v>313</v>
      </c>
      <c r="M140" t="s">
        <v>342</v>
      </c>
      <c r="N140" t="s">
        <v>347</v>
      </c>
      <c r="O140" s="7"/>
      <c r="P140" s="7"/>
    </row>
    <row r="141" spans="2:18">
      <c r="B141" s="1">
        <v>10038513738271</v>
      </c>
      <c r="C141" t="s">
        <v>342</v>
      </c>
      <c r="D141" t="s">
        <v>397</v>
      </c>
      <c r="F141" t="s">
        <v>246</v>
      </c>
      <c r="G141" t="s">
        <v>253</v>
      </c>
      <c r="H141" t="s">
        <v>852</v>
      </c>
      <c r="I141" t="s">
        <v>289</v>
      </c>
      <c r="J141" t="s">
        <v>301</v>
      </c>
      <c r="K141" t="s">
        <v>313</v>
      </c>
      <c r="M141" t="s">
        <v>342</v>
      </c>
      <c r="O141" s="7"/>
      <c r="P141" s="7"/>
    </row>
    <row r="142" spans="2:18">
      <c r="B142" s="1">
        <v>10038513738272</v>
      </c>
      <c r="C142" t="s">
        <v>342</v>
      </c>
      <c r="D142" t="s">
        <v>398</v>
      </c>
      <c r="F142" t="s">
        <v>246</v>
      </c>
      <c r="G142" t="s">
        <v>253</v>
      </c>
      <c r="H142" t="s">
        <v>283</v>
      </c>
      <c r="I142" t="s">
        <v>289</v>
      </c>
      <c r="J142" t="s">
        <v>301</v>
      </c>
      <c r="K142" t="s">
        <v>313</v>
      </c>
      <c r="M142" t="s">
        <v>342</v>
      </c>
      <c r="N142" t="s">
        <v>347</v>
      </c>
      <c r="O142" s="7"/>
      <c r="P142" s="7"/>
    </row>
    <row r="143" spans="2:18">
      <c r="B143" s="1">
        <v>10108205824743</v>
      </c>
      <c r="C143" t="s">
        <v>343</v>
      </c>
      <c r="D143" t="s">
        <v>397</v>
      </c>
      <c r="F143" t="s">
        <v>247</v>
      </c>
      <c r="G143" t="s">
        <v>277</v>
      </c>
      <c r="H143" t="s">
        <v>852</v>
      </c>
      <c r="I143" t="s">
        <v>289</v>
      </c>
      <c r="J143" t="s">
        <v>301</v>
      </c>
      <c r="K143" t="s">
        <v>313</v>
      </c>
      <c r="M143" t="s">
        <v>343</v>
      </c>
      <c r="O143" s="7"/>
      <c r="P143" s="7"/>
    </row>
    <row r="144" spans="2:18">
      <c r="B144" s="1">
        <v>10116479464601</v>
      </c>
      <c r="C144" t="s">
        <v>343</v>
      </c>
      <c r="D144" t="s">
        <v>851</v>
      </c>
      <c r="F144" t="s">
        <v>247</v>
      </c>
      <c r="G144" t="s">
        <v>277</v>
      </c>
      <c r="H144" t="s">
        <v>284</v>
      </c>
      <c r="I144" t="s">
        <v>289</v>
      </c>
      <c r="J144" t="s">
        <v>301</v>
      </c>
      <c r="K144" t="s">
        <v>313</v>
      </c>
      <c r="M144" t="s">
        <v>343</v>
      </c>
      <c r="N144" t="s">
        <v>355</v>
      </c>
      <c r="O144" s="7"/>
      <c r="P144" s="7"/>
    </row>
    <row r="145" spans="2:17">
      <c r="B145" s="1">
        <v>10108205824744</v>
      </c>
      <c r="C145" t="s">
        <v>343</v>
      </c>
      <c r="D145" t="s">
        <v>400</v>
      </c>
      <c r="F145" t="s">
        <v>247</v>
      </c>
      <c r="G145" t="s">
        <v>277</v>
      </c>
      <c r="H145" t="s">
        <v>284</v>
      </c>
      <c r="I145" t="s">
        <v>289</v>
      </c>
      <c r="J145" t="s">
        <v>301</v>
      </c>
      <c r="K145" t="s">
        <v>313</v>
      </c>
      <c r="M145" t="s">
        <v>343</v>
      </c>
      <c r="N145" t="s">
        <v>356</v>
      </c>
      <c r="O145" s="7"/>
      <c r="P145" s="7"/>
    </row>
    <row r="146" spans="2:17">
      <c r="B146" s="1">
        <v>10026351388106</v>
      </c>
      <c r="C146" t="s">
        <v>344</v>
      </c>
      <c r="D146" t="s">
        <v>397</v>
      </c>
      <c r="F146" t="s">
        <v>248</v>
      </c>
      <c r="G146" t="s">
        <v>278</v>
      </c>
      <c r="H146" t="s">
        <v>852</v>
      </c>
      <c r="I146" t="s">
        <v>289</v>
      </c>
      <c r="J146" t="s">
        <v>302</v>
      </c>
      <c r="K146" t="s">
        <v>301</v>
      </c>
      <c r="M146" t="s">
        <v>344</v>
      </c>
      <c r="O146" s="7"/>
      <c r="P146" s="7"/>
    </row>
    <row r="147" spans="2:17">
      <c r="B147" s="1">
        <v>10087511476273</v>
      </c>
      <c r="C147" t="s">
        <v>344</v>
      </c>
      <c r="D147" t="s">
        <v>350</v>
      </c>
      <c r="F147" t="s">
        <v>248</v>
      </c>
      <c r="G147" t="s">
        <v>278</v>
      </c>
      <c r="H147" t="s">
        <v>285</v>
      </c>
      <c r="I147" t="s">
        <v>289</v>
      </c>
      <c r="J147" t="s">
        <v>302</v>
      </c>
      <c r="K147" t="s">
        <v>301</v>
      </c>
      <c r="M147" t="s">
        <v>344</v>
      </c>
      <c r="N147" t="s">
        <v>350</v>
      </c>
      <c r="O147" s="7"/>
      <c r="P147" s="7"/>
    </row>
    <row r="148" spans="2:17">
      <c r="B148" s="1">
        <v>10026351388107</v>
      </c>
      <c r="C148" t="s">
        <v>396</v>
      </c>
      <c r="D148" t="s">
        <v>397</v>
      </c>
      <c r="F148" t="s">
        <v>249</v>
      </c>
      <c r="G148" t="s">
        <v>279</v>
      </c>
      <c r="H148" t="s">
        <v>852</v>
      </c>
      <c r="I148" t="s">
        <v>289</v>
      </c>
      <c r="J148" t="s">
        <v>302</v>
      </c>
      <c r="K148" t="s">
        <v>301</v>
      </c>
      <c r="M148" t="s">
        <v>344</v>
      </c>
      <c r="O148" s="7"/>
      <c r="P148" s="7"/>
      <c r="Q148" s="7"/>
    </row>
    <row r="149" spans="2:17">
      <c r="B149" s="1">
        <v>10087511770466</v>
      </c>
      <c r="C149" t="s">
        <v>396</v>
      </c>
      <c r="D149" t="s">
        <v>350</v>
      </c>
      <c r="F149" t="s">
        <v>249</v>
      </c>
      <c r="G149" t="s">
        <v>279</v>
      </c>
      <c r="H149" t="s">
        <v>285</v>
      </c>
      <c r="I149" t="s">
        <v>289</v>
      </c>
      <c r="J149" t="s">
        <v>302</v>
      </c>
      <c r="K149" t="s">
        <v>301</v>
      </c>
      <c r="M149" t="s">
        <v>344</v>
      </c>
      <c r="N149" t="s">
        <v>350</v>
      </c>
      <c r="O149" s="7"/>
      <c r="P149" s="7"/>
      <c r="Q149" s="7"/>
    </row>
    <row r="150" spans="2:17">
      <c r="B150" s="1">
        <v>10025396578439</v>
      </c>
      <c r="C150" t="s">
        <v>345</v>
      </c>
      <c r="D150" t="s">
        <v>397</v>
      </c>
      <c r="F150" t="s">
        <v>250</v>
      </c>
      <c r="G150" t="s">
        <v>280</v>
      </c>
      <c r="H150" t="s">
        <v>852</v>
      </c>
      <c r="I150" t="s">
        <v>289</v>
      </c>
      <c r="J150" t="s">
        <v>302</v>
      </c>
      <c r="K150" t="s">
        <v>301</v>
      </c>
      <c r="M150" t="s">
        <v>345</v>
      </c>
      <c r="O150" s="7"/>
      <c r="P150" s="7"/>
      <c r="Q150" s="7"/>
    </row>
    <row r="151" spans="2:17">
      <c r="B151" s="1">
        <v>10089921608912</v>
      </c>
      <c r="C151" t="s">
        <v>345</v>
      </c>
      <c r="D151" t="s">
        <v>402</v>
      </c>
      <c r="F151" t="s">
        <v>250</v>
      </c>
      <c r="G151" t="s">
        <v>280</v>
      </c>
      <c r="H151" t="s">
        <v>286</v>
      </c>
      <c r="I151" t="s">
        <v>289</v>
      </c>
      <c r="J151" t="s">
        <v>302</v>
      </c>
      <c r="K151" t="s">
        <v>301</v>
      </c>
      <c r="M151" t="s">
        <v>345</v>
      </c>
      <c r="N151" t="s">
        <v>351</v>
      </c>
      <c r="O151" s="7"/>
      <c r="P151" s="7"/>
      <c r="Q151" s="7"/>
    </row>
    <row r="152" spans="2:17">
      <c r="Q152" s="7"/>
    </row>
    <row r="153" spans="2:17">
      <c r="B153" s="1">
        <v>10140729674198</v>
      </c>
      <c r="C153" t="s">
        <v>1548</v>
      </c>
      <c r="D153" t="s">
        <v>397</v>
      </c>
      <c r="Q153" s="7"/>
    </row>
    <row r="154" spans="2:17">
      <c r="B154" s="1">
        <v>10025396578439</v>
      </c>
      <c r="C154" t="s">
        <v>1548</v>
      </c>
      <c r="D154" t="s">
        <v>1551</v>
      </c>
      <c r="Q154" s="7"/>
    </row>
    <row r="155" spans="2:17">
      <c r="B155" s="1">
        <v>10140729674199</v>
      </c>
      <c r="C155" t="s">
        <v>1549</v>
      </c>
      <c r="D155" t="s">
        <v>397</v>
      </c>
      <c r="F155" t="s">
        <v>1545</v>
      </c>
      <c r="G155" t="s">
        <v>1554</v>
      </c>
      <c r="H155" t="s">
        <v>1316</v>
      </c>
      <c r="I155" t="s">
        <v>1332</v>
      </c>
      <c r="J155" t="s">
        <v>1544</v>
      </c>
      <c r="K155" t="s">
        <v>1553</v>
      </c>
      <c r="M155" t="s">
        <v>1483</v>
      </c>
      <c r="Q155" s="7"/>
    </row>
    <row r="156" spans="2:17">
      <c r="B156" s="1">
        <v>10089921608912</v>
      </c>
      <c r="C156" t="s">
        <v>1549</v>
      </c>
      <c r="D156" t="s">
        <v>1552</v>
      </c>
      <c r="F156" t="s">
        <v>1545</v>
      </c>
      <c r="G156" t="s">
        <v>1554</v>
      </c>
      <c r="H156" t="s">
        <v>286</v>
      </c>
      <c r="I156" t="s">
        <v>1332</v>
      </c>
      <c r="J156" t="s">
        <v>1544</v>
      </c>
      <c r="K156" t="s">
        <v>1553</v>
      </c>
      <c r="M156" t="s">
        <v>1549</v>
      </c>
      <c r="N156" t="s">
        <v>1369</v>
      </c>
      <c r="Q156" s="7"/>
    </row>
    <row r="157" spans="2:17">
      <c r="B157" s="1">
        <v>10140729674200</v>
      </c>
      <c r="C157" t="s">
        <v>1550</v>
      </c>
      <c r="F157" t="s">
        <v>1545</v>
      </c>
      <c r="G157" t="s">
        <v>1547</v>
      </c>
      <c r="H157" t="s">
        <v>1546</v>
      </c>
      <c r="I157" t="s">
        <v>1555</v>
      </c>
      <c r="J157" t="s">
        <v>1544</v>
      </c>
      <c r="K157" t="s">
        <v>1318</v>
      </c>
      <c r="M157" t="s">
        <v>1550</v>
      </c>
      <c r="Q157" s="7"/>
    </row>
    <row r="158" spans="2:17">
      <c r="B158" s="1">
        <v>10026351388104</v>
      </c>
      <c r="C158" t="s">
        <v>1550</v>
      </c>
      <c r="D158" t="s">
        <v>1552</v>
      </c>
      <c r="F158" t="s">
        <v>1545</v>
      </c>
      <c r="G158" t="s">
        <v>1547</v>
      </c>
      <c r="H158" t="s">
        <v>286</v>
      </c>
      <c r="I158" t="s">
        <v>1555</v>
      </c>
      <c r="J158" t="s">
        <v>1544</v>
      </c>
      <c r="K158" t="s">
        <v>1318</v>
      </c>
      <c r="M158" t="s">
        <v>1550</v>
      </c>
      <c r="N158" t="s">
        <v>1369</v>
      </c>
      <c r="Q158" s="7"/>
    </row>
    <row r="159" spans="2:17">
      <c r="Q159" s="7"/>
    </row>
    <row r="160" spans="2:17">
      <c r="Q160" s="7"/>
    </row>
    <row r="161" spans="2:18">
      <c r="Q161" s="7"/>
    </row>
    <row r="162" spans="2:18">
      <c r="Q162" s="7"/>
    </row>
    <row r="163" spans="2:18">
      <c r="Q163" s="7"/>
    </row>
    <row r="164" spans="2:18">
      <c r="Q164" s="7"/>
    </row>
    <row r="165" spans="2:18">
      <c r="Q165" s="7"/>
    </row>
    <row r="166" spans="2:18">
      <c r="Q166" s="7"/>
    </row>
    <row r="167" spans="2:18">
      <c r="B167" s="1">
        <v>10135602509143</v>
      </c>
      <c r="C167" s="29" t="s">
        <v>334</v>
      </c>
      <c r="E167" t="s">
        <v>912</v>
      </c>
      <c r="F167" t="s">
        <v>1296</v>
      </c>
      <c r="G167" t="s">
        <v>431</v>
      </c>
      <c r="H167" t="s">
        <v>357</v>
      </c>
      <c r="I167" t="s">
        <v>1573</v>
      </c>
      <c r="J167" t="s">
        <v>291</v>
      </c>
      <c r="K167" t="s">
        <v>302</v>
      </c>
      <c r="M167" t="s">
        <v>1322</v>
      </c>
      <c r="O167" t="s">
        <v>912</v>
      </c>
      <c r="P167" s="7"/>
      <c r="Q167" s="7" t="s">
        <v>327</v>
      </c>
      <c r="R167" t="s">
        <v>414</v>
      </c>
    </row>
    <row r="168" spans="2:18">
      <c r="B168" s="1">
        <v>10128164159538</v>
      </c>
      <c r="C168" t="s">
        <v>379</v>
      </c>
      <c r="E168" t="s">
        <v>912</v>
      </c>
      <c r="F168" t="s">
        <v>241</v>
      </c>
      <c r="G168" t="s">
        <v>261</v>
      </c>
      <c r="H168" t="s">
        <v>357</v>
      </c>
      <c r="I168" t="s">
        <v>289</v>
      </c>
      <c r="J168" t="s">
        <v>291</v>
      </c>
      <c r="K168" t="s">
        <v>302</v>
      </c>
      <c r="L168" t="s">
        <v>323</v>
      </c>
      <c r="M168" t="s">
        <v>334</v>
      </c>
      <c r="O168" t="s">
        <v>912</v>
      </c>
      <c r="P168" s="7" t="s">
        <v>472</v>
      </c>
      <c r="Q168" s="7" t="s">
        <v>327</v>
      </c>
      <c r="R168" t="s">
        <v>414</v>
      </c>
    </row>
    <row r="169" spans="2:18">
      <c r="B169" s="1">
        <v>10128164159539</v>
      </c>
      <c r="C169" s="20" t="s">
        <v>335</v>
      </c>
      <c r="E169" t="s">
        <v>912</v>
      </c>
      <c r="F169" t="s">
        <v>241</v>
      </c>
      <c r="G169" t="s">
        <v>262</v>
      </c>
      <c r="H169" t="s">
        <v>357</v>
      </c>
      <c r="I169" t="s">
        <v>289</v>
      </c>
      <c r="J169" t="s">
        <v>296</v>
      </c>
      <c r="K169" t="s">
        <v>302</v>
      </c>
      <c r="L169" t="s">
        <v>323</v>
      </c>
      <c r="M169" t="s">
        <v>335</v>
      </c>
      <c r="O169" t="s">
        <v>912</v>
      </c>
      <c r="P169" s="7" t="s">
        <v>472</v>
      </c>
      <c r="Q169" s="7" t="s">
        <v>327</v>
      </c>
      <c r="R169" t="s">
        <v>414</v>
      </c>
    </row>
    <row r="170" spans="2:18">
      <c r="B170" s="1">
        <v>10128164159540</v>
      </c>
      <c r="C170" s="20" t="s">
        <v>380</v>
      </c>
      <c r="E170" t="s">
        <v>912</v>
      </c>
      <c r="F170" t="s">
        <v>241</v>
      </c>
      <c r="G170" t="s">
        <v>263</v>
      </c>
      <c r="H170" t="s">
        <v>357</v>
      </c>
      <c r="I170" t="s">
        <v>289</v>
      </c>
      <c r="J170" t="s">
        <v>297</v>
      </c>
      <c r="K170" t="s">
        <v>302</v>
      </c>
      <c r="L170" t="s">
        <v>323</v>
      </c>
      <c r="M170" t="s">
        <v>336</v>
      </c>
      <c r="O170" t="s">
        <v>912</v>
      </c>
      <c r="P170" s="7" t="s">
        <v>472</v>
      </c>
      <c r="Q170" s="7" t="s">
        <v>327</v>
      </c>
      <c r="R170" t="s">
        <v>414</v>
      </c>
    </row>
    <row r="171" spans="2:18">
      <c r="B171" s="1">
        <v>10128164159541</v>
      </c>
      <c r="C171" t="s">
        <v>382</v>
      </c>
      <c r="E171" t="s">
        <v>912</v>
      </c>
      <c r="F171" t="s">
        <v>241</v>
      </c>
      <c r="G171" t="s">
        <v>264</v>
      </c>
      <c r="H171" t="s">
        <v>357</v>
      </c>
      <c r="I171" t="s">
        <v>290</v>
      </c>
      <c r="J171" t="s">
        <v>294</v>
      </c>
      <c r="K171" t="s">
        <v>307</v>
      </c>
      <c r="L171" t="s">
        <v>323</v>
      </c>
      <c r="M171" t="s">
        <v>337</v>
      </c>
      <c r="O171" t="s">
        <v>912</v>
      </c>
      <c r="P171" s="7" t="s">
        <v>472</v>
      </c>
      <c r="Q171" s="7" t="s">
        <v>327</v>
      </c>
      <c r="R171" t="s">
        <v>414</v>
      </c>
    </row>
    <row r="172" spans="2:18">
      <c r="B172" s="1">
        <v>10128164159542</v>
      </c>
      <c r="C172" t="s">
        <v>338</v>
      </c>
      <c r="E172" t="s">
        <v>912</v>
      </c>
      <c r="F172" t="s">
        <v>241</v>
      </c>
      <c r="G172" t="s">
        <v>265</v>
      </c>
      <c r="H172" t="s">
        <v>357</v>
      </c>
      <c r="I172" t="s">
        <v>290</v>
      </c>
      <c r="J172" t="s">
        <v>298</v>
      </c>
      <c r="K172" t="s">
        <v>307</v>
      </c>
      <c r="L172" t="s">
        <v>323</v>
      </c>
      <c r="M172" t="s">
        <v>338</v>
      </c>
      <c r="O172" t="s">
        <v>912</v>
      </c>
      <c r="P172" s="7" t="s">
        <v>472</v>
      </c>
      <c r="Q172" s="7" t="s">
        <v>327</v>
      </c>
      <c r="R172" t="s">
        <v>414</v>
      </c>
    </row>
    <row r="173" spans="2:18">
      <c r="B173" s="1">
        <v>10128164159543</v>
      </c>
      <c r="C173" t="s">
        <v>383</v>
      </c>
      <c r="E173" t="s">
        <v>912</v>
      </c>
      <c r="F173" t="s">
        <v>242</v>
      </c>
      <c r="G173" t="s">
        <v>267</v>
      </c>
      <c r="H173" t="s">
        <v>357</v>
      </c>
      <c r="I173" t="s">
        <v>289</v>
      </c>
      <c r="J173" t="s">
        <v>291</v>
      </c>
      <c r="K173" t="s">
        <v>302</v>
      </c>
      <c r="L173" t="s">
        <v>324</v>
      </c>
      <c r="M173" t="s">
        <v>334</v>
      </c>
      <c r="O173" t="s">
        <v>912</v>
      </c>
      <c r="P173" s="7" t="s">
        <v>472</v>
      </c>
      <c r="Q173" s="7" t="s">
        <v>327</v>
      </c>
      <c r="R173" t="s">
        <v>414</v>
      </c>
    </row>
    <row r="174" spans="2:18">
      <c r="B174" s="1">
        <v>10128164159544</v>
      </c>
      <c r="C174" s="20" t="s">
        <v>384</v>
      </c>
      <c r="E174" t="s">
        <v>912</v>
      </c>
      <c r="F174" t="s">
        <v>242</v>
      </c>
      <c r="G174" t="s">
        <v>268</v>
      </c>
      <c r="H174" t="s">
        <v>357</v>
      </c>
      <c r="I174" t="s">
        <v>289</v>
      </c>
      <c r="J174" t="s">
        <v>296</v>
      </c>
      <c r="K174" t="s">
        <v>302</v>
      </c>
      <c r="L174" t="s">
        <v>324</v>
      </c>
      <c r="M174" t="s">
        <v>335</v>
      </c>
      <c r="O174" t="s">
        <v>912</v>
      </c>
      <c r="P174" s="7" t="s">
        <v>472</v>
      </c>
      <c r="Q174" s="7" t="s">
        <v>327</v>
      </c>
      <c r="R174" t="s">
        <v>414</v>
      </c>
    </row>
    <row r="175" spans="2:18">
      <c r="B175" s="1">
        <v>10128164159545</v>
      </c>
      <c r="C175" s="20" t="s">
        <v>385</v>
      </c>
      <c r="E175" t="s">
        <v>912</v>
      </c>
      <c r="F175" t="s">
        <v>242</v>
      </c>
      <c r="G175" t="s">
        <v>269</v>
      </c>
      <c r="H175" t="s">
        <v>357</v>
      </c>
      <c r="I175" t="s">
        <v>289</v>
      </c>
      <c r="J175" t="s">
        <v>297</v>
      </c>
      <c r="K175" t="s">
        <v>302</v>
      </c>
      <c r="L175" t="s">
        <v>324</v>
      </c>
      <c r="M175" t="s">
        <v>336</v>
      </c>
      <c r="O175" t="s">
        <v>912</v>
      </c>
      <c r="P175" s="7" t="s">
        <v>472</v>
      </c>
      <c r="Q175" s="7" t="s">
        <v>327</v>
      </c>
      <c r="R175" t="s">
        <v>414</v>
      </c>
    </row>
    <row r="176" spans="2:18">
      <c r="B176" s="1">
        <v>10128164159546</v>
      </c>
      <c r="C176" t="s">
        <v>386</v>
      </c>
      <c r="E176" t="s">
        <v>912</v>
      </c>
      <c r="F176" t="s">
        <v>242</v>
      </c>
      <c r="G176" t="s">
        <v>270</v>
      </c>
      <c r="H176" t="s">
        <v>357</v>
      </c>
      <c r="I176" t="s">
        <v>290</v>
      </c>
      <c r="J176" t="s">
        <v>294</v>
      </c>
      <c r="K176" t="s">
        <v>307</v>
      </c>
      <c r="L176" t="s">
        <v>324</v>
      </c>
      <c r="M176" t="s">
        <v>337</v>
      </c>
      <c r="O176" t="s">
        <v>912</v>
      </c>
      <c r="P176" s="7" t="s">
        <v>472</v>
      </c>
      <c r="Q176" s="7" t="s">
        <v>327</v>
      </c>
      <c r="R176" t="s">
        <v>414</v>
      </c>
    </row>
    <row r="177" spans="2:18">
      <c r="B177" s="1">
        <v>10128164159547</v>
      </c>
      <c r="C177" t="s">
        <v>387</v>
      </c>
      <c r="E177" t="s">
        <v>912</v>
      </c>
      <c r="F177" t="s">
        <v>242</v>
      </c>
      <c r="G177" t="s">
        <v>271</v>
      </c>
      <c r="H177" t="s">
        <v>357</v>
      </c>
      <c r="I177" t="s">
        <v>290</v>
      </c>
      <c r="J177" t="s">
        <v>298</v>
      </c>
      <c r="K177" t="s">
        <v>307</v>
      </c>
      <c r="L177" t="s">
        <v>324</v>
      </c>
      <c r="M177" t="s">
        <v>338</v>
      </c>
      <c r="O177" t="s">
        <v>912</v>
      </c>
      <c r="P177" s="7" t="s">
        <v>472</v>
      </c>
      <c r="Q177" s="7" t="s">
        <v>327</v>
      </c>
      <c r="R177" t="s">
        <v>414</v>
      </c>
    </row>
    <row r="178" spans="2:18">
      <c r="Q178" s="7"/>
    </row>
    <row r="179" spans="2:18">
      <c r="B179" s="1">
        <v>10096477527460</v>
      </c>
      <c r="C179" t="s">
        <v>329</v>
      </c>
      <c r="E179" t="s">
        <v>409</v>
      </c>
      <c r="F179" t="s">
        <v>239</v>
      </c>
      <c r="G179" t="s">
        <v>252</v>
      </c>
      <c r="H179" t="s">
        <v>852</v>
      </c>
      <c r="I179" t="s">
        <v>289</v>
      </c>
      <c r="J179" t="s">
        <v>291</v>
      </c>
      <c r="K179" t="s">
        <v>304</v>
      </c>
      <c r="L179" t="s">
        <v>321</v>
      </c>
      <c r="M179" t="s">
        <v>329</v>
      </c>
      <c r="N179" t="s">
        <v>282</v>
      </c>
      <c r="O179" t="s">
        <v>409</v>
      </c>
      <c r="Q179" s="7" t="s">
        <v>327</v>
      </c>
      <c r="R179" t="s">
        <v>414</v>
      </c>
    </row>
    <row r="180" spans="2:18">
      <c r="B180" s="1">
        <v>10127991509947</v>
      </c>
      <c r="C180" s="28" t="s">
        <v>330</v>
      </c>
      <c r="E180" t="s">
        <v>409</v>
      </c>
      <c r="F180" s="5" t="s">
        <v>239</v>
      </c>
      <c r="G180" t="s">
        <v>253</v>
      </c>
      <c r="H180" t="s">
        <v>357</v>
      </c>
      <c r="I180" t="s">
        <v>289</v>
      </c>
      <c r="J180" t="s">
        <v>292</v>
      </c>
      <c r="K180" t="s">
        <v>304</v>
      </c>
      <c r="L180" t="s">
        <v>321</v>
      </c>
      <c r="M180" s="7" t="s">
        <v>330</v>
      </c>
      <c r="O180" t="s">
        <v>409</v>
      </c>
      <c r="Q180" s="7" t="s">
        <v>327</v>
      </c>
      <c r="R180" t="s">
        <v>414</v>
      </c>
    </row>
    <row r="181" spans="2:18">
      <c r="B181" s="1">
        <v>10127991509948</v>
      </c>
      <c r="C181" s="28" t="s">
        <v>331</v>
      </c>
      <c r="E181" t="s">
        <v>409</v>
      </c>
      <c r="F181" t="s">
        <v>239</v>
      </c>
      <c r="G181" t="s">
        <v>254</v>
      </c>
      <c r="H181" t="s">
        <v>357</v>
      </c>
      <c r="I181" t="s">
        <v>289</v>
      </c>
      <c r="J181" t="s">
        <v>292</v>
      </c>
      <c r="K181" t="s">
        <v>304</v>
      </c>
      <c r="L181" t="s">
        <v>321</v>
      </c>
      <c r="M181" t="s">
        <v>331</v>
      </c>
      <c r="O181" t="s">
        <v>409</v>
      </c>
      <c r="Q181" s="7" t="s">
        <v>327</v>
      </c>
      <c r="R181" t="s">
        <v>414</v>
      </c>
    </row>
    <row r="182" spans="2:18">
      <c r="B182" s="1">
        <v>10087909470515</v>
      </c>
      <c r="C182" t="s">
        <v>332</v>
      </c>
      <c r="E182" t="s">
        <v>409</v>
      </c>
      <c r="F182" t="s">
        <v>239</v>
      </c>
      <c r="G182" t="s">
        <v>255</v>
      </c>
      <c r="H182" t="s">
        <v>852</v>
      </c>
      <c r="I182" t="s">
        <v>289</v>
      </c>
      <c r="J182" t="s">
        <v>293</v>
      </c>
      <c r="K182" t="s">
        <v>305</v>
      </c>
      <c r="L182" t="s">
        <v>321</v>
      </c>
      <c r="M182" t="s">
        <v>332</v>
      </c>
      <c r="N182" t="s">
        <v>282</v>
      </c>
      <c r="O182" t="s">
        <v>409</v>
      </c>
      <c r="Q182" s="7" t="s">
        <v>327</v>
      </c>
      <c r="R182" t="s">
        <v>414</v>
      </c>
    </row>
    <row r="183" spans="2:18">
      <c r="B183" s="1">
        <v>10087909470516</v>
      </c>
      <c r="C183" t="s">
        <v>333</v>
      </c>
      <c r="E183" t="s">
        <v>409</v>
      </c>
      <c r="F183" t="s">
        <v>239</v>
      </c>
      <c r="G183" t="s">
        <v>256</v>
      </c>
      <c r="H183" t="s">
        <v>852</v>
      </c>
      <c r="I183" t="s">
        <v>289</v>
      </c>
      <c r="J183" t="s">
        <v>293</v>
      </c>
      <c r="K183" t="s">
        <v>305</v>
      </c>
      <c r="L183" t="s">
        <v>321</v>
      </c>
      <c r="M183" t="s">
        <v>333</v>
      </c>
      <c r="N183" t="s">
        <v>282</v>
      </c>
      <c r="O183" t="s">
        <v>409</v>
      </c>
      <c r="Q183" s="7" t="s">
        <v>327</v>
      </c>
      <c r="R183" t="s">
        <v>414</v>
      </c>
    </row>
    <row r="184" spans="2:18">
      <c r="B184" s="1">
        <v>10096477527461</v>
      </c>
      <c r="C184" t="s">
        <v>372</v>
      </c>
      <c r="E184" t="s">
        <v>409</v>
      </c>
      <c r="F184" t="s">
        <v>240</v>
      </c>
      <c r="G184" t="s">
        <v>257</v>
      </c>
      <c r="H184" t="s">
        <v>852</v>
      </c>
      <c r="I184" t="s">
        <v>289</v>
      </c>
      <c r="J184" t="s">
        <v>291</v>
      </c>
      <c r="K184" t="s">
        <v>304</v>
      </c>
      <c r="L184" t="s">
        <v>322</v>
      </c>
      <c r="M184" t="s">
        <v>329</v>
      </c>
      <c r="N184" t="s">
        <v>282</v>
      </c>
      <c r="O184" t="s">
        <v>409</v>
      </c>
      <c r="Q184" s="7" t="s">
        <v>327</v>
      </c>
      <c r="R184" t="s">
        <v>414</v>
      </c>
    </row>
    <row r="185" spans="2:18">
      <c r="B185" s="1">
        <v>10127991509949</v>
      </c>
      <c r="C185" s="23" t="s">
        <v>373</v>
      </c>
      <c r="E185" t="s">
        <v>409</v>
      </c>
      <c r="F185" t="s">
        <v>240</v>
      </c>
      <c r="G185" t="s">
        <v>253</v>
      </c>
      <c r="H185" t="s">
        <v>357</v>
      </c>
      <c r="I185" t="s">
        <v>289</v>
      </c>
      <c r="J185" t="s">
        <v>292</v>
      </c>
      <c r="K185" t="s">
        <v>304</v>
      </c>
      <c r="L185" t="s">
        <v>322</v>
      </c>
      <c r="M185" t="s">
        <v>330</v>
      </c>
      <c r="O185" t="s">
        <v>409</v>
      </c>
      <c r="Q185" s="7" t="s">
        <v>327</v>
      </c>
      <c r="R185" t="s">
        <v>414</v>
      </c>
    </row>
    <row r="186" spans="2:18">
      <c r="B186" s="1">
        <v>10127991509950</v>
      </c>
      <c r="C186" s="23" t="s">
        <v>374</v>
      </c>
      <c r="E186" t="s">
        <v>409</v>
      </c>
      <c r="F186" t="s">
        <v>240</v>
      </c>
      <c r="G186" t="s">
        <v>254</v>
      </c>
      <c r="H186" t="s">
        <v>357</v>
      </c>
      <c r="I186" t="s">
        <v>289</v>
      </c>
      <c r="J186" t="s">
        <v>292</v>
      </c>
      <c r="K186" t="s">
        <v>304</v>
      </c>
      <c r="L186" t="s">
        <v>322</v>
      </c>
      <c r="M186" t="s">
        <v>331</v>
      </c>
      <c r="O186" t="s">
        <v>409</v>
      </c>
      <c r="Q186" s="7" t="s">
        <v>327</v>
      </c>
      <c r="R186" t="s">
        <v>414</v>
      </c>
    </row>
    <row r="187" spans="2:18">
      <c r="B187" s="1">
        <v>10071965642485</v>
      </c>
      <c r="C187" t="s">
        <v>376</v>
      </c>
      <c r="E187" t="s">
        <v>409</v>
      </c>
      <c r="F187" t="s">
        <v>240</v>
      </c>
      <c r="G187" t="s">
        <v>256</v>
      </c>
      <c r="H187" t="s">
        <v>852</v>
      </c>
      <c r="I187" t="s">
        <v>289</v>
      </c>
      <c r="J187" t="s">
        <v>293</v>
      </c>
      <c r="K187" t="s">
        <v>305</v>
      </c>
      <c r="L187" t="s">
        <v>322</v>
      </c>
      <c r="M187" t="s">
        <v>333</v>
      </c>
      <c r="N187" t="s">
        <v>282</v>
      </c>
      <c r="O187" t="s">
        <v>409</v>
      </c>
      <c r="Q187" s="7" t="s">
        <v>327</v>
      </c>
      <c r="R187" t="s">
        <v>414</v>
      </c>
    </row>
    <row r="188" spans="2:18">
      <c r="B188" s="1">
        <v>10071965642486</v>
      </c>
      <c r="C188" t="s">
        <v>375</v>
      </c>
      <c r="E188" t="s">
        <v>409</v>
      </c>
      <c r="F188" t="s">
        <v>240</v>
      </c>
      <c r="G188" t="s">
        <v>258</v>
      </c>
      <c r="H188" t="s">
        <v>852</v>
      </c>
      <c r="I188" t="s">
        <v>289</v>
      </c>
      <c r="J188" t="s">
        <v>293</v>
      </c>
      <c r="K188" t="s">
        <v>305</v>
      </c>
      <c r="L188" t="s">
        <v>322</v>
      </c>
      <c r="M188" t="s">
        <v>332</v>
      </c>
      <c r="N188" t="s">
        <v>282</v>
      </c>
      <c r="O188" t="s">
        <v>409</v>
      </c>
      <c r="Q188" s="7" t="s">
        <v>327</v>
      </c>
      <c r="R188" t="s">
        <v>414</v>
      </c>
    </row>
    <row r="189" spans="2:18">
      <c r="B189" s="1">
        <v>10096477527462</v>
      </c>
      <c r="C189" t="s">
        <v>377</v>
      </c>
      <c r="E189" t="s">
        <v>409</v>
      </c>
      <c r="F189" t="s">
        <v>240</v>
      </c>
      <c r="G189" t="s">
        <v>259</v>
      </c>
      <c r="H189" t="s">
        <v>852</v>
      </c>
      <c r="I189" t="s">
        <v>289</v>
      </c>
      <c r="J189" t="s">
        <v>295</v>
      </c>
      <c r="K189" t="s">
        <v>304</v>
      </c>
      <c r="L189" t="s">
        <v>322</v>
      </c>
      <c r="M189" t="s">
        <v>329</v>
      </c>
      <c r="N189" t="s">
        <v>282</v>
      </c>
      <c r="O189" t="s">
        <v>409</v>
      </c>
      <c r="Q189" s="7" t="s">
        <v>327</v>
      </c>
      <c r="R189" t="s">
        <v>414</v>
      </c>
    </row>
    <row r="190" spans="2:18">
      <c r="B190" s="1">
        <v>10087909470517</v>
      </c>
      <c r="C190" t="s">
        <v>378</v>
      </c>
      <c r="E190" t="s">
        <v>409</v>
      </c>
      <c r="F190" t="s">
        <v>240</v>
      </c>
      <c r="G190" t="s">
        <v>260</v>
      </c>
      <c r="H190" t="s">
        <v>852</v>
      </c>
      <c r="I190" t="s">
        <v>289</v>
      </c>
      <c r="J190" t="s">
        <v>295</v>
      </c>
      <c r="K190" t="s">
        <v>305</v>
      </c>
      <c r="L190" t="s">
        <v>322</v>
      </c>
      <c r="M190" t="s">
        <v>332</v>
      </c>
      <c r="N190" t="s">
        <v>282</v>
      </c>
      <c r="O190" t="s">
        <v>409</v>
      </c>
      <c r="Q190" s="7" t="s">
        <v>327</v>
      </c>
      <c r="R190" t="s">
        <v>414</v>
      </c>
    </row>
    <row r="191" spans="2:18">
      <c r="Q191" s="7"/>
    </row>
    <row r="192" spans="2:18">
      <c r="B192" s="1">
        <v>10135602876870</v>
      </c>
      <c r="C192" s="29" t="s">
        <v>334</v>
      </c>
      <c r="E192" t="s">
        <v>409</v>
      </c>
      <c r="F192" t="s">
        <v>1296</v>
      </c>
      <c r="G192" t="s">
        <v>431</v>
      </c>
      <c r="H192" t="s">
        <v>357</v>
      </c>
      <c r="I192" t="s">
        <v>1573</v>
      </c>
      <c r="J192" t="s">
        <v>291</v>
      </c>
      <c r="K192" t="s">
        <v>302</v>
      </c>
      <c r="M192" t="s">
        <v>1321</v>
      </c>
      <c r="O192" t="s">
        <v>409</v>
      </c>
      <c r="P192" s="7"/>
      <c r="Q192" s="7" t="s">
        <v>327</v>
      </c>
      <c r="R192" t="s">
        <v>414</v>
      </c>
    </row>
    <row r="193" spans="2:18">
      <c r="B193" s="1">
        <v>10096284747320</v>
      </c>
      <c r="C193" t="s">
        <v>379</v>
      </c>
      <c r="E193" t="s">
        <v>409</v>
      </c>
      <c r="F193" t="s">
        <v>241</v>
      </c>
      <c r="G193" t="s">
        <v>261</v>
      </c>
      <c r="H193" t="s">
        <v>852</v>
      </c>
      <c r="I193" t="s">
        <v>289</v>
      </c>
      <c r="J193" t="s">
        <v>291</v>
      </c>
      <c r="K193" t="s">
        <v>302</v>
      </c>
      <c r="L193" t="s">
        <v>323</v>
      </c>
      <c r="M193" t="s">
        <v>334</v>
      </c>
      <c r="O193" t="s">
        <v>409</v>
      </c>
      <c r="P193" s="7" t="s">
        <v>472</v>
      </c>
      <c r="Q193" s="7" t="s">
        <v>327</v>
      </c>
      <c r="R193" t="s">
        <v>414</v>
      </c>
    </row>
    <row r="194" spans="2:18">
      <c r="B194" s="1">
        <v>10128159232362</v>
      </c>
      <c r="C194" s="20" t="s">
        <v>335</v>
      </c>
      <c r="E194" t="s">
        <v>409</v>
      </c>
      <c r="F194" t="s">
        <v>241</v>
      </c>
      <c r="G194" t="s">
        <v>262</v>
      </c>
      <c r="H194" t="s">
        <v>357</v>
      </c>
      <c r="I194" t="s">
        <v>289</v>
      </c>
      <c r="J194" t="s">
        <v>296</v>
      </c>
      <c r="K194" t="s">
        <v>302</v>
      </c>
      <c r="L194" t="s">
        <v>323</v>
      </c>
      <c r="M194" t="s">
        <v>335</v>
      </c>
      <c r="O194" t="s">
        <v>409</v>
      </c>
      <c r="P194" s="7" t="s">
        <v>472</v>
      </c>
      <c r="Q194" s="7" t="s">
        <v>327</v>
      </c>
      <c r="R194" t="s">
        <v>414</v>
      </c>
    </row>
    <row r="195" spans="2:18">
      <c r="B195" s="1">
        <v>10128159232363</v>
      </c>
      <c r="C195" s="20" t="s">
        <v>380</v>
      </c>
      <c r="E195" t="s">
        <v>409</v>
      </c>
      <c r="F195" t="s">
        <v>241</v>
      </c>
      <c r="G195" t="s">
        <v>263</v>
      </c>
      <c r="H195" t="s">
        <v>357</v>
      </c>
      <c r="I195" t="s">
        <v>289</v>
      </c>
      <c r="J195" t="s">
        <v>297</v>
      </c>
      <c r="K195" t="s">
        <v>302</v>
      </c>
      <c r="L195" t="s">
        <v>323</v>
      </c>
      <c r="M195" t="s">
        <v>336</v>
      </c>
      <c r="O195" t="s">
        <v>409</v>
      </c>
      <c r="P195" s="7" t="s">
        <v>472</v>
      </c>
      <c r="Q195" s="7" t="s">
        <v>327</v>
      </c>
      <c r="R195" t="s">
        <v>414</v>
      </c>
    </row>
    <row r="196" spans="2:18">
      <c r="B196" s="1">
        <v>10096284747321</v>
      </c>
      <c r="C196" t="s">
        <v>382</v>
      </c>
      <c r="E196" t="s">
        <v>409</v>
      </c>
      <c r="F196" t="s">
        <v>241</v>
      </c>
      <c r="G196" t="s">
        <v>264</v>
      </c>
      <c r="H196" t="s">
        <v>852</v>
      </c>
      <c r="I196" t="s">
        <v>290</v>
      </c>
      <c r="J196" t="s">
        <v>294</v>
      </c>
      <c r="K196" t="s">
        <v>307</v>
      </c>
      <c r="L196" t="s">
        <v>323</v>
      </c>
      <c r="M196" t="s">
        <v>337</v>
      </c>
      <c r="O196" t="s">
        <v>409</v>
      </c>
      <c r="P196" s="7" t="s">
        <v>472</v>
      </c>
      <c r="Q196" s="7" t="s">
        <v>327</v>
      </c>
      <c r="R196" t="s">
        <v>414</v>
      </c>
    </row>
    <row r="197" spans="2:18">
      <c r="B197" s="1">
        <v>10096284747322</v>
      </c>
      <c r="C197" t="s">
        <v>338</v>
      </c>
      <c r="E197" t="s">
        <v>409</v>
      </c>
      <c r="F197" t="s">
        <v>241</v>
      </c>
      <c r="G197" t="s">
        <v>265</v>
      </c>
      <c r="H197" t="s">
        <v>852</v>
      </c>
      <c r="I197" t="s">
        <v>290</v>
      </c>
      <c r="J197" t="s">
        <v>298</v>
      </c>
      <c r="K197" t="s">
        <v>307</v>
      </c>
      <c r="L197" t="s">
        <v>323</v>
      </c>
      <c r="M197" t="s">
        <v>338</v>
      </c>
      <c r="O197" t="s">
        <v>409</v>
      </c>
      <c r="P197" s="7" t="s">
        <v>472</v>
      </c>
      <c r="Q197" s="7" t="s">
        <v>327</v>
      </c>
      <c r="R197" t="s">
        <v>414</v>
      </c>
    </row>
    <row r="198" spans="2:18">
      <c r="B198" s="1">
        <v>10096284747323</v>
      </c>
      <c r="C198" t="s">
        <v>383</v>
      </c>
      <c r="E198" t="s">
        <v>409</v>
      </c>
      <c r="F198" t="s">
        <v>242</v>
      </c>
      <c r="G198" t="s">
        <v>267</v>
      </c>
      <c r="H198" t="s">
        <v>852</v>
      </c>
      <c r="I198" t="s">
        <v>289</v>
      </c>
      <c r="J198" t="s">
        <v>291</v>
      </c>
      <c r="K198" t="s">
        <v>302</v>
      </c>
      <c r="L198" t="s">
        <v>324</v>
      </c>
      <c r="M198" t="s">
        <v>334</v>
      </c>
      <c r="O198" t="s">
        <v>409</v>
      </c>
      <c r="P198" s="7" t="s">
        <v>472</v>
      </c>
      <c r="Q198" s="7" t="s">
        <v>327</v>
      </c>
      <c r="R198" t="s">
        <v>414</v>
      </c>
    </row>
    <row r="199" spans="2:18">
      <c r="B199" s="1">
        <v>10128159232364</v>
      </c>
      <c r="C199" s="20" t="s">
        <v>384</v>
      </c>
      <c r="E199" t="s">
        <v>409</v>
      </c>
      <c r="F199" t="s">
        <v>242</v>
      </c>
      <c r="G199" t="s">
        <v>268</v>
      </c>
      <c r="H199" t="s">
        <v>357</v>
      </c>
      <c r="I199" t="s">
        <v>289</v>
      </c>
      <c r="J199" t="s">
        <v>296</v>
      </c>
      <c r="K199" t="s">
        <v>302</v>
      </c>
      <c r="L199" t="s">
        <v>324</v>
      </c>
      <c r="M199" t="s">
        <v>335</v>
      </c>
      <c r="O199" t="s">
        <v>409</v>
      </c>
      <c r="P199" s="7" t="s">
        <v>472</v>
      </c>
      <c r="Q199" s="7" t="s">
        <v>327</v>
      </c>
      <c r="R199" t="s">
        <v>414</v>
      </c>
    </row>
    <row r="200" spans="2:18">
      <c r="B200" s="1">
        <v>10128159232365</v>
      </c>
      <c r="C200" s="20" t="s">
        <v>385</v>
      </c>
      <c r="E200" t="s">
        <v>409</v>
      </c>
      <c r="F200" t="s">
        <v>242</v>
      </c>
      <c r="G200" t="s">
        <v>269</v>
      </c>
      <c r="H200" t="s">
        <v>357</v>
      </c>
      <c r="I200" t="s">
        <v>289</v>
      </c>
      <c r="J200" t="s">
        <v>297</v>
      </c>
      <c r="K200" t="s">
        <v>302</v>
      </c>
      <c r="L200" t="s">
        <v>324</v>
      </c>
      <c r="M200" t="s">
        <v>336</v>
      </c>
      <c r="O200" t="s">
        <v>409</v>
      </c>
      <c r="P200" s="7" t="s">
        <v>472</v>
      </c>
      <c r="Q200" s="7" t="s">
        <v>327</v>
      </c>
      <c r="R200" t="s">
        <v>414</v>
      </c>
    </row>
    <row r="201" spans="2:18">
      <c r="B201" s="1">
        <v>10096284747324</v>
      </c>
      <c r="C201" t="s">
        <v>386</v>
      </c>
      <c r="E201" t="s">
        <v>409</v>
      </c>
      <c r="F201" t="s">
        <v>242</v>
      </c>
      <c r="G201" t="s">
        <v>270</v>
      </c>
      <c r="H201" t="s">
        <v>852</v>
      </c>
      <c r="I201" t="s">
        <v>290</v>
      </c>
      <c r="J201" t="s">
        <v>294</v>
      </c>
      <c r="K201" t="s">
        <v>307</v>
      </c>
      <c r="L201" t="s">
        <v>324</v>
      </c>
      <c r="M201" t="s">
        <v>337</v>
      </c>
      <c r="O201" t="s">
        <v>409</v>
      </c>
      <c r="P201" s="7" t="s">
        <v>472</v>
      </c>
      <c r="Q201" s="7" t="s">
        <v>327</v>
      </c>
      <c r="R201" t="s">
        <v>414</v>
      </c>
    </row>
    <row r="202" spans="2:18">
      <c r="B202" s="1">
        <v>10096284747325</v>
      </c>
      <c r="C202" t="s">
        <v>387</v>
      </c>
      <c r="E202" t="s">
        <v>409</v>
      </c>
      <c r="F202" t="s">
        <v>242</v>
      </c>
      <c r="G202" t="s">
        <v>271</v>
      </c>
      <c r="H202" t="s">
        <v>852</v>
      </c>
      <c r="I202" t="s">
        <v>290</v>
      </c>
      <c r="J202" t="s">
        <v>298</v>
      </c>
      <c r="K202" t="s">
        <v>307</v>
      </c>
      <c r="L202" t="s">
        <v>324</v>
      </c>
      <c r="M202" t="s">
        <v>338</v>
      </c>
      <c r="O202" t="s">
        <v>409</v>
      </c>
      <c r="P202" s="7" t="s">
        <v>472</v>
      </c>
      <c r="Q202" s="7" t="s">
        <v>327</v>
      </c>
      <c r="R202" t="s">
        <v>414</v>
      </c>
    </row>
    <row r="203" spans="2:18">
      <c r="Q203" s="7"/>
    </row>
    <row r="204" spans="2:18">
      <c r="B204" s="1">
        <v>10071965642493</v>
      </c>
      <c r="C204" t="s">
        <v>390</v>
      </c>
      <c r="E204" t="s">
        <v>409</v>
      </c>
      <c r="F204" t="s">
        <v>243</v>
      </c>
      <c r="G204" t="s">
        <v>270</v>
      </c>
      <c r="H204" t="s">
        <v>852</v>
      </c>
      <c r="I204" t="s">
        <v>290</v>
      </c>
      <c r="J204" t="s">
        <v>294</v>
      </c>
      <c r="K204" t="s">
        <v>306</v>
      </c>
      <c r="L204" t="s">
        <v>325</v>
      </c>
      <c r="M204" t="s">
        <v>337</v>
      </c>
      <c r="O204" t="s">
        <v>409</v>
      </c>
      <c r="P204" s="7" t="s">
        <v>472</v>
      </c>
      <c r="Q204" s="7" t="s">
        <v>327</v>
      </c>
      <c r="R204" t="s">
        <v>414</v>
      </c>
    </row>
    <row r="205" spans="2:18">
      <c r="B205" s="1">
        <v>10071965642494</v>
      </c>
      <c r="C205" t="s">
        <v>391</v>
      </c>
      <c r="E205" t="s">
        <v>409</v>
      </c>
      <c r="F205" t="s">
        <v>243</v>
      </c>
      <c r="G205" t="s">
        <v>271</v>
      </c>
      <c r="H205" t="s">
        <v>852</v>
      </c>
      <c r="I205" t="s">
        <v>290</v>
      </c>
      <c r="J205" t="s">
        <v>298</v>
      </c>
      <c r="K205" t="s">
        <v>306</v>
      </c>
      <c r="L205" t="s">
        <v>325</v>
      </c>
      <c r="M205" t="s">
        <v>338</v>
      </c>
      <c r="O205" t="s">
        <v>409</v>
      </c>
      <c r="P205" s="7" t="s">
        <v>472</v>
      </c>
      <c r="Q205" s="7" t="s">
        <v>327</v>
      </c>
      <c r="R205" t="s">
        <v>414</v>
      </c>
    </row>
    <row r="206" spans="2:18">
      <c r="B206" s="1">
        <v>10071965642495</v>
      </c>
      <c r="C206" t="s">
        <v>392</v>
      </c>
      <c r="E206" t="s">
        <v>409</v>
      </c>
      <c r="F206" t="s">
        <v>243</v>
      </c>
      <c r="G206" t="s">
        <v>272</v>
      </c>
      <c r="H206" t="s">
        <v>852</v>
      </c>
      <c r="I206" t="s">
        <v>290</v>
      </c>
      <c r="J206" t="s">
        <v>294</v>
      </c>
      <c r="K206" t="s">
        <v>309</v>
      </c>
      <c r="L206" t="s">
        <v>325</v>
      </c>
      <c r="M206" t="s">
        <v>339</v>
      </c>
      <c r="O206" t="s">
        <v>409</v>
      </c>
      <c r="P206" s="7" t="s">
        <v>472</v>
      </c>
      <c r="Q206" s="7" t="s">
        <v>327</v>
      </c>
      <c r="R206" t="s">
        <v>414</v>
      </c>
    </row>
    <row r="208" spans="2:18">
      <c r="B208" s="1">
        <v>10107729673919</v>
      </c>
      <c r="C208" t="s">
        <v>393</v>
      </c>
      <c r="E208" t="s">
        <v>409</v>
      </c>
      <c r="F208" t="s">
        <v>244</v>
      </c>
      <c r="G208" t="s">
        <v>273</v>
      </c>
      <c r="H208" t="s">
        <v>852</v>
      </c>
      <c r="I208" t="s">
        <v>289</v>
      </c>
      <c r="J208" t="s">
        <v>299</v>
      </c>
      <c r="K208" t="s">
        <v>310</v>
      </c>
      <c r="L208" t="s">
        <v>326</v>
      </c>
      <c r="M208" t="s">
        <v>340</v>
      </c>
      <c r="O208" t="s">
        <v>409</v>
      </c>
      <c r="Q208" s="7" t="s">
        <v>327</v>
      </c>
      <c r="R208" t="s">
        <v>414</v>
      </c>
    </row>
    <row r="209" spans="2:18">
      <c r="B209" s="1">
        <v>10107729673921</v>
      </c>
      <c r="C209" t="s">
        <v>394</v>
      </c>
      <c r="E209" t="s">
        <v>409</v>
      </c>
      <c r="F209" t="s">
        <v>244</v>
      </c>
      <c r="G209" t="s">
        <v>274</v>
      </c>
      <c r="H209" t="s">
        <v>852</v>
      </c>
      <c r="I209" t="s">
        <v>290</v>
      </c>
      <c r="J209" t="s">
        <v>294</v>
      </c>
      <c r="K209" t="s">
        <v>311</v>
      </c>
      <c r="L209" t="s">
        <v>326</v>
      </c>
      <c r="M209" t="s">
        <v>337</v>
      </c>
      <c r="O209" t="s">
        <v>409</v>
      </c>
      <c r="Q209" s="7" t="s">
        <v>327</v>
      </c>
      <c r="R209" t="s">
        <v>414</v>
      </c>
    </row>
    <row r="210" spans="2:18">
      <c r="B210" s="1">
        <v>10107729673920</v>
      </c>
      <c r="C210" t="s">
        <v>395</v>
      </c>
      <c r="E210" t="s">
        <v>409</v>
      </c>
      <c r="F210" t="s">
        <v>244</v>
      </c>
      <c r="G210" t="s">
        <v>275</v>
      </c>
      <c r="H210" t="s">
        <v>852</v>
      </c>
      <c r="I210" t="s">
        <v>290</v>
      </c>
      <c r="J210" t="s">
        <v>298</v>
      </c>
      <c r="K210" t="s">
        <v>311</v>
      </c>
      <c r="L210" t="s">
        <v>326</v>
      </c>
      <c r="M210" t="s">
        <v>338</v>
      </c>
      <c r="O210" t="s">
        <v>409</v>
      </c>
      <c r="Q210" s="7" t="s">
        <v>327</v>
      </c>
      <c r="R210" t="s">
        <v>414</v>
      </c>
    </row>
    <row r="212" spans="2:18">
      <c r="B212" s="1">
        <v>10110931976432</v>
      </c>
      <c r="C212" t="s">
        <v>342</v>
      </c>
      <c r="E212" t="s">
        <v>408</v>
      </c>
      <c r="F212" t="s">
        <v>246</v>
      </c>
      <c r="G212" t="s">
        <v>253</v>
      </c>
      <c r="H212" t="s">
        <v>852</v>
      </c>
      <c r="I212" t="s">
        <v>289</v>
      </c>
      <c r="J212" t="s">
        <v>301</v>
      </c>
      <c r="K212" t="s">
        <v>313</v>
      </c>
      <c r="M212" t="s">
        <v>342</v>
      </c>
      <c r="O212" t="s">
        <v>408</v>
      </c>
    </row>
    <row r="213" spans="2:18">
      <c r="B213" s="1">
        <v>10108519275422</v>
      </c>
      <c r="C213" t="s">
        <v>343</v>
      </c>
      <c r="E213" t="s">
        <v>408</v>
      </c>
      <c r="F213" t="s">
        <v>247</v>
      </c>
      <c r="G213" t="s">
        <v>277</v>
      </c>
      <c r="H213" t="s">
        <v>852</v>
      </c>
      <c r="I213" t="s">
        <v>289</v>
      </c>
      <c r="J213" t="s">
        <v>301</v>
      </c>
      <c r="K213" t="s">
        <v>313</v>
      </c>
      <c r="M213" t="s">
        <v>343</v>
      </c>
      <c r="O213" t="s">
        <v>408</v>
      </c>
    </row>
    <row r="214" spans="2:18">
      <c r="B214" s="1">
        <v>10110931976433</v>
      </c>
      <c r="C214" t="s">
        <v>344</v>
      </c>
      <c r="E214" t="s">
        <v>408</v>
      </c>
      <c r="F214" t="s">
        <v>248</v>
      </c>
      <c r="G214" t="s">
        <v>278</v>
      </c>
      <c r="H214" t="s">
        <v>852</v>
      </c>
      <c r="I214" t="s">
        <v>289</v>
      </c>
      <c r="J214" t="s">
        <v>302</v>
      </c>
      <c r="K214" t="s">
        <v>301</v>
      </c>
      <c r="M214" t="s">
        <v>344</v>
      </c>
      <c r="O214" t="s">
        <v>408</v>
      </c>
    </row>
    <row r="215" spans="2:18">
      <c r="B215" s="1">
        <v>10110931976434</v>
      </c>
      <c r="C215" t="s">
        <v>396</v>
      </c>
      <c r="E215" t="s">
        <v>408</v>
      </c>
      <c r="F215" t="s">
        <v>249</v>
      </c>
      <c r="G215" t="s">
        <v>279</v>
      </c>
      <c r="H215" t="s">
        <v>852</v>
      </c>
      <c r="I215" t="s">
        <v>289</v>
      </c>
      <c r="J215" t="s">
        <v>302</v>
      </c>
      <c r="K215" t="s">
        <v>301</v>
      </c>
      <c r="M215" t="s">
        <v>344</v>
      </c>
      <c r="O215" t="s">
        <v>408</v>
      </c>
    </row>
    <row r="216" spans="2:18">
      <c r="B216" s="1">
        <v>10110931976435</v>
      </c>
      <c r="C216" t="s">
        <v>345</v>
      </c>
      <c r="E216" t="s">
        <v>408</v>
      </c>
      <c r="F216" t="s">
        <v>250</v>
      </c>
      <c r="G216" t="s">
        <v>280</v>
      </c>
      <c r="H216" t="s">
        <v>852</v>
      </c>
      <c r="I216" t="s">
        <v>289</v>
      </c>
      <c r="J216" t="s">
        <v>302</v>
      </c>
      <c r="K216" t="s">
        <v>301</v>
      </c>
      <c r="M216" t="s">
        <v>345</v>
      </c>
      <c r="O216" t="s">
        <v>408</v>
      </c>
    </row>
    <row r="218" spans="2:18">
      <c r="B218" s="1">
        <v>10072707951493</v>
      </c>
      <c r="C218" t="s">
        <v>342</v>
      </c>
      <c r="E218" t="s">
        <v>409</v>
      </c>
      <c r="F218" t="s">
        <v>246</v>
      </c>
      <c r="G218" t="s">
        <v>253</v>
      </c>
      <c r="H218" t="s">
        <v>852</v>
      </c>
      <c r="I218" t="s">
        <v>289</v>
      </c>
      <c r="J218" t="s">
        <v>301</v>
      </c>
      <c r="K218" t="s">
        <v>313</v>
      </c>
      <c r="M218" t="s">
        <v>342</v>
      </c>
      <c r="O218" t="s">
        <v>409</v>
      </c>
    </row>
    <row r="219" spans="2:18">
      <c r="B219" s="1">
        <v>10089503373145</v>
      </c>
      <c r="C219" t="s">
        <v>343</v>
      </c>
      <c r="E219" t="s">
        <v>409</v>
      </c>
      <c r="F219" t="s">
        <v>247</v>
      </c>
      <c r="G219" t="s">
        <v>277</v>
      </c>
      <c r="H219" t="s">
        <v>852</v>
      </c>
      <c r="I219" t="s">
        <v>289</v>
      </c>
      <c r="J219" t="s">
        <v>301</v>
      </c>
      <c r="K219" t="s">
        <v>313</v>
      </c>
      <c r="M219" t="s">
        <v>343</v>
      </c>
      <c r="O219" t="s">
        <v>409</v>
      </c>
    </row>
    <row r="220" spans="2:18">
      <c r="B220" s="1">
        <v>10088088645612</v>
      </c>
      <c r="C220" t="s">
        <v>344</v>
      </c>
      <c r="E220" t="s">
        <v>409</v>
      </c>
      <c r="F220" t="s">
        <v>248</v>
      </c>
      <c r="G220" t="s">
        <v>278</v>
      </c>
      <c r="H220" t="s">
        <v>852</v>
      </c>
      <c r="I220" t="s">
        <v>289</v>
      </c>
      <c r="J220" t="s">
        <v>302</v>
      </c>
      <c r="K220" t="s">
        <v>301</v>
      </c>
      <c r="M220" t="s">
        <v>344</v>
      </c>
      <c r="O220" t="s">
        <v>409</v>
      </c>
    </row>
    <row r="221" spans="2:18">
      <c r="B221" s="1">
        <v>10088088645613</v>
      </c>
      <c r="C221" t="s">
        <v>396</v>
      </c>
      <c r="E221" t="s">
        <v>409</v>
      </c>
      <c r="F221" t="s">
        <v>249</v>
      </c>
      <c r="G221" t="s">
        <v>279</v>
      </c>
      <c r="H221" t="s">
        <v>852</v>
      </c>
      <c r="I221" t="s">
        <v>289</v>
      </c>
      <c r="J221" t="s">
        <v>302</v>
      </c>
      <c r="K221" t="s">
        <v>301</v>
      </c>
      <c r="M221" t="s">
        <v>344</v>
      </c>
      <c r="O221" t="s">
        <v>409</v>
      </c>
    </row>
    <row r="222" spans="2:18">
      <c r="B222" s="1">
        <v>10072707951499</v>
      </c>
      <c r="C222" t="s">
        <v>345</v>
      </c>
      <c r="F222" t="s">
        <v>250</v>
      </c>
      <c r="G222" t="s">
        <v>280</v>
      </c>
      <c r="H222" t="s">
        <v>852</v>
      </c>
      <c r="I222" t="s">
        <v>289</v>
      </c>
      <c r="J222" t="s">
        <v>302</v>
      </c>
      <c r="K222" t="s">
        <v>301</v>
      </c>
      <c r="M222" t="s">
        <v>345</v>
      </c>
      <c r="O222" t="s">
        <v>409</v>
      </c>
    </row>
  </sheetData>
  <mergeCells count="4">
    <mergeCell ref="I7:K8"/>
    <mergeCell ref="F7:H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58BA-DA2D-4EB4-88F7-1D598136501C}">
  <sheetPr codeName="Sheet3"/>
  <dimension ref="A1:P25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0" sqref="A10"/>
      <selection pane="bottomRight" activeCell="B1" sqref="B1"/>
    </sheetView>
  </sheetViews>
  <sheetFormatPr defaultRowHeight="14.25"/>
  <cols>
    <col min="1" max="1" width="11" customWidth="1"/>
    <col min="2" max="2" width="36.5" style="1" customWidth="1"/>
    <col min="3" max="3" width="10.25" hidden="1" customWidth="1"/>
    <col min="4" max="4" width="20.625" hidden="1" customWidth="1"/>
    <col min="5" max="5" width="20.625" customWidth="1"/>
    <col min="6" max="6" width="29.125" bestFit="1" customWidth="1"/>
    <col min="7" max="7" width="18.375" bestFit="1" customWidth="1"/>
    <col min="8" max="8" width="20.375" bestFit="1" customWidth="1"/>
    <col min="9" max="10" width="21.5" bestFit="1" customWidth="1"/>
    <col min="11" max="11" width="22.5" bestFit="1" customWidth="1"/>
    <col min="12" max="12" width="20.25" bestFit="1" customWidth="1"/>
    <col min="13" max="13" width="31.625" bestFit="1" customWidth="1"/>
    <col min="14" max="16" width="20.375" bestFit="1" customWidth="1"/>
    <col min="17" max="17" width="17.375" bestFit="1" customWidth="1"/>
  </cols>
  <sheetData>
    <row r="1" spans="1:16">
      <c r="A1" t="s">
        <v>237</v>
      </c>
    </row>
    <row r="2" spans="1:16">
      <c r="A2" t="s">
        <v>3</v>
      </c>
      <c r="B2" s="1" t="s">
        <v>93</v>
      </c>
    </row>
    <row r="3" spans="1:16">
      <c r="A3" t="s">
        <v>1</v>
      </c>
      <c r="B3" s="1" t="s">
        <v>93</v>
      </c>
    </row>
    <row r="4" spans="1:16">
      <c r="A4" t="s">
        <v>2</v>
      </c>
      <c r="B4" s="1" t="s">
        <v>10</v>
      </c>
    </row>
    <row r="5" spans="1:16">
      <c r="A5" t="s">
        <v>17</v>
      </c>
      <c r="B5" s="2" t="s">
        <v>94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7</v>
      </c>
      <c r="G10" s="3" t="s">
        <v>8</v>
      </c>
      <c r="H10" s="3" t="s">
        <v>86</v>
      </c>
      <c r="I10" s="3" t="s">
        <v>11</v>
      </c>
      <c r="J10" s="3" t="s">
        <v>12</v>
      </c>
      <c r="K10" s="3" t="s">
        <v>13</v>
      </c>
      <c r="L10" s="4" t="s">
        <v>4</v>
      </c>
      <c r="M10" s="4" t="s">
        <v>5</v>
      </c>
      <c r="N10" s="4" t="s">
        <v>14</v>
      </c>
      <c r="O10" s="4" t="s">
        <v>20</v>
      </c>
      <c r="P10" s="4" t="s">
        <v>19</v>
      </c>
    </row>
    <row r="11" spans="1:16" ht="15" thickTop="1"/>
    <row r="13" spans="1:16">
      <c r="B13" t="s">
        <v>89</v>
      </c>
      <c r="E13" t="s">
        <v>58</v>
      </c>
      <c r="G13" t="s">
        <v>59</v>
      </c>
      <c r="J13" t="s">
        <v>82</v>
      </c>
      <c r="K13" t="s">
        <v>92</v>
      </c>
      <c r="M13" t="s">
        <v>69</v>
      </c>
    </row>
    <row r="14" spans="1:16">
      <c r="B14" t="s">
        <v>62</v>
      </c>
      <c r="E14" t="s">
        <v>60</v>
      </c>
      <c r="G14" t="s">
        <v>64</v>
      </c>
      <c r="J14" t="s">
        <v>83</v>
      </c>
      <c r="K14" t="s">
        <v>81</v>
      </c>
      <c r="M14" t="s">
        <v>70</v>
      </c>
    </row>
    <row r="15" spans="1:16">
      <c r="B15" t="s">
        <v>61</v>
      </c>
      <c r="E15" t="s">
        <v>60</v>
      </c>
      <c r="G15" t="s">
        <v>39</v>
      </c>
      <c r="J15" t="s">
        <v>83</v>
      </c>
      <c r="K15" t="s">
        <v>81</v>
      </c>
      <c r="M15" t="s">
        <v>71</v>
      </c>
    </row>
    <row r="16" spans="1:16">
      <c r="B16" t="s">
        <v>50</v>
      </c>
      <c r="E16" t="s">
        <v>57</v>
      </c>
      <c r="G16" t="s">
        <v>44</v>
      </c>
      <c r="J16" t="s">
        <v>84</v>
      </c>
      <c r="K16" t="s">
        <v>81</v>
      </c>
      <c r="M16" t="s">
        <v>72</v>
      </c>
    </row>
    <row r="17" spans="2:13">
      <c r="B17" t="s">
        <v>51</v>
      </c>
      <c r="E17" t="s">
        <v>57</v>
      </c>
      <c r="G17" t="s">
        <v>65</v>
      </c>
      <c r="J17" t="s">
        <v>85</v>
      </c>
      <c r="K17" t="s">
        <v>81</v>
      </c>
      <c r="M17" t="s">
        <v>73</v>
      </c>
    </row>
    <row r="18" spans="2:13">
      <c r="B18" t="s">
        <v>52</v>
      </c>
      <c r="E18" t="s">
        <v>57</v>
      </c>
      <c r="G18" t="s">
        <v>64</v>
      </c>
      <c r="J18" t="s">
        <v>85</v>
      </c>
      <c r="K18" t="s">
        <v>92</v>
      </c>
      <c r="M18" t="s">
        <v>74</v>
      </c>
    </row>
    <row r="19" spans="2:13">
      <c r="B19" t="s">
        <v>53</v>
      </c>
      <c r="E19" t="s">
        <v>57</v>
      </c>
      <c r="G19" t="s">
        <v>39</v>
      </c>
      <c r="J19" t="s">
        <v>85</v>
      </c>
      <c r="K19" t="s">
        <v>92</v>
      </c>
      <c r="M19" t="s">
        <v>75</v>
      </c>
    </row>
    <row r="20" spans="2:13">
      <c r="B20" t="s">
        <v>54</v>
      </c>
      <c r="E20" t="s">
        <v>57</v>
      </c>
      <c r="G20" t="s">
        <v>66</v>
      </c>
      <c r="J20" t="s">
        <v>85</v>
      </c>
      <c r="K20" t="s">
        <v>92</v>
      </c>
      <c r="M20" t="s">
        <v>76</v>
      </c>
    </row>
    <row r="21" spans="2:13">
      <c r="B21" t="s">
        <v>55</v>
      </c>
      <c r="E21" t="s">
        <v>57</v>
      </c>
      <c r="G21" t="s">
        <v>68</v>
      </c>
      <c r="J21" t="s">
        <v>85</v>
      </c>
      <c r="K21" t="s">
        <v>80</v>
      </c>
      <c r="M21" t="s">
        <v>77</v>
      </c>
    </row>
    <row r="22" spans="2:13">
      <c r="B22" t="s">
        <v>56</v>
      </c>
      <c r="E22" t="s">
        <v>57</v>
      </c>
      <c r="G22" t="s">
        <v>67</v>
      </c>
      <c r="J22" t="s">
        <v>96</v>
      </c>
      <c r="K22" t="s">
        <v>80</v>
      </c>
      <c r="M22" t="s">
        <v>78</v>
      </c>
    </row>
    <row r="23" spans="2:13">
      <c r="B23" t="s">
        <v>99</v>
      </c>
      <c r="E23" t="s">
        <v>57</v>
      </c>
      <c r="G23" t="s">
        <v>67</v>
      </c>
      <c r="J23" t="s">
        <v>96</v>
      </c>
      <c r="K23" t="s">
        <v>80</v>
      </c>
      <c r="L23" t="s">
        <v>98</v>
      </c>
      <c r="M23" t="s">
        <v>78</v>
      </c>
    </row>
    <row r="24" spans="2:13">
      <c r="B24" t="s">
        <v>100</v>
      </c>
      <c r="E24" t="s">
        <v>57</v>
      </c>
      <c r="G24" t="s">
        <v>67</v>
      </c>
      <c r="J24" t="s">
        <v>96</v>
      </c>
      <c r="K24" t="s">
        <v>80</v>
      </c>
      <c r="L24" t="s">
        <v>97</v>
      </c>
      <c r="M24" t="s">
        <v>78</v>
      </c>
    </row>
    <row r="25" spans="2:13">
      <c r="B25" t="s">
        <v>101</v>
      </c>
      <c r="E25" t="s">
        <v>57</v>
      </c>
      <c r="G25" t="s">
        <v>67</v>
      </c>
      <c r="J25" t="s">
        <v>96</v>
      </c>
      <c r="K25" t="s">
        <v>80</v>
      </c>
      <c r="L25" t="s">
        <v>95</v>
      </c>
      <c r="M25" t="s">
        <v>78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20BD-759B-4FC7-8B0C-7DED48CD1B7E}">
  <sheetPr codeName="Sheet8"/>
  <dimension ref="A1:P45"/>
  <sheetViews>
    <sheetView zoomScaleNormal="100" workbookViewId="0">
      <selection activeCell="F8" sqref="F8:M8"/>
    </sheetView>
  </sheetViews>
  <sheetFormatPr defaultRowHeight="14.25" outlineLevelCol="1"/>
  <cols>
    <col min="1" max="1" width="11" bestFit="1" customWidth="1"/>
    <col min="2" max="2" width="37.125" style="1" customWidth="1"/>
    <col min="3" max="3" width="38.375" hidden="1" customWidth="1" outlineLevel="1"/>
    <col min="4" max="4" width="11.5" hidden="1" customWidth="1" outlineLevel="1"/>
    <col min="5" max="5" width="36.125" customWidth="1" collapsed="1"/>
    <col min="6" max="6" width="20.625" customWidth="1"/>
    <col min="7" max="7" width="20.625" style="2" customWidth="1"/>
    <col min="8" max="13" width="20.625" customWidth="1"/>
    <col min="14" max="14" width="31.625" bestFit="1" customWidth="1"/>
    <col min="15" max="15" width="31.625" customWidth="1"/>
    <col min="16" max="16" width="24.125" customWidth="1"/>
    <col min="17" max="17" width="17.375" bestFit="1" customWidth="1"/>
  </cols>
  <sheetData>
    <row r="1" spans="1:16">
      <c r="A1" t="s">
        <v>237</v>
      </c>
      <c r="B1" s="1" t="s">
        <v>528</v>
      </c>
    </row>
    <row r="2" spans="1:16">
      <c r="A2" t="s">
        <v>3</v>
      </c>
      <c r="B2" s="1" t="s">
        <v>753</v>
      </c>
    </row>
    <row r="3" spans="1:16">
      <c r="A3" t="s">
        <v>1</v>
      </c>
      <c r="B3" s="1" t="s">
        <v>753</v>
      </c>
    </row>
    <row r="4" spans="1:16">
      <c r="A4" t="s">
        <v>2</v>
      </c>
      <c r="B4" s="1" t="s">
        <v>235</v>
      </c>
    </row>
    <row r="5" spans="1:16">
      <c r="A5" t="s">
        <v>17</v>
      </c>
      <c r="B5" s="2" t="s">
        <v>18</v>
      </c>
    </row>
    <row r="8" spans="1:16">
      <c r="F8" t="s">
        <v>754</v>
      </c>
      <c r="G8" s="2" t="s">
        <v>755</v>
      </c>
      <c r="H8" t="s">
        <v>756</v>
      </c>
      <c r="I8" s="5" t="s">
        <v>757</v>
      </c>
      <c r="J8" s="5" t="s">
        <v>758</v>
      </c>
      <c r="K8" s="5" t="s">
        <v>759</v>
      </c>
      <c r="L8" s="5" t="s">
        <v>760</v>
      </c>
      <c r="M8" t="s">
        <v>193</v>
      </c>
    </row>
    <row r="9" spans="1:16" ht="15" thickBot="1"/>
    <row r="10" spans="1:16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14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895</v>
      </c>
      <c r="O10" s="4" t="s">
        <v>894</v>
      </c>
      <c r="P10" s="4" t="s">
        <v>882</v>
      </c>
    </row>
    <row r="11" spans="1:16" ht="15" thickTop="1">
      <c r="B11" s="7"/>
      <c r="E11" s="5"/>
      <c r="M11" s="5"/>
      <c r="N11" s="7"/>
      <c r="O11" s="7"/>
    </row>
    <row r="12" spans="1:16">
      <c r="B12" s="7" t="s">
        <v>761</v>
      </c>
      <c r="E12" s="7" t="s">
        <v>798</v>
      </c>
      <c r="F12" t="s">
        <v>787</v>
      </c>
      <c r="G12" s="2" t="s">
        <v>896</v>
      </c>
      <c r="H12" t="s">
        <v>769</v>
      </c>
      <c r="I12" t="s">
        <v>774</v>
      </c>
      <c r="J12" t="s">
        <v>767</v>
      </c>
      <c r="K12" t="s">
        <v>780</v>
      </c>
      <c r="L12" t="s">
        <v>768</v>
      </c>
      <c r="M12" s="5" t="s">
        <v>793</v>
      </c>
      <c r="N12" s="7" t="s">
        <v>761</v>
      </c>
      <c r="O12" s="7" t="s">
        <v>786</v>
      </c>
      <c r="P12" t="s">
        <v>517</v>
      </c>
    </row>
    <row r="13" spans="1:16">
      <c r="B13" s="7" t="s">
        <v>762</v>
      </c>
      <c r="E13" s="7" t="s">
        <v>799</v>
      </c>
      <c r="F13" t="s">
        <v>788</v>
      </c>
      <c r="G13" s="2" t="s">
        <v>897</v>
      </c>
      <c r="H13" t="s">
        <v>770</v>
      </c>
      <c r="I13" t="s">
        <v>775</v>
      </c>
      <c r="J13" t="s">
        <v>767</v>
      </c>
      <c r="K13" t="s">
        <v>781</v>
      </c>
      <c r="L13" t="s">
        <v>768</v>
      </c>
      <c r="M13" s="5" t="s">
        <v>794</v>
      </c>
      <c r="N13" s="7" t="s">
        <v>762</v>
      </c>
      <c r="O13" s="7" t="s">
        <v>786</v>
      </c>
      <c r="P13" t="s">
        <v>517</v>
      </c>
    </row>
    <row r="14" spans="1:16">
      <c r="B14" s="7" t="s">
        <v>763</v>
      </c>
      <c r="E14" s="7" t="s">
        <v>800</v>
      </c>
      <c r="F14" t="s">
        <v>789</v>
      </c>
      <c r="G14" s="2" t="s">
        <v>898</v>
      </c>
      <c r="H14" t="s">
        <v>771</v>
      </c>
      <c r="I14" t="s">
        <v>776</v>
      </c>
      <c r="J14" t="s">
        <v>767</v>
      </c>
      <c r="K14" t="s">
        <v>782</v>
      </c>
      <c r="L14" t="s">
        <v>768</v>
      </c>
      <c r="M14" s="5" t="s">
        <v>794</v>
      </c>
      <c r="N14" s="7" t="s">
        <v>763</v>
      </c>
      <c r="O14" s="7" t="s">
        <v>786</v>
      </c>
      <c r="P14" t="s">
        <v>517</v>
      </c>
    </row>
    <row r="15" spans="1:16">
      <c r="B15" s="7" t="s">
        <v>764</v>
      </c>
      <c r="E15" s="7" t="s">
        <v>803</v>
      </c>
      <c r="F15" t="s">
        <v>790</v>
      </c>
      <c r="G15" s="2" t="s">
        <v>899</v>
      </c>
      <c r="H15" t="s">
        <v>772</v>
      </c>
      <c r="I15" t="s">
        <v>777</v>
      </c>
      <c r="J15" t="s">
        <v>767</v>
      </c>
      <c r="K15" t="s">
        <v>783</v>
      </c>
      <c r="L15" t="s">
        <v>804</v>
      </c>
      <c r="M15" s="5" t="s">
        <v>795</v>
      </c>
      <c r="N15" s="7" t="s">
        <v>764</v>
      </c>
      <c r="O15" s="7" t="s">
        <v>786</v>
      </c>
      <c r="P15" t="s">
        <v>517</v>
      </c>
    </row>
    <row r="16" spans="1:16">
      <c r="B16" s="7" t="s">
        <v>765</v>
      </c>
      <c r="E16" s="7" t="s">
        <v>802</v>
      </c>
      <c r="F16" t="s">
        <v>791</v>
      </c>
      <c r="G16" s="2" t="s">
        <v>900</v>
      </c>
      <c r="H16" t="s">
        <v>773</v>
      </c>
      <c r="I16" t="s">
        <v>778</v>
      </c>
      <c r="J16" t="s">
        <v>767</v>
      </c>
      <c r="K16" t="s">
        <v>784</v>
      </c>
      <c r="L16" t="s">
        <v>804</v>
      </c>
      <c r="M16" s="5" t="s">
        <v>796</v>
      </c>
      <c r="N16" s="7" t="s">
        <v>765</v>
      </c>
      <c r="O16" s="7" t="s">
        <v>786</v>
      </c>
      <c r="P16" t="s">
        <v>517</v>
      </c>
    </row>
    <row r="17" spans="2:16">
      <c r="B17" s="1" t="s">
        <v>766</v>
      </c>
      <c r="E17" s="1" t="s">
        <v>801</v>
      </c>
      <c r="F17" t="s">
        <v>792</v>
      </c>
      <c r="G17" s="2" t="s">
        <v>901</v>
      </c>
      <c r="H17" t="s">
        <v>771</v>
      </c>
      <c r="I17" t="s">
        <v>779</v>
      </c>
      <c r="J17" t="s">
        <v>767</v>
      </c>
      <c r="K17" t="s">
        <v>785</v>
      </c>
      <c r="L17" t="s">
        <v>805</v>
      </c>
      <c r="M17" t="s">
        <v>797</v>
      </c>
      <c r="N17" s="1" t="s">
        <v>766</v>
      </c>
      <c r="O17" s="7" t="s">
        <v>786</v>
      </c>
      <c r="P17" t="s">
        <v>517</v>
      </c>
    </row>
    <row r="18" spans="2:16">
      <c r="B18"/>
      <c r="M18" s="5"/>
    </row>
    <row r="19" spans="2:16">
      <c r="B19"/>
      <c r="M19" s="5"/>
    </row>
    <row r="20" spans="2:16">
      <c r="B20" t="s">
        <v>886</v>
      </c>
      <c r="E20" t="s">
        <v>887</v>
      </c>
      <c r="F20" t="s">
        <v>888</v>
      </c>
      <c r="G20" s="2" t="s">
        <v>902</v>
      </c>
      <c r="H20" t="s">
        <v>889</v>
      </c>
      <c r="I20" t="s">
        <v>775</v>
      </c>
      <c r="J20" t="s">
        <v>890</v>
      </c>
      <c r="K20" s="19" t="s">
        <v>781</v>
      </c>
      <c r="L20" t="s">
        <v>891</v>
      </c>
      <c r="M20" s="5" t="s">
        <v>892</v>
      </c>
      <c r="N20" t="s">
        <v>887</v>
      </c>
      <c r="O20" t="s">
        <v>893</v>
      </c>
      <c r="P20" t="s">
        <v>517</v>
      </c>
    </row>
    <row r="21" spans="2:16">
      <c r="B21"/>
      <c r="M21" s="5"/>
    </row>
    <row r="22" spans="2:16">
      <c r="B22"/>
      <c r="M22" s="5"/>
    </row>
    <row r="23" spans="2:16">
      <c r="B23"/>
      <c r="M23" s="5"/>
    </row>
    <row r="24" spans="2:16">
      <c r="B24"/>
      <c r="M24" s="5"/>
    </row>
    <row r="25" spans="2:16">
      <c r="B25"/>
      <c r="M25" s="5"/>
    </row>
    <row r="26" spans="2:16">
      <c r="B26"/>
      <c r="M26" s="5"/>
    </row>
    <row r="27" spans="2:16">
      <c r="B27"/>
      <c r="M27" s="5"/>
    </row>
    <row r="29" spans="2:16">
      <c r="B29"/>
      <c r="E29" s="1"/>
      <c r="M29" s="5"/>
    </row>
    <row r="30" spans="2:16">
      <c r="B30"/>
      <c r="E30" s="1"/>
      <c r="M30" s="5"/>
    </row>
    <row r="31" spans="2:16">
      <c r="B31"/>
      <c r="M31" s="5"/>
    </row>
    <row r="32" spans="2:16">
      <c r="B32"/>
      <c r="M32" s="5"/>
    </row>
    <row r="33" spans="2:13">
      <c r="B33"/>
      <c r="G33" s="15"/>
      <c r="M33" s="5"/>
    </row>
    <row r="34" spans="2:13">
      <c r="B34"/>
      <c r="G34" s="15"/>
      <c r="M34" s="5"/>
    </row>
    <row r="35" spans="2:13">
      <c r="B35"/>
      <c r="G35" s="15"/>
      <c r="M35" s="5"/>
    </row>
    <row r="36" spans="2:13">
      <c r="B36"/>
      <c r="G36" s="15"/>
      <c r="M36" s="5"/>
    </row>
    <row r="37" spans="2:13">
      <c r="B37"/>
      <c r="E37" s="1"/>
      <c r="G37" s="15"/>
      <c r="M37" s="5"/>
    </row>
    <row r="38" spans="2:13">
      <c r="B38"/>
      <c r="E38" s="1"/>
      <c r="G38" s="15"/>
      <c r="M38" s="5"/>
    </row>
    <row r="39" spans="2:13">
      <c r="G39" s="16"/>
    </row>
    <row r="40" spans="2:13">
      <c r="G40" s="16"/>
    </row>
    <row r="41" spans="2:13">
      <c r="G41" s="16"/>
    </row>
    <row r="42" spans="2:13">
      <c r="G42" s="16"/>
    </row>
    <row r="43" spans="2:13">
      <c r="G43" s="16"/>
    </row>
    <row r="44" spans="2:13">
      <c r="G44" s="16"/>
    </row>
    <row r="45" spans="2:13">
      <c r="G45" s="16"/>
    </row>
  </sheetData>
  <phoneticPr fontId="1" type="noConversion"/>
  <pageMargins left="0.7" right="0.7" top="0.75" bottom="0.75" header="0.3" footer="0.3"/>
  <pageSetup paperSize="9" orientation="portrait" horizontalDpi="203" verticalDpi="203" r:id="rId1"/>
  <ignoredErrors>
    <ignoredError sqref="G12:G20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73A3D-4420-4BC1-8194-6E45AFFEE4DC}">
  <sheetPr codeName="Sheet4"/>
  <dimension ref="A1:R64"/>
  <sheetViews>
    <sheetView zoomScaleNormal="100" workbookViewId="0">
      <pane xSplit="1" ySplit="10" topLeftCell="B49" activePane="bottomRight" state="frozen"/>
      <selection pane="topRight" activeCell="B1" sqref="B1"/>
      <selection pane="bottomLeft" activeCell="A11" sqref="A11"/>
      <selection pane="bottomRight" activeCell="F71" sqref="F71"/>
    </sheetView>
  </sheetViews>
  <sheetFormatPr defaultRowHeight="14.25" outlineLevelCol="1"/>
  <cols>
    <col min="1" max="1" width="11" bestFit="1" customWidth="1"/>
    <col min="2" max="2" width="36.5" style="1" customWidth="1"/>
    <col min="3" max="3" width="41" customWidth="1" outlineLevel="1"/>
    <col min="4" max="4" width="11.5" customWidth="1" outlineLevel="1"/>
    <col min="5" max="5" width="36.125" customWidth="1"/>
    <col min="6" max="6" width="25.375" customWidth="1"/>
    <col min="7" max="8" width="21.5" customWidth="1"/>
    <col min="9" max="9" width="29.625" customWidth="1"/>
    <col min="10" max="13" width="22.5" customWidth="1"/>
    <col min="14" max="14" width="31.625" bestFit="1" customWidth="1"/>
    <col min="15" max="16" width="31.625" customWidth="1"/>
    <col min="17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751</v>
      </c>
    </row>
    <row r="3" spans="1:18">
      <c r="A3" t="s">
        <v>1</v>
      </c>
      <c r="B3" s="1" t="s">
        <v>752</v>
      </c>
    </row>
    <row r="4" spans="1:18">
      <c r="A4" t="s">
        <v>2</v>
      </c>
    </row>
    <row r="5" spans="1:18">
      <c r="A5" t="s">
        <v>17</v>
      </c>
      <c r="B5" s="2" t="s">
        <v>752</v>
      </c>
    </row>
    <row r="8" spans="1:18">
      <c r="F8" t="s">
        <v>186</v>
      </c>
      <c r="G8" t="s">
        <v>187</v>
      </c>
      <c r="H8" t="s">
        <v>188</v>
      </c>
      <c r="I8" t="s">
        <v>189</v>
      </c>
      <c r="J8" t="s">
        <v>190</v>
      </c>
      <c r="K8" t="s">
        <v>191</v>
      </c>
      <c r="L8" t="s">
        <v>192</v>
      </c>
      <c r="M8" t="s">
        <v>193</v>
      </c>
    </row>
    <row r="9" spans="1:18" ht="15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s="3" t="s">
        <v>6</v>
      </c>
      <c r="F10" s="3" t="s">
        <v>178</v>
      </c>
      <c r="G10" s="3" t="s">
        <v>179</v>
      </c>
      <c r="H10" s="3" t="s">
        <v>180</v>
      </c>
      <c r="I10" s="3" t="s">
        <v>181</v>
      </c>
      <c r="J10" s="3" t="s">
        <v>182</v>
      </c>
      <c r="K10" s="3" t="s">
        <v>183</v>
      </c>
      <c r="L10" s="3" t="s">
        <v>184</v>
      </c>
      <c r="M10" s="3" t="s">
        <v>185</v>
      </c>
      <c r="N10" s="4" t="s">
        <v>856</v>
      </c>
      <c r="O10" s="4" t="s">
        <v>906</v>
      </c>
      <c r="P10" s="4" t="s">
        <v>907</v>
      </c>
      <c r="Q10" s="4" t="s">
        <v>859</v>
      </c>
      <c r="R10" s="4" t="s">
        <v>908</v>
      </c>
    </row>
    <row r="11" spans="1:18" ht="15" thickTop="1">
      <c r="B11" s="7" t="s">
        <v>194</v>
      </c>
      <c r="E11" s="5" t="s">
        <v>194</v>
      </c>
      <c r="F11" t="s">
        <v>209</v>
      </c>
      <c r="G11" t="s">
        <v>200</v>
      </c>
      <c r="H11" t="s">
        <v>202</v>
      </c>
      <c r="I11" t="s">
        <v>211</v>
      </c>
      <c r="J11" t="s">
        <v>210</v>
      </c>
      <c r="K11" t="s">
        <v>207</v>
      </c>
      <c r="L11" t="s">
        <v>204</v>
      </c>
      <c r="M11" s="5" t="s">
        <v>213</v>
      </c>
      <c r="N11" s="7" t="s">
        <v>21</v>
      </c>
      <c r="O11" s="7" t="s">
        <v>225</v>
      </c>
      <c r="P11" s="7" t="s">
        <v>518</v>
      </c>
      <c r="Q11" t="s">
        <v>234</v>
      </c>
      <c r="R11" t="s">
        <v>208</v>
      </c>
    </row>
    <row r="12" spans="1:18">
      <c r="B12" s="7" t="s">
        <v>195</v>
      </c>
      <c r="E12" s="5" t="s">
        <v>195</v>
      </c>
      <c r="F12" t="s">
        <v>209</v>
      </c>
      <c r="G12" t="s">
        <v>200</v>
      </c>
      <c r="H12" t="s">
        <v>202</v>
      </c>
      <c r="I12" t="s">
        <v>211</v>
      </c>
      <c r="J12" t="s">
        <v>210</v>
      </c>
      <c r="K12" t="s">
        <v>207</v>
      </c>
      <c r="L12" t="s">
        <v>205</v>
      </c>
      <c r="M12" s="5" t="s">
        <v>213</v>
      </c>
      <c r="N12" s="7" t="s">
        <v>22</v>
      </c>
      <c r="O12" s="7" t="s">
        <v>225</v>
      </c>
      <c r="P12" s="7" t="s">
        <v>518</v>
      </c>
      <c r="Q12" t="s">
        <v>234</v>
      </c>
      <c r="R12" t="s">
        <v>208</v>
      </c>
    </row>
    <row r="13" spans="1:18">
      <c r="B13" s="7" t="s">
        <v>909</v>
      </c>
      <c r="E13" s="7" t="s">
        <v>905</v>
      </c>
      <c r="F13" t="s">
        <v>209</v>
      </c>
      <c r="G13" t="s">
        <v>200</v>
      </c>
      <c r="H13" t="s">
        <v>202</v>
      </c>
      <c r="I13" t="s">
        <v>211</v>
      </c>
      <c r="J13" t="s">
        <v>210</v>
      </c>
      <c r="K13" t="s">
        <v>206</v>
      </c>
      <c r="L13" t="s">
        <v>205</v>
      </c>
      <c r="M13" s="5" t="s">
        <v>213</v>
      </c>
      <c r="N13" s="7" t="s">
        <v>905</v>
      </c>
      <c r="O13" s="7" t="s">
        <v>225</v>
      </c>
      <c r="P13" s="7" t="s">
        <v>518</v>
      </c>
      <c r="Q13" t="s">
        <v>517</v>
      </c>
      <c r="R13" t="s">
        <v>208</v>
      </c>
    </row>
    <row r="14" spans="1:18">
      <c r="B14" s="7" t="s">
        <v>196</v>
      </c>
      <c r="E14" s="5" t="s">
        <v>196</v>
      </c>
      <c r="F14" t="s">
        <v>209</v>
      </c>
      <c r="G14" t="s">
        <v>200</v>
      </c>
      <c r="H14" t="s">
        <v>202</v>
      </c>
      <c r="I14" t="s">
        <v>211</v>
      </c>
      <c r="J14" t="s">
        <v>210</v>
      </c>
      <c r="K14" t="s">
        <v>207</v>
      </c>
      <c r="L14" t="s">
        <v>205</v>
      </c>
      <c r="M14" s="5" t="s">
        <v>213</v>
      </c>
      <c r="N14" s="7" t="s">
        <v>23</v>
      </c>
      <c r="O14" s="7" t="s">
        <v>225</v>
      </c>
      <c r="P14" s="7" t="s">
        <v>518</v>
      </c>
      <c r="Q14" t="s">
        <v>234</v>
      </c>
      <c r="R14" t="s">
        <v>208</v>
      </c>
    </row>
    <row r="15" spans="1:18">
      <c r="B15" s="7" t="s">
        <v>197</v>
      </c>
      <c r="E15" s="5" t="s">
        <v>197</v>
      </c>
      <c r="F15" t="s">
        <v>209</v>
      </c>
      <c r="G15" t="s">
        <v>200</v>
      </c>
      <c r="H15" t="s">
        <v>202</v>
      </c>
      <c r="I15" t="s">
        <v>211</v>
      </c>
      <c r="J15" t="s">
        <v>210</v>
      </c>
      <c r="K15" t="s">
        <v>206</v>
      </c>
      <c r="L15" t="s">
        <v>205</v>
      </c>
      <c r="M15" s="5" t="s">
        <v>213</v>
      </c>
      <c r="N15" s="7" t="s">
        <v>24</v>
      </c>
      <c r="O15" s="7" t="s">
        <v>225</v>
      </c>
      <c r="P15" s="7" t="s">
        <v>518</v>
      </c>
      <c r="Q15" t="s">
        <v>234</v>
      </c>
      <c r="R15" t="s">
        <v>208</v>
      </c>
    </row>
    <row r="16" spans="1:18">
      <c r="B16" s="7" t="s">
        <v>198</v>
      </c>
      <c r="E16" s="5" t="s">
        <v>198</v>
      </c>
      <c r="F16" t="s">
        <v>209</v>
      </c>
      <c r="G16" t="s">
        <v>200</v>
      </c>
      <c r="H16" t="s">
        <v>202</v>
      </c>
      <c r="I16" t="s">
        <v>212</v>
      </c>
      <c r="J16" t="s">
        <v>203</v>
      </c>
      <c r="K16" t="s">
        <v>206</v>
      </c>
      <c r="L16" t="s">
        <v>205</v>
      </c>
      <c r="M16" s="5" t="s">
        <v>213</v>
      </c>
      <c r="N16" s="7" t="s">
        <v>25</v>
      </c>
      <c r="O16" s="7" t="s">
        <v>225</v>
      </c>
      <c r="P16" s="7" t="s">
        <v>518</v>
      </c>
      <c r="Q16" t="s">
        <v>234</v>
      </c>
      <c r="R16" t="s">
        <v>208</v>
      </c>
    </row>
    <row r="17" spans="2:18">
      <c r="B17" s="7" t="s">
        <v>199</v>
      </c>
      <c r="E17" s="5" t="s">
        <v>199</v>
      </c>
      <c r="F17" t="s">
        <v>209</v>
      </c>
      <c r="G17" t="s">
        <v>201</v>
      </c>
      <c r="H17" t="s">
        <v>202</v>
      </c>
      <c r="I17" t="s">
        <v>212</v>
      </c>
      <c r="J17" t="s">
        <v>203</v>
      </c>
      <c r="K17" t="s">
        <v>206</v>
      </c>
      <c r="L17" t="s">
        <v>205</v>
      </c>
      <c r="M17" s="5" t="s">
        <v>213</v>
      </c>
      <c r="N17" s="7" t="s">
        <v>26</v>
      </c>
      <c r="O17" s="7" t="s">
        <v>225</v>
      </c>
      <c r="P17" s="7" t="s">
        <v>518</v>
      </c>
      <c r="Q17" t="s">
        <v>234</v>
      </c>
      <c r="R17" t="s">
        <v>208</v>
      </c>
    </row>
    <row r="18" spans="2:18">
      <c r="B18" s="7" t="s">
        <v>840</v>
      </c>
      <c r="E18" s="5" t="s">
        <v>840</v>
      </c>
      <c r="F18" t="s">
        <v>209</v>
      </c>
      <c r="G18" t="s">
        <v>841</v>
      </c>
      <c r="H18" t="s">
        <v>824</v>
      </c>
      <c r="I18" t="s">
        <v>842</v>
      </c>
      <c r="J18" t="s">
        <v>203</v>
      </c>
      <c r="K18" t="s">
        <v>206</v>
      </c>
      <c r="L18" t="s">
        <v>205</v>
      </c>
      <c r="M18" s="5" t="s">
        <v>214</v>
      </c>
      <c r="N18" s="7" t="s">
        <v>843</v>
      </c>
      <c r="O18" s="7" t="s">
        <v>225</v>
      </c>
      <c r="P18" s="7" t="s">
        <v>518</v>
      </c>
      <c r="Q18" t="s">
        <v>234</v>
      </c>
      <c r="R18" t="s">
        <v>208</v>
      </c>
    </row>
    <row r="20" spans="2:18">
      <c r="B20" t="s">
        <v>69</v>
      </c>
      <c r="E20" t="s">
        <v>69</v>
      </c>
      <c r="F20" t="s">
        <v>229</v>
      </c>
      <c r="G20" t="s">
        <v>82</v>
      </c>
      <c r="H20" t="s">
        <v>824</v>
      </c>
      <c r="I20" t="s">
        <v>215</v>
      </c>
      <c r="J20" t="s">
        <v>217</v>
      </c>
      <c r="K20" t="s">
        <v>206</v>
      </c>
      <c r="L20" t="s">
        <v>205</v>
      </c>
      <c r="M20" s="5" t="s">
        <v>214</v>
      </c>
      <c r="N20" t="s">
        <v>69</v>
      </c>
      <c r="O20" t="s">
        <v>226</v>
      </c>
      <c r="P20" s="7" t="s">
        <v>518</v>
      </c>
      <c r="Q20" t="s">
        <v>234</v>
      </c>
      <c r="R20" t="s">
        <v>57</v>
      </c>
    </row>
    <row r="21" spans="2:18">
      <c r="B21" t="s">
        <v>70</v>
      </c>
      <c r="E21" t="s">
        <v>231</v>
      </c>
      <c r="F21" t="s">
        <v>229</v>
      </c>
      <c r="G21" t="s">
        <v>83</v>
      </c>
      <c r="H21" t="s">
        <v>202</v>
      </c>
      <c r="I21" t="s">
        <v>218</v>
      </c>
      <c r="J21" t="s">
        <v>216</v>
      </c>
      <c r="K21" t="s">
        <v>206</v>
      </c>
      <c r="L21" t="s">
        <v>205</v>
      </c>
      <c r="M21" s="5" t="s">
        <v>224</v>
      </c>
      <c r="N21" t="s">
        <v>70</v>
      </c>
      <c r="O21" t="s">
        <v>941</v>
      </c>
      <c r="P21" s="7" t="s">
        <v>518</v>
      </c>
      <c r="Q21" t="s">
        <v>234</v>
      </c>
      <c r="R21" t="s">
        <v>57</v>
      </c>
    </row>
    <row r="22" spans="2:18">
      <c r="B22" t="s">
        <v>71</v>
      </c>
      <c r="E22" t="s">
        <v>230</v>
      </c>
      <c r="F22" t="s">
        <v>229</v>
      </c>
      <c r="G22" t="s">
        <v>83</v>
      </c>
      <c r="H22" t="s">
        <v>202</v>
      </c>
      <c r="I22" t="s">
        <v>218</v>
      </c>
      <c r="J22" t="s">
        <v>216</v>
      </c>
      <c r="K22" t="s">
        <v>206</v>
      </c>
      <c r="L22" t="s">
        <v>205</v>
      </c>
      <c r="M22" s="5" t="s">
        <v>224</v>
      </c>
      <c r="N22" t="s">
        <v>71</v>
      </c>
      <c r="O22" s="7" t="s">
        <v>228</v>
      </c>
      <c r="P22" s="7" t="s">
        <v>518</v>
      </c>
      <c r="Q22" t="s">
        <v>234</v>
      </c>
      <c r="R22" t="s">
        <v>57</v>
      </c>
    </row>
    <row r="23" spans="2:18">
      <c r="B23" t="s">
        <v>72</v>
      </c>
      <c r="E23" t="s">
        <v>72</v>
      </c>
      <c r="F23" t="s">
        <v>229</v>
      </c>
      <c r="G23" t="s">
        <v>84</v>
      </c>
      <c r="H23" t="s">
        <v>202</v>
      </c>
      <c r="I23" t="s">
        <v>220</v>
      </c>
      <c r="J23" t="s">
        <v>219</v>
      </c>
      <c r="K23" t="s">
        <v>206</v>
      </c>
      <c r="L23" t="s">
        <v>205</v>
      </c>
      <c r="M23" s="5" t="s">
        <v>213</v>
      </c>
      <c r="N23" t="s">
        <v>72</v>
      </c>
      <c r="O23" s="7" t="s">
        <v>228</v>
      </c>
      <c r="P23" s="7" t="s">
        <v>518</v>
      </c>
      <c r="Q23" t="s">
        <v>234</v>
      </c>
      <c r="R23" t="s">
        <v>57</v>
      </c>
    </row>
    <row r="24" spans="2:18">
      <c r="B24" t="s">
        <v>73</v>
      </c>
      <c r="E24" t="s">
        <v>73</v>
      </c>
      <c r="F24" t="s">
        <v>229</v>
      </c>
      <c r="G24" t="s">
        <v>85</v>
      </c>
      <c r="H24" t="s">
        <v>202</v>
      </c>
      <c r="I24" t="s">
        <v>220</v>
      </c>
      <c r="J24" t="s">
        <v>219</v>
      </c>
      <c r="K24" t="s">
        <v>206</v>
      </c>
      <c r="L24" t="s">
        <v>205</v>
      </c>
      <c r="M24" s="5" t="s">
        <v>213</v>
      </c>
      <c r="N24" t="s">
        <v>73</v>
      </c>
      <c r="O24" s="7" t="s">
        <v>228</v>
      </c>
      <c r="P24" s="7" t="s">
        <v>518</v>
      </c>
      <c r="Q24" t="s">
        <v>234</v>
      </c>
      <c r="R24" t="s">
        <v>57</v>
      </c>
    </row>
    <row r="25" spans="2:18">
      <c r="B25" t="s">
        <v>74</v>
      </c>
      <c r="E25" t="s">
        <v>233</v>
      </c>
      <c r="F25" t="s">
        <v>229</v>
      </c>
      <c r="G25" t="s">
        <v>85</v>
      </c>
      <c r="H25" t="s">
        <v>202</v>
      </c>
      <c r="I25" t="s">
        <v>220</v>
      </c>
      <c r="J25" t="s">
        <v>217</v>
      </c>
      <c r="K25" t="s">
        <v>206</v>
      </c>
      <c r="L25" t="s">
        <v>205</v>
      </c>
      <c r="M25" s="5" t="s">
        <v>213</v>
      </c>
      <c r="N25" t="s">
        <v>74</v>
      </c>
      <c r="O25" t="s">
        <v>227</v>
      </c>
      <c r="P25" s="7" t="s">
        <v>518</v>
      </c>
      <c r="Q25" t="s">
        <v>234</v>
      </c>
      <c r="R25" t="s">
        <v>57</v>
      </c>
    </row>
    <row r="26" spans="2:18">
      <c r="B26" t="s">
        <v>75</v>
      </c>
      <c r="E26" t="s">
        <v>232</v>
      </c>
      <c r="F26" t="s">
        <v>229</v>
      </c>
      <c r="G26" t="s">
        <v>85</v>
      </c>
      <c r="H26" t="s">
        <v>202</v>
      </c>
      <c r="I26" t="s">
        <v>220</v>
      </c>
      <c r="J26" t="s">
        <v>217</v>
      </c>
      <c r="K26" t="s">
        <v>206</v>
      </c>
      <c r="L26" t="s">
        <v>205</v>
      </c>
      <c r="M26" s="5" t="s">
        <v>213</v>
      </c>
      <c r="N26" t="s">
        <v>75</v>
      </c>
      <c r="O26" t="s">
        <v>227</v>
      </c>
      <c r="P26" s="7" t="s">
        <v>518</v>
      </c>
      <c r="Q26" t="s">
        <v>234</v>
      </c>
      <c r="R26" t="s">
        <v>57</v>
      </c>
    </row>
    <row r="27" spans="2:18">
      <c r="B27" t="s">
        <v>76</v>
      </c>
      <c r="E27" t="s">
        <v>76</v>
      </c>
      <c r="F27" t="s">
        <v>229</v>
      </c>
      <c r="G27" t="s">
        <v>85</v>
      </c>
      <c r="H27" t="s">
        <v>202</v>
      </c>
      <c r="I27" t="s">
        <v>223</v>
      </c>
      <c r="J27" t="s">
        <v>221</v>
      </c>
      <c r="K27" t="s">
        <v>206</v>
      </c>
      <c r="L27" t="s">
        <v>825</v>
      </c>
      <c r="M27" s="5" t="s">
        <v>213</v>
      </c>
      <c r="N27" t="s">
        <v>76</v>
      </c>
      <c r="O27" t="s">
        <v>227</v>
      </c>
      <c r="P27" s="7" t="s">
        <v>518</v>
      </c>
      <c r="Q27" t="s">
        <v>234</v>
      </c>
      <c r="R27" t="s">
        <v>57</v>
      </c>
    </row>
    <row r="28" spans="2:18">
      <c r="B28" t="s">
        <v>77</v>
      </c>
      <c r="E28" t="s">
        <v>77</v>
      </c>
      <c r="F28" t="s">
        <v>229</v>
      </c>
      <c r="G28" t="s">
        <v>85</v>
      </c>
      <c r="H28" t="s">
        <v>202</v>
      </c>
      <c r="I28" t="s">
        <v>223</v>
      </c>
      <c r="J28" t="s">
        <v>221</v>
      </c>
      <c r="K28" t="s">
        <v>206</v>
      </c>
      <c r="L28" t="s">
        <v>204</v>
      </c>
      <c r="M28" s="5" t="s">
        <v>213</v>
      </c>
      <c r="N28" t="s">
        <v>77</v>
      </c>
      <c r="O28" t="s">
        <v>227</v>
      </c>
      <c r="P28" s="7" t="s">
        <v>518</v>
      </c>
      <c r="Q28" t="s">
        <v>234</v>
      </c>
      <c r="R28" t="s">
        <v>57</v>
      </c>
    </row>
    <row r="29" spans="2:18">
      <c r="B29" t="s">
        <v>78</v>
      </c>
      <c r="E29" t="s">
        <v>78</v>
      </c>
      <c r="F29" t="s">
        <v>229</v>
      </c>
      <c r="G29" t="s">
        <v>96</v>
      </c>
      <c r="H29" t="s">
        <v>202</v>
      </c>
      <c r="I29" t="s">
        <v>826</v>
      </c>
      <c r="J29" t="s">
        <v>221</v>
      </c>
      <c r="K29" t="s">
        <v>206</v>
      </c>
      <c r="L29" t="s">
        <v>222</v>
      </c>
      <c r="M29" s="5" t="s">
        <v>213</v>
      </c>
      <c r="N29" t="s">
        <v>78</v>
      </c>
      <c r="O29" t="s">
        <v>227</v>
      </c>
      <c r="P29" s="7" t="s">
        <v>518</v>
      </c>
      <c r="Q29" t="s">
        <v>234</v>
      </c>
      <c r="R29" t="s">
        <v>57</v>
      </c>
    </row>
    <row r="30" spans="2:18">
      <c r="G30" s="8"/>
    </row>
    <row r="31" spans="2:18">
      <c r="G31" s="8"/>
    </row>
    <row r="32" spans="2:18">
      <c r="B32" t="s">
        <v>923</v>
      </c>
      <c r="E32" t="s">
        <v>923</v>
      </c>
      <c r="F32" t="s">
        <v>577</v>
      </c>
      <c r="G32" s="5" t="s">
        <v>930</v>
      </c>
      <c r="H32" t="s">
        <v>922</v>
      </c>
      <c r="I32" t="s">
        <v>926</v>
      </c>
      <c r="J32" t="s">
        <v>928</v>
      </c>
      <c r="K32" t="s">
        <v>504</v>
      </c>
      <c r="L32" t="s">
        <v>820</v>
      </c>
      <c r="M32" s="5" t="s">
        <v>806</v>
      </c>
      <c r="N32" s="17" t="s">
        <v>923</v>
      </c>
      <c r="O32" t="s">
        <v>929</v>
      </c>
      <c r="P32" t="s">
        <v>521</v>
      </c>
      <c r="Q32" t="s">
        <v>517</v>
      </c>
    </row>
    <row r="33" spans="2:18">
      <c r="B33" t="s">
        <v>818</v>
      </c>
      <c r="E33" s="17" t="s">
        <v>809</v>
      </c>
      <c r="F33" t="s">
        <v>577</v>
      </c>
      <c r="G33" s="5" t="s">
        <v>819</v>
      </c>
      <c r="H33" t="s">
        <v>822</v>
      </c>
      <c r="I33" t="s">
        <v>500</v>
      </c>
      <c r="J33" t="s">
        <v>497</v>
      </c>
      <c r="K33" t="s">
        <v>504</v>
      </c>
      <c r="L33" t="s">
        <v>820</v>
      </c>
      <c r="M33" s="5" t="s">
        <v>823</v>
      </c>
      <c r="N33" s="17" t="s">
        <v>809</v>
      </c>
      <c r="O33" t="s">
        <v>821</v>
      </c>
      <c r="P33" t="s">
        <v>521</v>
      </c>
      <c r="Q33" t="s">
        <v>517</v>
      </c>
    </row>
    <row r="34" spans="2:18">
      <c r="B34" t="s">
        <v>358</v>
      </c>
      <c r="C34" t="s">
        <v>358</v>
      </c>
      <c r="E34" s="1" t="s">
        <v>492</v>
      </c>
      <c r="F34" t="s">
        <v>577</v>
      </c>
      <c r="G34" s="5" t="s">
        <v>514</v>
      </c>
      <c r="H34" t="s">
        <v>510</v>
      </c>
      <c r="I34" t="s">
        <v>500</v>
      </c>
      <c r="J34" t="s">
        <v>497</v>
      </c>
      <c r="K34" t="s">
        <v>501</v>
      </c>
      <c r="L34" t="s">
        <v>502</v>
      </c>
      <c r="M34" s="5" t="s">
        <v>806</v>
      </c>
      <c r="N34" t="s">
        <v>492</v>
      </c>
      <c r="O34" t="s">
        <v>576</v>
      </c>
      <c r="P34" t="s">
        <v>521</v>
      </c>
      <c r="Q34" t="s">
        <v>517</v>
      </c>
    </row>
    <row r="35" spans="2:18">
      <c r="B35" t="s">
        <v>359</v>
      </c>
      <c r="C35" t="s">
        <v>359</v>
      </c>
      <c r="E35" s="1" t="s">
        <v>807</v>
      </c>
      <c r="F35" t="s">
        <v>577</v>
      </c>
      <c r="G35" s="5" t="s">
        <v>514</v>
      </c>
      <c r="H35" t="s">
        <v>511</v>
      </c>
      <c r="I35" t="s">
        <v>500</v>
      </c>
      <c r="J35" t="s">
        <v>497</v>
      </c>
      <c r="K35" t="s">
        <v>501</v>
      </c>
      <c r="L35" t="s">
        <v>502</v>
      </c>
      <c r="M35" s="5" t="s">
        <v>806</v>
      </c>
      <c r="N35" t="s">
        <v>505</v>
      </c>
      <c r="O35" t="s">
        <v>576</v>
      </c>
      <c r="P35" t="s">
        <v>520</v>
      </c>
      <c r="Q35" t="s">
        <v>517</v>
      </c>
    </row>
    <row r="36" spans="2:18">
      <c r="B36" t="s">
        <v>486</v>
      </c>
      <c r="C36" t="s">
        <v>486</v>
      </c>
      <c r="E36" t="s">
        <v>580</v>
      </c>
      <c r="F36" t="s">
        <v>577</v>
      </c>
      <c r="G36" s="5" t="s">
        <v>515</v>
      </c>
      <c r="H36" t="s">
        <v>512</v>
      </c>
      <c r="I36" t="s">
        <v>500</v>
      </c>
      <c r="J36" t="s">
        <v>498</v>
      </c>
      <c r="K36" t="s">
        <v>503</v>
      </c>
      <c r="L36" t="s">
        <v>502</v>
      </c>
      <c r="M36" s="5" t="s">
        <v>224</v>
      </c>
      <c r="N36" t="s">
        <v>506</v>
      </c>
      <c r="O36" t="s">
        <v>576</v>
      </c>
      <c r="P36" t="s">
        <v>521</v>
      </c>
      <c r="Q36" t="s">
        <v>517</v>
      </c>
    </row>
    <row r="37" spans="2:18">
      <c r="B37" t="s">
        <v>487</v>
      </c>
      <c r="C37" t="s">
        <v>487</v>
      </c>
      <c r="E37" t="s">
        <v>579</v>
      </c>
      <c r="F37" t="s">
        <v>577</v>
      </c>
      <c r="G37" s="5" t="s">
        <v>515</v>
      </c>
      <c r="H37" t="s">
        <v>513</v>
      </c>
      <c r="I37" t="s">
        <v>500</v>
      </c>
      <c r="J37" t="s">
        <v>498</v>
      </c>
      <c r="K37" t="s">
        <v>503</v>
      </c>
      <c r="L37" t="s">
        <v>502</v>
      </c>
      <c r="M37" s="5" t="s">
        <v>224</v>
      </c>
      <c r="N37" t="s">
        <v>506</v>
      </c>
      <c r="O37" t="s">
        <v>576</v>
      </c>
      <c r="P37" t="s">
        <v>521</v>
      </c>
      <c r="Q37" t="s">
        <v>517</v>
      </c>
    </row>
    <row r="38" spans="2:18">
      <c r="B38" t="s">
        <v>488</v>
      </c>
      <c r="C38" t="s">
        <v>488</v>
      </c>
      <c r="E38" t="s">
        <v>493</v>
      </c>
      <c r="F38" t="s">
        <v>577</v>
      </c>
      <c r="G38" s="5" t="s">
        <v>155</v>
      </c>
      <c r="H38" t="s">
        <v>512</v>
      </c>
      <c r="I38" t="s">
        <v>500</v>
      </c>
      <c r="J38" t="s">
        <v>498</v>
      </c>
      <c r="K38" t="s">
        <v>504</v>
      </c>
      <c r="L38" t="s">
        <v>502</v>
      </c>
      <c r="M38" s="5" t="s">
        <v>224</v>
      </c>
      <c r="N38" t="s">
        <v>507</v>
      </c>
      <c r="O38" t="s">
        <v>573</v>
      </c>
      <c r="P38" t="s">
        <v>521</v>
      </c>
      <c r="Q38" t="s">
        <v>517</v>
      </c>
    </row>
    <row r="39" spans="2:18">
      <c r="B39" t="s">
        <v>489</v>
      </c>
      <c r="C39" t="s">
        <v>489</v>
      </c>
      <c r="E39" t="s">
        <v>494</v>
      </c>
      <c r="F39" t="s">
        <v>577</v>
      </c>
      <c r="G39" s="5" t="s">
        <v>155</v>
      </c>
      <c r="H39" t="s">
        <v>512</v>
      </c>
      <c r="I39" t="s">
        <v>500</v>
      </c>
      <c r="J39" t="s">
        <v>498</v>
      </c>
      <c r="K39" t="s">
        <v>503</v>
      </c>
      <c r="L39" t="s">
        <v>502</v>
      </c>
      <c r="M39" s="5" t="s">
        <v>224</v>
      </c>
      <c r="N39" t="s">
        <v>508</v>
      </c>
      <c r="O39" t="s">
        <v>573</v>
      </c>
      <c r="P39" t="s">
        <v>521</v>
      </c>
      <c r="Q39" t="s">
        <v>517</v>
      </c>
    </row>
    <row r="40" spans="2:18">
      <c r="B40" t="s">
        <v>490</v>
      </c>
      <c r="C40" t="s">
        <v>490</v>
      </c>
      <c r="E40" t="s">
        <v>495</v>
      </c>
      <c r="F40" t="s">
        <v>577</v>
      </c>
      <c r="G40" s="5" t="s">
        <v>155</v>
      </c>
      <c r="H40" t="s">
        <v>513</v>
      </c>
      <c r="I40" t="s">
        <v>500</v>
      </c>
      <c r="J40" t="s">
        <v>498</v>
      </c>
      <c r="K40" t="s">
        <v>504</v>
      </c>
      <c r="L40" t="s">
        <v>502</v>
      </c>
      <c r="M40" s="5" t="s">
        <v>224</v>
      </c>
      <c r="N40" t="s">
        <v>495</v>
      </c>
      <c r="O40" t="s">
        <v>575</v>
      </c>
      <c r="P40" t="s">
        <v>520</v>
      </c>
      <c r="Q40" t="s">
        <v>517</v>
      </c>
    </row>
    <row r="41" spans="2:18">
      <c r="B41" t="s">
        <v>491</v>
      </c>
      <c r="C41" t="s">
        <v>491</v>
      </c>
      <c r="E41" t="s">
        <v>1192</v>
      </c>
      <c r="F41" t="s">
        <v>577</v>
      </c>
      <c r="G41" s="5" t="s">
        <v>155</v>
      </c>
      <c r="H41" t="s">
        <v>513</v>
      </c>
      <c r="I41" t="s">
        <v>500</v>
      </c>
      <c r="J41" t="s">
        <v>498</v>
      </c>
      <c r="K41" t="s">
        <v>503</v>
      </c>
      <c r="L41" t="s">
        <v>502</v>
      </c>
      <c r="M41" s="5" t="s">
        <v>224</v>
      </c>
      <c r="N41" t="s">
        <v>522</v>
      </c>
      <c r="O41" t="s">
        <v>575</v>
      </c>
      <c r="P41" t="s">
        <v>520</v>
      </c>
      <c r="Q41" t="s">
        <v>517</v>
      </c>
    </row>
    <row r="42" spans="2:18">
      <c r="B42" t="s">
        <v>169</v>
      </c>
      <c r="C42" t="s">
        <v>169</v>
      </c>
      <c r="E42" s="1" t="s">
        <v>496</v>
      </c>
      <c r="F42" t="s">
        <v>577</v>
      </c>
      <c r="G42" s="5" t="s">
        <v>516</v>
      </c>
      <c r="H42" t="s">
        <v>513</v>
      </c>
      <c r="I42" t="s">
        <v>500</v>
      </c>
      <c r="J42" t="s">
        <v>498</v>
      </c>
      <c r="K42" t="s">
        <v>503</v>
      </c>
      <c r="L42" t="s">
        <v>502</v>
      </c>
      <c r="M42" s="5" t="s">
        <v>224</v>
      </c>
      <c r="N42" t="s">
        <v>496</v>
      </c>
      <c r="O42" t="s">
        <v>574</v>
      </c>
      <c r="P42" t="s">
        <v>520</v>
      </c>
      <c r="Q42" t="s">
        <v>517</v>
      </c>
    </row>
    <row r="43" spans="2:18">
      <c r="B43" t="s">
        <v>170</v>
      </c>
      <c r="C43" t="s">
        <v>170</v>
      </c>
      <c r="E43" s="1" t="s">
        <v>578</v>
      </c>
      <c r="F43" t="s">
        <v>577</v>
      </c>
      <c r="G43" s="5" t="s">
        <v>516</v>
      </c>
      <c r="H43" t="s">
        <v>513</v>
      </c>
      <c r="I43" t="s">
        <v>500</v>
      </c>
      <c r="J43" t="s">
        <v>499</v>
      </c>
      <c r="K43" t="s">
        <v>503</v>
      </c>
      <c r="L43" t="s">
        <v>502</v>
      </c>
      <c r="M43" s="5" t="s">
        <v>224</v>
      </c>
      <c r="N43" t="s">
        <v>509</v>
      </c>
      <c r="O43" t="s">
        <v>574</v>
      </c>
      <c r="P43" t="s">
        <v>519</v>
      </c>
      <c r="Q43" t="s">
        <v>517</v>
      </c>
    </row>
    <row r="44" spans="2:18">
      <c r="G44" s="8"/>
    </row>
    <row r="45" spans="2:18">
      <c r="G45" s="8"/>
    </row>
    <row r="46" spans="2:18">
      <c r="G46" s="8"/>
    </row>
    <row r="47" spans="2:18">
      <c r="B47" s="1" t="s">
        <v>1193</v>
      </c>
      <c r="C47" s="1" t="s">
        <v>1193</v>
      </c>
      <c r="E47" s="1" t="s">
        <v>1217</v>
      </c>
      <c r="F47" t="s">
        <v>209</v>
      </c>
      <c r="G47" t="s">
        <v>1212</v>
      </c>
      <c r="H47" t="s">
        <v>202</v>
      </c>
      <c r="I47" t="s">
        <v>1297</v>
      </c>
      <c r="J47" t="s">
        <v>1214</v>
      </c>
      <c r="K47" t="s">
        <v>1215</v>
      </c>
      <c r="L47" t="s">
        <v>502</v>
      </c>
      <c r="M47" s="5" t="s">
        <v>224</v>
      </c>
      <c r="N47" t="s">
        <v>1198</v>
      </c>
      <c r="O47" t="s">
        <v>1216</v>
      </c>
      <c r="P47" s="7" t="s">
        <v>518</v>
      </c>
      <c r="Q47" t="s">
        <v>517</v>
      </c>
      <c r="R47" t="s">
        <v>208</v>
      </c>
    </row>
    <row r="48" spans="2:18">
      <c r="B48" s="1" t="s">
        <v>1194</v>
      </c>
      <c r="C48" s="1" t="s">
        <v>1194</v>
      </c>
      <c r="E48" s="1" t="s">
        <v>1218</v>
      </c>
      <c r="F48" t="s">
        <v>209</v>
      </c>
      <c r="G48" t="s">
        <v>1213</v>
      </c>
      <c r="H48" t="s">
        <v>202</v>
      </c>
      <c r="I48" t="s">
        <v>1297</v>
      </c>
      <c r="J48" t="s">
        <v>1214</v>
      </c>
      <c r="K48" t="s">
        <v>1215</v>
      </c>
      <c r="L48" t="s">
        <v>502</v>
      </c>
      <c r="M48" s="5" t="s">
        <v>224</v>
      </c>
      <c r="N48" t="s">
        <v>1199</v>
      </c>
      <c r="O48" t="s">
        <v>1216</v>
      </c>
      <c r="P48" s="7" t="s">
        <v>518</v>
      </c>
      <c r="Q48" t="s">
        <v>517</v>
      </c>
      <c r="R48" t="s">
        <v>208</v>
      </c>
    </row>
    <row r="49" spans="2:18">
      <c r="B49" s="1" t="s">
        <v>1195</v>
      </c>
      <c r="C49" s="1" t="s">
        <v>1195</v>
      </c>
      <c r="E49" s="1" t="s">
        <v>1219</v>
      </c>
      <c r="F49" t="s">
        <v>209</v>
      </c>
      <c r="G49" t="s">
        <v>1213</v>
      </c>
      <c r="H49" t="s">
        <v>202</v>
      </c>
      <c r="I49" t="s">
        <v>215</v>
      </c>
      <c r="J49" t="s">
        <v>1214</v>
      </c>
      <c r="K49" t="s">
        <v>206</v>
      </c>
      <c r="L49" t="s">
        <v>502</v>
      </c>
      <c r="M49" s="5" t="s">
        <v>213</v>
      </c>
      <c r="N49" t="s">
        <v>1395</v>
      </c>
      <c r="O49" t="s">
        <v>1216</v>
      </c>
      <c r="P49" s="7" t="s">
        <v>518</v>
      </c>
      <c r="Q49" t="s">
        <v>517</v>
      </c>
      <c r="R49" t="s">
        <v>208</v>
      </c>
    </row>
    <row r="50" spans="2:18">
      <c r="B50" s="1" t="s">
        <v>1196</v>
      </c>
      <c r="C50" s="1" t="s">
        <v>1196</v>
      </c>
      <c r="E50" s="1" t="s">
        <v>1220</v>
      </c>
      <c r="F50" t="s">
        <v>209</v>
      </c>
      <c r="G50" t="s">
        <v>201</v>
      </c>
      <c r="H50" t="s">
        <v>202</v>
      </c>
      <c r="I50" t="s">
        <v>218</v>
      </c>
      <c r="J50" t="s">
        <v>1214</v>
      </c>
      <c r="K50" t="s">
        <v>206</v>
      </c>
      <c r="L50" t="s">
        <v>502</v>
      </c>
      <c r="M50" s="5" t="s">
        <v>213</v>
      </c>
      <c r="N50" t="s">
        <v>1201</v>
      </c>
      <c r="O50" t="s">
        <v>1216</v>
      </c>
      <c r="P50" s="7" t="s">
        <v>518</v>
      </c>
      <c r="Q50" t="s">
        <v>517</v>
      </c>
      <c r="R50" t="s">
        <v>208</v>
      </c>
    </row>
    <row r="51" spans="2:18">
      <c r="B51" s="1" t="s">
        <v>1197</v>
      </c>
      <c r="C51" s="1" t="s">
        <v>1197</v>
      </c>
      <c r="E51" s="1" t="s">
        <v>1221</v>
      </c>
      <c r="F51" t="s">
        <v>209</v>
      </c>
      <c r="G51" t="s">
        <v>201</v>
      </c>
      <c r="H51" t="s">
        <v>202</v>
      </c>
      <c r="I51" t="s">
        <v>218</v>
      </c>
      <c r="J51" t="s">
        <v>1214</v>
      </c>
      <c r="K51" t="s">
        <v>206</v>
      </c>
      <c r="L51" t="s">
        <v>502</v>
      </c>
      <c r="M51" s="5" t="s">
        <v>213</v>
      </c>
      <c r="N51" t="s">
        <v>1200</v>
      </c>
      <c r="O51" t="s">
        <v>1216</v>
      </c>
      <c r="P51" s="7" t="s">
        <v>518</v>
      </c>
      <c r="Q51" t="s">
        <v>517</v>
      </c>
      <c r="R51" t="s">
        <v>208</v>
      </c>
    </row>
    <row r="52" spans="2:18">
      <c r="B52" t="s">
        <v>1274</v>
      </c>
      <c r="C52" t="s">
        <v>1274</v>
      </c>
      <c r="E52" t="s">
        <v>1274</v>
      </c>
      <c r="F52" t="s">
        <v>209</v>
      </c>
      <c r="G52" t="s">
        <v>749</v>
      </c>
      <c r="H52" t="s">
        <v>824</v>
      </c>
      <c r="I52" t="s">
        <v>215</v>
      </c>
      <c r="J52" t="s">
        <v>928</v>
      </c>
      <c r="K52" t="s">
        <v>206</v>
      </c>
      <c r="L52" t="s">
        <v>502</v>
      </c>
      <c r="M52" s="5" t="s">
        <v>214</v>
      </c>
      <c r="N52" t="s">
        <v>1273</v>
      </c>
      <c r="O52" t="s">
        <v>1216</v>
      </c>
      <c r="P52" s="7" t="s">
        <v>518</v>
      </c>
      <c r="Q52" t="s">
        <v>517</v>
      </c>
      <c r="R52" t="s">
        <v>208</v>
      </c>
    </row>
    <row r="55" spans="2:18">
      <c r="B55" t="s">
        <v>1283</v>
      </c>
      <c r="C55" t="s">
        <v>1229</v>
      </c>
      <c r="E55" t="s">
        <v>1283</v>
      </c>
      <c r="F55" t="s">
        <v>229</v>
      </c>
      <c r="G55" t="s">
        <v>1253</v>
      </c>
      <c r="H55" t="s">
        <v>824</v>
      </c>
      <c r="I55" t="s">
        <v>215</v>
      </c>
      <c r="J55" t="s">
        <v>498</v>
      </c>
      <c r="K55" t="s">
        <v>1276</v>
      </c>
      <c r="L55" t="s">
        <v>502</v>
      </c>
      <c r="M55" s="5" t="s">
        <v>806</v>
      </c>
      <c r="N55" t="s">
        <v>1260</v>
      </c>
      <c r="O55" t="s">
        <v>1291</v>
      </c>
      <c r="P55" s="7" t="s">
        <v>518</v>
      </c>
      <c r="Q55" t="s">
        <v>517</v>
      </c>
      <c r="R55" t="s">
        <v>1238</v>
      </c>
    </row>
    <row r="56" spans="2:18">
      <c r="B56" t="s">
        <v>1284</v>
      </c>
      <c r="C56" t="s">
        <v>1230</v>
      </c>
      <c r="E56" t="s">
        <v>1284</v>
      </c>
      <c r="F56" t="s">
        <v>229</v>
      </c>
      <c r="G56" t="s">
        <v>1253</v>
      </c>
      <c r="H56" t="s">
        <v>824</v>
      </c>
      <c r="I56" t="s">
        <v>215</v>
      </c>
      <c r="J56" t="s">
        <v>498</v>
      </c>
      <c r="K56" t="s">
        <v>1276</v>
      </c>
      <c r="L56" t="s">
        <v>502</v>
      </c>
      <c r="M56" s="5" t="s">
        <v>806</v>
      </c>
      <c r="N56" t="s">
        <v>1268</v>
      </c>
      <c r="O56" t="s">
        <v>1291</v>
      </c>
      <c r="P56" s="7" t="s">
        <v>518</v>
      </c>
      <c r="Q56" t="s">
        <v>517</v>
      </c>
      <c r="R56" t="s">
        <v>1238</v>
      </c>
    </row>
    <row r="57" spans="2:18">
      <c r="B57" t="s">
        <v>1285</v>
      </c>
      <c r="C57" t="s">
        <v>1231</v>
      </c>
      <c r="E57" t="s">
        <v>1285</v>
      </c>
      <c r="F57" t="s">
        <v>229</v>
      </c>
      <c r="G57" t="s">
        <v>1250</v>
      </c>
      <c r="H57" t="s">
        <v>202</v>
      </c>
      <c r="I57" t="s">
        <v>215</v>
      </c>
      <c r="J57" t="s">
        <v>498</v>
      </c>
      <c r="K57" t="s">
        <v>1276</v>
      </c>
      <c r="L57" t="s">
        <v>502</v>
      </c>
      <c r="M57" s="5" t="s">
        <v>806</v>
      </c>
      <c r="N57" t="s">
        <v>1277</v>
      </c>
      <c r="O57" t="s">
        <v>1291</v>
      </c>
      <c r="P57" s="7" t="s">
        <v>518</v>
      </c>
      <c r="Q57" t="s">
        <v>517</v>
      </c>
      <c r="R57" t="s">
        <v>1238</v>
      </c>
    </row>
    <row r="58" spans="2:18">
      <c r="B58" t="s">
        <v>1286</v>
      </c>
      <c r="C58" t="s">
        <v>1232</v>
      </c>
      <c r="E58" t="s">
        <v>1286</v>
      </c>
      <c r="F58" t="s">
        <v>229</v>
      </c>
      <c r="G58" t="s">
        <v>1250</v>
      </c>
      <c r="H58" t="s">
        <v>202</v>
      </c>
      <c r="I58" t="s">
        <v>215</v>
      </c>
      <c r="J58" t="s">
        <v>498</v>
      </c>
      <c r="K58" t="s">
        <v>1215</v>
      </c>
      <c r="L58" t="s">
        <v>502</v>
      </c>
      <c r="M58" s="5" t="s">
        <v>224</v>
      </c>
      <c r="N58" t="s">
        <v>1278</v>
      </c>
      <c r="O58" t="s">
        <v>1291</v>
      </c>
      <c r="P58" s="7" t="s">
        <v>518</v>
      </c>
      <c r="Q58" t="s">
        <v>517</v>
      </c>
      <c r="R58" t="s">
        <v>1238</v>
      </c>
    </row>
    <row r="59" spans="2:18">
      <c r="B59" t="s">
        <v>1287</v>
      </c>
      <c r="C59" t="s">
        <v>1233</v>
      </c>
      <c r="E59" t="s">
        <v>1292</v>
      </c>
      <c r="F59" t="s">
        <v>229</v>
      </c>
      <c r="G59" t="s">
        <v>1251</v>
      </c>
      <c r="H59" t="s">
        <v>202</v>
      </c>
      <c r="I59" t="s">
        <v>218</v>
      </c>
      <c r="J59" t="s">
        <v>1214</v>
      </c>
      <c r="K59" t="s">
        <v>1215</v>
      </c>
      <c r="L59" t="s">
        <v>502</v>
      </c>
      <c r="M59" s="5" t="s">
        <v>224</v>
      </c>
      <c r="N59" t="s">
        <v>1279</v>
      </c>
      <c r="O59" t="s">
        <v>1291</v>
      </c>
      <c r="P59" s="7" t="s">
        <v>518</v>
      </c>
      <c r="Q59" t="s">
        <v>517</v>
      </c>
      <c r="R59" t="s">
        <v>1238</v>
      </c>
    </row>
    <row r="60" spans="2:18">
      <c r="B60" t="s">
        <v>1288</v>
      </c>
      <c r="C60" t="s">
        <v>1234</v>
      </c>
      <c r="E60" t="s">
        <v>1293</v>
      </c>
      <c r="F60" t="s">
        <v>229</v>
      </c>
      <c r="G60" t="s">
        <v>1251</v>
      </c>
      <c r="H60" t="s">
        <v>202</v>
      </c>
      <c r="I60" t="s">
        <v>218</v>
      </c>
      <c r="J60" t="s">
        <v>1214</v>
      </c>
      <c r="K60" t="s">
        <v>1215</v>
      </c>
      <c r="L60" t="s">
        <v>502</v>
      </c>
      <c r="M60" s="5" t="s">
        <v>224</v>
      </c>
      <c r="N60" t="s">
        <v>1280</v>
      </c>
      <c r="O60" t="s">
        <v>1291</v>
      </c>
      <c r="P60" s="7" t="s">
        <v>518</v>
      </c>
      <c r="Q60" t="s">
        <v>517</v>
      </c>
      <c r="R60" t="s">
        <v>1238</v>
      </c>
    </row>
    <row r="61" spans="2:18">
      <c r="B61" t="s">
        <v>1289</v>
      </c>
      <c r="C61" t="s">
        <v>1235</v>
      </c>
      <c r="E61" t="s">
        <v>1294</v>
      </c>
      <c r="F61" t="s">
        <v>229</v>
      </c>
      <c r="G61" t="s">
        <v>1251</v>
      </c>
      <c r="H61" t="s">
        <v>202</v>
      </c>
      <c r="I61" t="s">
        <v>218</v>
      </c>
      <c r="J61" t="s">
        <v>1214</v>
      </c>
      <c r="K61" t="s">
        <v>206</v>
      </c>
      <c r="L61" t="s">
        <v>502</v>
      </c>
      <c r="M61" s="5" t="s">
        <v>224</v>
      </c>
      <c r="N61" t="s">
        <v>1281</v>
      </c>
      <c r="O61" t="s">
        <v>1291</v>
      </c>
      <c r="P61" s="7" t="s">
        <v>518</v>
      </c>
      <c r="Q61" t="s">
        <v>517</v>
      </c>
      <c r="R61" t="s">
        <v>1238</v>
      </c>
    </row>
    <row r="62" spans="2:18">
      <c r="B62" t="s">
        <v>1290</v>
      </c>
      <c r="C62" t="s">
        <v>1236</v>
      </c>
      <c r="E62" t="s">
        <v>1295</v>
      </c>
      <c r="F62" t="s">
        <v>229</v>
      </c>
      <c r="G62" t="s">
        <v>1252</v>
      </c>
      <c r="H62" t="s">
        <v>202</v>
      </c>
      <c r="I62" t="s">
        <v>218</v>
      </c>
      <c r="J62" t="s">
        <v>1214</v>
      </c>
      <c r="K62" t="s">
        <v>206</v>
      </c>
      <c r="L62" t="s">
        <v>502</v>
      </c>
      <c r="M62" s="5" t="s">
        <v>213</v>
      </c>
      <c r="N62" t="s">
        <v>1282</v>
      </c>
      <c r="O62" t="s">
        <v>1291</v>
      </c>
      <c r="P62" s="7" t="s">
        <v>518</v>
      </c>
      <c r="Q62" t="s">
        <v>517</v>
      </c>
      <c r="R62" t="s">
        <v>1238</v>
      </c>
    </row>
    <row r="64" spans="2:18">
      <c r="B64" s="1" t="s">
        <v>1340</v>
      </c>
      <c r="C64" t="s">
        <v>1340</v>
      </c>
      <c r="E64" s="27" t="s">
        <v>1343</v>
      </c>
      <c r="F64" t="s">
        <v>209</v>
      </c>
      <c r="G64" t="s">
        <v>1213</v>
      </c>
      <c r="H64" t="s">
        <v>202</v>
      </c>
      <c r="I64" t="s">
        <v>218</v>
      </c>
      <c r="J64" t="s">
        <v>1214</v>
      </c>
      <c r="K64" t="s">
        <v>206</v>
      </c>
      <c r="L64" t="s">
        <v>502</v>
      </c>
      <c r="M64" s="5" t="s">
        <v>213</v>
      </c>
      <c r="N64" s="27" t="s">
        <v>1344</v>
      </c>
      <c r="O64" s="7" t="s">
        <v>1342</v>
      </c>
      <c r="P64" s="7" t="s">
        <v>518</v>
      </c>
      <c r="Q64" t="s">
        <v>517</v>
      </c>
      <c r="R64" t="s">
        <v>208</v>
      </c>
    </row>
  </sheetData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77D7E-B3BD-4A68-90F1-968118A81C72}">
  <sheetPr codeName="Sheet6"/>
  <dimension ref="A1:Q165"/>
  <sheetViews>
    <sheetView zoomScaleNormal="100" workbookViewId="0">
      <pane xSplit="1" ySplit="10" topLeftCell="B115" activePane="bottomRight" state="frozen"/>
      <selection pane="topRight" activeCell="B1" sqref="B1"/>
      <selection pane="bottomLeft" activeCell="A11" sqref="A11"/>
      <selection pane="bottomRight" activeCell="B1" sqref="B1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6.5" customWidth="1"/>
    <col min="7" max="7" width="22.375" bestFit="1" customWidth="1"/>
    <col min="8" max="8" width="21.5" bestFit="1" customWidth="1"/>
    <col min="9" max="9" width="23.875" customWidth="1"/>
    <col min="10" max="11" width="22.5" customWidth="1"/>
    <col min="12" max="12" width="29.5" customWidth="1"/>
    <col min="13" max="13" width="26.25" customWidth="1"/>
    <col min="14" max="16" width="24.125" customWidth="1"/>
    <col min="17" max="17" width="20.375" bestFit="1" customWidth="1"/>
    <col min="18" max="18" width="17.375" bestFit="1" customWidth="1"/>
  </cols>
  <sheetData>
    <row r="1" spans="1:17">
      <c r="A1" t="s">
        <v>237</v>
      </c>
      <c r="B1" s="1" t="s">
        <v>528</v>
      </c>
    </row>
    <row r="2" spans="1:17">
      <c r="A2" t="s">
        <v>3</v>
      </c>
      <c r="B2" s="1" t="s">
        <v>469</v>
      </c>
    </row>
    <row r="3" spans="1:17">
      <c r="A3" t="s">
        <v>1</v>
      </c>
      <c r="B3" s="1" t="s">
        <v>721</v>
      </c>
    </row>
    <row r="4" spans="1:17">
      <c r="A4" t="s">
        <v>2</v>
      </c>
      <c r="B4" s="1" t="s">
        <v>10</v>
      </c>
    </row>
    <row r="5" spans="1:17">
      <c r="A5" t="s">
        <v>17</v>
      </c>
      <c r="B5" s="2" t="s">
        <v>18</v>
      </c>
    </row>
    <row r="6" spans="1:17" ht="15" thickBot="1"/>
    <row r="7" spans="1:17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41"/>
      <c r="N7" s="44" t="s">
        <v>415</v>
      </c>
      <c r="O7" s="45"/>
      <c r="P7" s="45"/>
      <c r="Q7" s="46"/>
    </row>
    <row r="8" spans="1:17" ht="19.5" thickTop="1" thickBot="1">
      <c r="F8" s="37"/>
      <c r="G8" s="38"/>
      <c r="H8" s="33"/>
      <c r="I8" s="33"/>
      <c r="J8" s="33"/>
      <c r="K8" s="10"/>
      <c r="L8" s="42"/>
      <c r="M8" s="43"/>
      <c r="N8" s="47"/>
      <c r="O8" s="48"/>
      <c r="P8" s="48"/>
      <c r="Q8" s="49"/>
    </row>
    <row r="9" spans="1:17" ht="15.75" thickTop="1" thickBot="1"/>
    <row r="10" spans="1:17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317</v>
      </c>
      <c r="M10" s="4" t="s">
        <v>318</v>
      </c>
      <c r="N10" s="4" t="s">
        <v>470</v>
      </c>
      <c r="O10" s="4" t="s">
        <v>471</v>
      </c>
      <c r="P10" s="4" t="s">
        <v>319</v>
      </c>
      <c r="Q10" s="4" t="s">
        <v>413</v>
      </c>
    </row>
    <row r="11" spans="1:17" ht="15" thickTop="1">
      <c r="F11" t="s">
        <v>432</v>
      </c>
    </row>
    <row r="12" spans="1:17">
      <c r="B12" s="1">
        <v>10026118345213</v>
      </c>
      <c r="C12" t="s">
        <v>418</v>
      </c>
      <c r="D12" t="s">
        <v>397</v>
      </c>
      <c r="F12" t="s">
        <v>433</v>
      </c>
      <c r="G12" t="s">
        <v>357</v>
      </c>
      <c r="L12" t="s">
        <v>418</v>
      </c>
    </row>
    <row r="13" spans="1:17">
      <c r="F13" t="s">
        <v>432</v>
      </c>
    </row>
    <row r="14" spans="1:17">
      <c r="B14" s="1">
        <v>10035181892982</v>
      </c>
      <c r="C14" t="s">
        <v>419</v>
      </c>
      <c r="D14" t="s">
        <v>397</v>
      </c>
      <c r="F14" t="s">
        <v>434</v>
      </c>
      <c r="G14" t="s">
        <v>357</v>
      </c>
      <c r="L14" t="s">
        <v>419</v>
      </c>
    </row>
    <row r="15" spans="1:17">
      <c r="B15" s="1">
        <v>10035181892983</v>
      </c>
      <c r="C15" t="s">
        <v>419</v>
      </c>
      <c r="D15" t="s">
        <v>398</v>
      </c>
      <c r="F15" t="s">
        <v>434</v>
      </c>
      <c r="G15" t="s">
        <v>283</v>
      </c>
      <c r="L15" t="s">
        <v>419</v>
      </c>
      <c r="M15" s="7" t="s">
        <v>347</v>
      </c>
    </row>
    <row r="16" spans="1:17">
      <c r="B16" s="1">
        <v>10113040029939</v>
      </c>
      <c r="C16" t="s">
        <v>420</v>
      </c>
      <c r="D16" t="s">
        <v>397</v>
      </c>
      <c r="F16" t="s">
        <v>435</v>
      </c>
      <c r="G16" t="s">
        <v>357</v>
      </c>
      <c r="L16" t="s">
        <v>474</v>
      </c>
    </row>
    <row r="17" spans="2:17">
      <c r="F17" t="s">
        <v>432</v>
      </c>
    </row>
    <row r="18" spans="2:17">
      <c r="B18" s="1">
        <v>10100026079725</v>
      </c>
      <c r="C18" t="s">
        <v>421</v>
      </c>
      <c r="D18" t="s">
        <v>397</v>
      </c>
      <c r="F18" t="s">
        <v>436</v>
      </c>
      <c r="G18" t="s">
        <v>357</v>
      </c>
      <c r="L18" t="s">
        <v>421</v>
      </c>
    </row>
    <row r="19" spans="2:17">
      <c r="B19" s="1">
        <v>10100026079726</v>
      </c>
      <c r="C19" t="s">
        <v>421</v>
      </c>
      <c r="D19" t="s">
        <v>398</v>
      </c>
      <c r="F19" t="s">
        <v>436</v>
      </c>
      <c r="G19" t="s">
        <v>283</v>
      </c>
      <c r="L19" t="s">
        <v>421</v>
      </c>
      <c r="M19" s="7" t="s">
        <v>347</v>
      </c>
    </row>
    <row r="20" spans="2:17">
      <c r="F20" t="s">
        <v>432</v>
      </c>
    </row>
    <row r="21" spans="2:17">
      <c r="B21" s="1">
        <v>10097046624604</v>
      </c>
      <c r="C21" t="s">
        <v>421</v>
      </c>
      <c r="D21" t="s">
        <v>397</v>
      </c>
      <c r="F21" t="s">
        <v>436</v>
      </c>
      <c r="G21" t="s">
        <v>357</v>
      </c>
      <c r="L21" t="s">
        <v>421</v>
      </c>
    </row>
    <row r="22" spans="2:17">
      <c r="B22" s="1">
        <v>10097046624605</v>
      </c>
      <c r="C22" t="s">
        <v>421</v>
      </c>
      <c r="D22" t="s">
        <v>398</v>
      </c>
      <c r="F22" t="s">
        <v>436</v>
      </c>
      <c r="G22" t="s">
        <v>283</v>
      </c>
      <c r="L22" t="s">
        <v>421</v>
      </c>
      <c r="M22" s="7" t="s">
        <v>347</v>
      </c>
    </row>
    <row r="23" spans="2:17">
      <c r="B23" s="1">
        <v>10092787668648</v>
      </c>
      <c r="C23" t="s">
        <v>422</v>
      </c>
      <c r="D23" t="s">
        <v>397</v>
      </c>
      <c r="F23" t="s">
        <v>837</v>
      </c>
      <c r="G23" t="s">
        <v>357</v>
      </c>
      <c r="L23" t="s">
        <v>422</v>
      </c>
    </row>
    <row r="24" spans="2:17">
      <c r="B24" s="1">
        <v>10092787668649</v>
      </c>
      <c r="C24" t="s">
        <v>422</v>
      </c>
      <c r="D24" t="s">
        <v>398</v>
      </c>
      <c r="F24" t="s">
        <v>837</v>
      </c>
      <c r="G24" t="s">
        <v>283</v>
      </c>
      <c r="L24" t="s">
        <v>422</v>
      </c>
      <c r="M24" s="7" t="s">
        <v>347</v>
      </c>
    </row>
    <row r="25" spans="2:17">
      <c r="B25" s="1">
        <v>10026688701393</v>
      </c>
      <c r="C25" t="s">
        <v>423</v>
      </c>
      <c r="D25" t="s">
        <v>397</v>
      </c>
      <c r="F25" t="s">
        <v>485</v>
      </c>
      <c r="G25" t="s">
        <v>357</v>
      </c>
      <c r="L25" t="s">
        <v>423</v>
      </c>
    </row>
    <row r="26" spans="2:17">
      <c r="B26" s="1">
        <v>10026689800635</v>
      </c>
      <c r="C26" t="s">
        <v>423</v>
      </c>
      <c r="D26" t="s">
        <v>398</v>
      </c>
      <c r="F26" t="s">
        <v>485</v>
      </c>
      <c r="G26" t="s">
        <v>283</v>
      </c>
      <c r="L26" t="s">
        <v>423</v>
      </c>
      <c r="M26" s="7" t="s">
        <v>347</v>
      </c>
    </row>
    <row r="27" spans="2:17">
      <c r="F27" t="s">
        <v>432</v>
      </c>
    </row>
    <row r="28" spans="2:17">
      <c r="B28" s="7">
        <v>10088108110902</v>
      </c>
      <c r="C28" t="s">
        <v>328</v>
      </c>
      <c r="F28" s="5" t="s">
        <v>437</v>
      </c>
      <c r="G28" t="s">
        <v>357</v>
      </c>
      <c r="K28" t="s">
        <v>321</v>
      </c>
      <c r="L28" s="7" t="s">
        <v>328</v>
      </c>
      <c r="M28" s="7" t="s">
        <v>282</v>
      </c>
      <c r="N28" s="7" t="s">
        <v>407</v>
      </c>
      <c r="O28" s="7"/>
      <c r="P28" s="7" t="s">
        <v>327</v>
      </c>
      <c r="Q28" t="s">
        <v>414</v>
      </c>
    </row>
    <row r="29" spans="2:17">
      <c r="B29" s="7">
        <v>10088108110903</v>
      </c>
      <c r="C29" t="s">
        <v>328</v>
      </c>
      <c r="F29" s="5" t="s">
        <v>437</v>
      </c>
      <c r="G29" t="s">
        <v>281</v>
      </c>
      <c r="K29" t="s">
        <v>321</v>
      </c>
      <c r="L29" s="7" t="s">
        <v>328</v>
      </c>
      <c r="M29" s="7" t="s">
        <v>346</v>
      </c>
      <c r="N29" s="7" t="s">
        <v>407</v>
      </c>
      <c r="O29" s="7"/>
      <c r="P29" s="7" t="s">
        <v>327</v>
      </c>
      <c r="Q29" t="s">
        <v>414</v>
      </c>
    </row>
    <row r="30" spans="2:17">
      <c r="B30" s="7">
        <v>10079004855423</v>
      </c>
      <c r="C30" t="s">
        <v>329</v>
      </c>
      <c r="D30" t="s">
        <v>397</v>
      </c>
      <c r="F30" s="5" t="s">
        <v>438</v>
      </c>
      <c r="G30" t="s">
        <v>357</v>
      </c>
      <c r="K30" t="s">
        <v>321</v>
      </c>
      <c r="L30" s="7" t="s">
        <v>329</v>
      </c>
      <c r="M30" s="7" t="s">
        <v>282</v>
      </c>
      <c r="N30" s="7" t="s">
        <v>407</v>
      </c>
      <c r="O30" s="7"/>
      <c r="P30" s="7" t="s">
        <v>327</v>
      </c>
      <c r="Q30" t="s">
        <v>414</v>
      </c>
    </row>
    <row r="31" spans="2:17">
      <c r="B31" s="7">
        <v>10079004855424</v>
      </c>
      <c r="C31" t="s">
        <v>329</v>
      </c>
      <c r="D31" t="s">
        <v>398</v>
      </c>
      <c r="F31" s="5" t="s">
        <v>438</v>
      </c>
      <c r="G31" t="s">
        <v>283</v>
      </c>
      <c r="K31" t="s">
        <v>321</v>
      </c>
      <c r="L31" s="7" t="s">
        <v>329</v>
      </c>
      <c r="M31" s="7" t="s">
        <v>347</v>
      </c>
      <c r="N31" s="7" t="s">
        <v>407</v>
      </c>
      <c r="O31" s="7"/>
      <c r="P31" s="7" t="s">
        <v>327</v>
      </c>
      <c r="Q31" t="s">
        <v>414</v>
      </c>
    </row>
    <row r="32" spans="2:17">
      <c r="B32" s="7">
        <v>10079005338526</v>
      </c>
      <c r="C32" t="s">
        <v>330</v>
      </c>
      <c r="D32" t="s">
        <v>397</v>
      </c>
      <c r="F32" s="5" t="s">
        <v>839</v>
      </c>
      <c r="G32" t="s">
        <v>722</v>
      </c>
      <c r="K32" t="s">
        <v>321</v>
      </c>
      <c r="L32" s="7" t="s">
        <v>330</v>
      </c>
      <c r="M32" s="7" t="s">
        <v>282</v>
      </c>
      <c r="N32" s="7" t="s">
        <v>407</v>
      </c>
      <c r="O32" s="7"/>
      <c r="P32" s="7" t="s">
        <v>327</v>
      </c>
      <c r="Q32" t="s">
        <v>414</v>
      </c>
    </row>
    <row r="33" spans="2:17">
      <c r="B33" s="7">
        <v>10079005338527</v>
      </c>
      <c r="C33" t="s">
        <v>330</v>
      </c>
      <c r="D33" t="s">
        <v>398</v>
      </c>
      <c r="F33" s="5" t="s">
        <v>439</v>
      </c>
      <c r="G33" t="s">
        <v>283</v>
      </c>
      <c r="K33" t="s">
        <v>321</v>
      </c>
      <c r="L33" s="7" t="s">
        <v>330</v>
      </c>
      <c r="M33" s="7" t="s">
        <v>347</v>
      </c>
      <c r="N33" s="7" t="s">
        <v>407</v>
      </c>
      <c r="O33" s="7"/>
      <c r="P33" s="7" t="s">
        <v>327</v>
      </c>
      <c r="Q33" t="s">
        <v>414</v>
      </c>
    </row>
    <row r="34" spans="2:17">
      <c r="B34" s="1">
        <v>10096423596457</v>
      </c>
      <c r="C34" t="s">
        <v>331</v>
      </c>
      <c r="D34" t="s">
        <v>397</v>
      </c>
      <c r="F34" t="s">
        <v>440</v>
      </c>
      <c r="G34" t="s">
        <v>357</v>
      </c>
      <c r="K34" t="s">
        <v>321</v>
      </c>
      <c r="L34" t="s">
        <v>331</v>
      </c>
      <c r="M34" t="s">
        <v>282</v>
      </c>
      <c r="N34" s="7" t="s">
        <v>407</v>
      </c>
      <c r="O34" s="7"/>
      <c r="P34" s="7" t="s">
        <v>327</v>
      </c>
      <c r="Q34" t="s">
        <v>414</v>
      </c>
    </row>
    <row r="35" spans="2:17">
      <c r="B35" s="1">
        <v>10096423596458</v>
      </c>
      <c r="C35" t="s">
        <v>331</v>
      </c>
      <c r="D35" t="s">
        <v>399</v>
      </c>
      <c r="F35" t="s">
        <v>440</v>
      </c>
      <c r="G35" t="s">
        <v>283</v>
      </c>
      <c r="K35" t="s">
        <v>321</v>
      </c>
      <c r="L35" t="s">
        <v>331</v>
      </c>
      <c r="M35" t="s">
        <v>348</v>
      </c>
      <c r="N35" s="7" t="s">
        <v>407</v>
      </c>
      <c r="O35" s="7"/>
      <c r="P35" s="7" t="s">
        <v>327</v>
      </c>
      <c r="Q35" t="s">
        <v>414</v>
      </c>
    </row>
    <row r="36" spans="2:17">
      <c r="B36" s="1">
        <v>10079004855425</v>
      </c>
      <c r="C36" t="s">
        <v>332</v>
      </c>
      <c r="D36" t="s">
        <v>397</v>
      </c>
      <c r="F36" t="s">
        <v>441</v>
      </c>
      <c r="G36" t="s">
        <v>357</v>
      </c>
      <c r="K36" t="s">
        <v>321</v>
      </c>
      <c r="L36" t="s">
        <v>332</v>
      </c>
      <c r="M36" t="s">
        <v>282</v>
      </c>
      <c r="N36" s="7" t="s">
        <v>407</v>
      </c>
      <c r="O36" s="7"/>
      <c r="P36" s="7" t="s">
        <v>327</v>
      </c>
      <c r="Q36" t="s">
        <v>414</v>
      </c>
    </row>
    <row r="37" spans="2:17">
      <c r="B37" s="1">
        <v>10079004855426</v>
      </c>
      <c r="C37" t="s">
        <v>332</v>
      </c>
      <c r="D37" t="s">
        <v>398</v>
      </c>
      <c r="F37" t="s">
        <v>441</v>
      </c>
      <c r="G37" t="s">
        <v>283</v>
      </c>
      <c r="K37" t="s">
        <v>321</v>
      </c>
      <c r="L37" t="s">
        <v>332</v>
      </c>
      <c r="M37" s="7" t="s">
        <v>347</v>
      </c>
      <c r="N37" s="7" t="s">
        <v>407</v>
      </c>
      <c r="O37" s="7"/>
      <c r="P37" s="7" t="s">
        <v>327</v>
      </c>
      <c r="Q37" t="s">
        <v>414</v>
      </c>
    </row>
    <row r="38" spans="2:17">
      <c r="B38" s="1">
        <v>10079004855427</v>
      </c>
      <c r="C38" t="s">
        <v>333</v>
      </c>
      <c r="D38" t="s">
        <v>397</v>
      </c>
      <c r="F38" t="s">
        <v>442</v>
      </c>
      <c r="G38" t="s">
        <v>357</v>
      </c>
      <c r="K38" t="s">
        <v>321</v>
      </c>
      <c r="L38" t="s">
        <v>333</v>
      </c>
      <c r="M38" s="7" t="s">
        <v>282</v>
      </c>
      <c r="N38" s="7" t="s">
        <v>407</v>
      </c>
      <c r="O38" s="7"/>
      <c r="P38" s="7" t="s">
        <v>327</v>
      </c>
      <c r="Q38" t="s">
        <v>414</v>
      </c>
    </row>
    <row r="39" spans="2:17">
      <c r="B39" s="1">
        <v>10079004855428</v>
      </c>
      <c r="C39" t="s">
        <v>333</v>
      </c>
      <c r="D39" t="s">
        <v>399</v>
      </c>
      <c r="F39" t="s">
        <v>442</v>
      </c>
      <c r="G39" t="s">
        <v>283</v>
      </c>
      <c r="K39" t="s">
        <v>321</v>
      </c>
      <c r="L39" t="s">
        <v>333</v>
      </c>
      <c r="M39" s="7" t="s">
        <v>348</v>
      </c>
      <c r="N39" s="7" t="s">
        <v>407</v>
      </c>
      <c r="O39" s="7"/>
      <c r="P39" s="7" t="s">
        <v>327</v>
      </c>
      <c r="Q39" t="s">
        <v>414</v>
      </c>
    </row>
    <row r="40" spans="2:17">
      <c r="F40" t="s">
        <v>432</v>
      </c>
      <c r="N40" s="7"/>
      <c r="O40" s="7"/>
      <c r="P40" s="7"/>
    </row>
    <row r="41" spans="2:17">
      <c r="F41" t="s">
        <v>432</v>
      </c>
      <c r="N41" s="7"/>
      <c r="O41" s="7"/>
      <c r="P41" s="7"/>
    </row>
    <row r="42" spans="2:17">
      <c r="B42" s="1">
        <v>10079952515170</v>
      </c>
      <c r="C42" t="s">
        <v>372</v>
      </c>
      <c r="D42" t="s">
        <v>397</v>
      </c>
      <c r="F42" t="s">
        <v>443</v>
      </c>
      <c r="G42" t="s">
        <v>357</v>
      </c>
      <c r="K42" t="s">
        <v>322</v>
      </c>
      <c r="L42" t="s">
        <v>329</v>
      </c>
      <c r="M42" t="s">
        <v>282</v>
      </c>
      <c r="N42" s="7" t="s">
        <v>407</v>
      </c>
      <c r="O42" s="7"/>
      <c r="P42" s="7" t="s">
        <v>327</v>
      </c>
      <c r="Q42" t="s">
        <v>414</v>
      </c>
    </row>
    <row r="43" spans="2:17">
      <c r="B43" s="1">
        <v>10098325451765</v>
      </c>
      <c r="C43" t="s">
        <v>372</v>
      </c>
      <c r="D43" t="s">
        <v>400</v>
      </c>
      <c r="F43" t="s">
        <v>443</v>
      </c>
      <c r="G43" t="s">
        <v>284</v>
      </c>
      <c r="K43" t="s">
        <v>322</v>
      </c>
      <c r="L43" t="s">
        <v>329</v>
      </c>
      <c r="M43" t="s">
        <v>356</v>
      </c>
      <c r="N43" s="7" t="s">
        <v>407</v>
      </c>
      <c r="O43" s="7"/>
      <c r="P43" s="7" t="s">
        <v>327</v>
      </c>
      <c r="Q43" t="s">
        <v>414</v>
      </c>
    </row>
    <row r="44" spans="2:17">
      <c r="B44" s="1">
        <v>10076155580250</v>
      </c>
      <c r="C44" t="s">
        <v>373</v>
      </c>
      <c r="D44" t="s">
        <v>397</v>
      </c>
      <c r="F44" t="s">
        <v>444</v>
      </c>
      <c r="G44" t="s">
        <v>357</v>
      </c>
      <c r="K44" t="s">
        <v>322</v>
      </c>
      <c r="L44" t="s">
        <v>330</v>
      </c>
      <c r="M44" t="s">
        <v>282</v>
      </c>
      <c r="N44" s="7" t="s">
        <v>407</v>
      </c>
      <c r="O44" s="7"/>
      <c r="P44" s="7" t="s">
        <v>327</v>
      </c>
      <c r="Q44" t="s">
        <v>414</v>
      </c>
    </row>
    <row r="45" spans="2:17">
      <c r="B45" s="1">
        <v>10098325451766</v>
      </c>
      <c r="C45" t="s">
        <v>373</v>
      </c>
      <c r="D45" t="s">
        <v>400</v>
      </c>
      <c r="F45" t="s">
        <v>444</v>
      </c>
      <c r="G45" t="s">
        <v>284</v>
      </c>
      <c r="K45" t="s">
        <v>322</v>
      </c>
      <c r="L45" t="s">
        <v>330</v>
      </c>
      <c r="M45" t="s">
        <v>356</v>
      </c>
      <c r="N45" s="7" t="s">
        <v>407</v>
      </c>
      <c r="O45" s="7"/>
      <c r="P45" s="7" t="s">
        <v>327</v>
      </c>
      <c r="Q45" t="s">
        <v>414</v>
      </c>
    </row>
    <row r="46" spans="2:17">
      <c r="B46" s="1">
        <v>10096423783964</v>
      </c>
      <c r="C46" t="s">
        <v>374</v>
      </c>
      <c r="D46" t="s">
        <v>397</v>
      </c>
      <c r="F46" t="s">
        <v>445</v>
      </c>
      <c r="G46" t="s">
        <v>357</v>
      </c>
      <c r="K46" t="s">
        <v>322</v>
      </c>
      <c r="L46" t="s">
        <v>331</v>
      </c>
      <c r="M46" t="s">
        <v>282</v>
      </c>
      <c r="N46" s="7" t="s">
        <v>407</v>
      </c>
      <c r="O46" s="7"/>
      <c r="P46" s="7" t="s">
        <v>327</v>
      </c>
      <c r="Q46" t="s">
        <v>414</v>
      </c>
    </row>
    <row r="47" spans="2:17">
      <c r="B47" s="1">
        <v>10098325451767</v>
      </c>
      <c r="C47" t="s">
        <v>374</v>
      </c>
      <c r="D47" t="s">
        <v>401</v>
      </c>
      <c r="F47" t="s">
        <v>445</v>
      </c>
      <c r="G47" t="s">
        <v>284</v>
      </c>
      <c r="K47" t="s">
        <v>322</v>
      </c>
      <c r="L47" t="s">
        <v>331</v>
      </c>
      <c r="M47" t="s">
        <v>349</v>
      </c>
      <c r="N47" s="7" t="s">
        <v>407</v>
      </c>
      <c r="O47" s="7"/>
      <c r="P47" s="7" t="s">
        <v>327</v>
      </c>
      <c r="Q47" t="s">
        <v>414</v>
      </c>
    </row>
    <row r="48" spans="2:17">
      <c r="B48" s="1">
        <v>10076155580252</v>
      </c>
      <c r="C48" t="s">
        <v>375</v>
      </c>
      <c r="D48" t="s">
        <v>397</v>
      </c>
      <c r="F48" t="s">
        <v>446</v>
      </c>
      <c r="G48" t="s">
        <v>357</v>
      </c>
      <c r="K48" t="s">
        <v>322</v>
      </c>
      <c r="L48" t="s">
        <v>332</v>
      </c>
      <c r="M48" t="s">
        <v>282</v>
      </c>
      <c r="N48" s="7" t="s">
        <v>407</v>
      </c>
      <c r="O48" s="7"/>
      <c r="P48" s="7" t="s">
        <v>327</v>
      </c>
      <c r="Q48" t="s">
        <v>414</v>
      </c>
    </row>
    <row r="49" spans="2:17">
      <c r="B49" s="1">
        <v>10098325451768</v>
      </c>
      <c r="C49" t="s">
        <v>375</v>
      </c>
      <c r="D49" t="s">
        <v>400</v>
      </c>
      <c r="F49" t="s">
        <v>446</v>
      </c>
      <c r="G49" t="s">
        <v>284</v>
      </c>
      <c r="K49" t="s">
        <v>322</v>
      </c>
      <c r="L49" t="s">
        <v>332</v>
      </c>
      <c r="M49" t="s">
        <v>356</v>
      </c>
      <c r="N49" s="7" t="s">
        <v>407</v>
      </c>
      <c r="O49" s="7"/>
      <c r="P49" s="7" t="s">
        <v>327</v>
      </c>
      <c r="Q49" t="s">
        <v>414</v>
      </c>
    </row>
    <row r="50" spans="2:17">
      <c r="B50" s="1">
        <v>10076155580254</v>
      </c>
      <c r="C50" t="s">
        <v>376</v>
      </c>
      <c r="D50" t="s">
        <v>397</v>
      </c>
      <c r="F50" t="s">
        <v>447</v>
      </c>
      <c r="G50" t="s">
        <v>357</v>
      </c>
      <c r="K50" t="s">
        <v>322</v>
      </c>
      <c r="L50" t="s">
        <v>333</v>
      </c>
      <c r="M50" t="s">
        <v>282</v>
      </c>
      <c r="N50" s="7" t="s">
        <v>407</v>
      </c>
      <c r="O50" s="7"/>
      <c r="P50" s="7" t="s">
        <v>327</v>
      </c>
      <c r="Q50" t="s">
        <v>414</v>
      </c>
    </row>
    <row r="51" spans="2:17">
      <c r="B51" s="1">
        <v>10098325451769</v>
      </c>
      <c r="C51" t="s">
        <v>376</v>
      </c>
      <c r="D51" t="s">
        <v>401</v>
      </c>
      <c r="F51" t="s">
        <v>447</v>
      </c>
      <c r="G51" t="s">
        <v>284</v>
      </c>
      <c r="K51" t="s">
        <v>322</v>
      </c>
      <c r="L51" t="s">
        <v>333</v>
      </c>
      <c r="M51" t="s">
        <v>349</v>
      </c>
      <c r="N51" s="7" t="s">
        <v>407</v>
      </c>
      <c r="O51" s="7"/>
      <c r="P51" s="7" t="s">
        <v>327</v>
      </c>
      <c r="Q51" t="s">
        <v>414</v>
      </c>
    </row>
    <row r="52" spans="2:17">
      <c r="B52" s="1">
        <v>10076155580248</v>
      </c>
      <c r="C52" t="s">
        <v>377</v>
      </c>
      <c r="D52" t="s">
        <v>397</v>
      </c>
      <c r="F52" t="s">
        <v>448</v>
      </c>
      <c r="G52" t="s">
        <v>357</v>
      </c>
      <c r="K52" t="s">
        <v>322</v>
      </c>
      <c r="L52" t="s">
        <v>329</v>
      </c>
      <c r="M52" t="s">
        <v>282</v>
      </c>
      <c r="N52" s="7" t="s">
        <v>407</v>
      </c>
      <c r="O52" s="7"/>
      <c r="P52" s="7" t="s">
        <v>327</v>
      </c>
      <c r="Q52" t="s">
        <v>414</v>
      </c>
    </row>
    <row r="53" spans="2:17">
      <c r="B53" s="1">
        <v>10098325451770</v>
      </c>
      <c r="C53" t="s">
        <v>377</v>
      </c>
      <c r="D53" t="s">
        <v>400</v>
      </c>
      <c r="F53" t="s">
        <v>448</v>
      </c>
      <c r="G53" t="s">
        <v>284</v>
      </c>
      <c r="K53" t="s">
        <v>322</v>
      </c>
      <c r="L53" t="s">
        <v>329</v>
      </c>
      <c r="M53" t="s">
        <v>356</v>
      </c>
      <c r="N53" s="7" t="s">
        <v>407</v>
      </c>
      <c r="O53" s="7"/>
      <c r="P53" s="7" t="s">
        <v>327</v>
      </c>
      <c r="Q53" t="s">
        <v>414</v>
      </c>
    </row>
    <row r="54" spans="2:17">
      <c r="B54" s="1">
        <v>10080978603165</v>
      </c>
      <c r="C54" t="s">
        <v>378</v>
      </c>
      <c r="D54" t="s">
        <v>397</v>
      </c>
      <c r="F54" t="s">
        <v>449</v>
      </c>
      <c r="G54" t="s">
        <v>357</v>
      </c>
      <c r="K54" t="s">
        <v>322</v>
      </c>
      <c r="L54" t="s">
        <v>332</v>
      </c>
      <c r="M54" t="s">
        <v>282</v>
      </c>
      <c r="N54" s="7" t="s">
        <v>407</v>
      </c>
      <c r="O54" s="7"/>
      <c r="P54" s="7" t="s">
        <v>327</v>
      </c>
      <c r="Q54" t="s">
        <v>414</v>
      </c>
    </row>
    <row r="55" spans="2:17">
      <c r="B55" s="1">
        <v>10098325451771</v>
      </c>
      <c r="C55" t="s">
        <v>378</v>
      </c>
      <c r="D55" t="s">
        <v>400</v>
      </c>
      <c r="F55" t="s">
        <v>449</v>
      </c>
      <c r="G55" t="s">
        <v>284</v>
      </c>
      <c r="K55" t="s">
        <v>322</v>
      </c>
      <c r="L55" t="s">
        <v>332</v>
      </c>
      <c r="M55" t="s">
        <v>356</v>
      </c>
      <c r="N55" s="7" t="s">
        <v>407</v>
      </c>
      <c r="O55" s="7"/>
      <c r="P55" s="7" t="s">
        <v>327</v>
      </c>
      <c r="Q55" t="s">
        <v>414</v>
      </c>
    </row>
    <row r="56" spans="2:17">
      <c r="F56" t="s">
        <v>432</v>
      </c>
      <c r="N56" s="7"/>
      <c r="O56" s="7"/>
    </row>
    <row r="57" spans="2:17">
      <c r="B57" s="1">
        <v>10100313931162</v>
      </c>
      <c r="C57" t="s">
        <v>337</v>
      </c>
      <c r="F57" t="s">
        <v>737</v>
      </c>
      <c r="G57" t="s">
        <v>739</v>
      </c>
      <c r="K57" t="s">
        <v>738</v>
      </c>
      <c r="L57" t="s">
        <v>337</v>
      </c>
      <c r="N57" s="7" t="s">
        <v>407</v>
      </c>
      <c r="O57" s="7"/>
    </row>
    <row r="58" spans="2:17">
      <c r="B58" s="1">
        <v>10100313931163</v>
      </c>
      <c r="C58" t="s">
        <v>337</v>
      </c>
      <c r="F58" t="s">
        <v>740</v>
      </c>
      <c r="G58" t="s">
        <v>285</v>
      </c>
      <c r="K58" t="s">
        <v>738</v>
      </c>
      <c r="L58" t="s">
        <v>337</v>
      </c>
      <c r="M58" t="s">
        <v>350</v>
      </c>
      <c r="N58" s="7" t="s">
        <v>407</v>
      </c>
      <c r="O58" s="7"/>
    </row>
    <row r="59" spans="2:17">
      <c r="B59" s="1">
        <v>10095556454944</v>
      </c>
      <c r="C59" t="s">
        <v>379</v>
      </c>
      <c r="F59" t="s">
        <v>450</v>
      </c>
      <c r="G59" t="s">
        <v>357</v>
      </c>
      <c r="K59" t="s">
        <v>323</v>
      </c>
      <c r="L59" t="s">
        <v>334</v>
      </c>
      <c r="N59" s="7" t="s">
        <v>407</v>
      </c>
      <c r="O59" s="7" t="s">
        <v>472</v>
      </c>
      <c r="P59" s="7" t="s">
        <v>327</v>
      </c>
      <c r="Q59" t="s">
        <v>414</v>
      </c>
    </row>
    <row r="60" spans="2:17">
      <c r="B60" s="1">
        <v>10095556454945</v>
      </c>
      <c r="C60" t="s">
        <v>379</v>
      </c>
      <c r="F60" t="s">
        <v>450</v>
      </c>
      <c r="G60" t="s">
        <v>285</v>
      </c>
      <c r="K60" t="s">
        <v>323</v>
      </c>
      <c r="L60" t="s">
        <v>334</v>
      </c>
      <c r="M60" t="s">
        <v>350</v>
      </c>
      <c r="N60" s="7" t="s">
        <v>407</v>
      </c>
      <c r="O60" s="7" t="s">
        <v>472</v>
      </c>
      <c r="P60" s="7" t="s">
        <v>327</v>
      </c>
      <c r="Q60" t="s">
        <v>414</v>
      </c>
    </row>
    <row r="61" spans="2:17">
      <c r="B61" s="1">
        <v>10095556454946</v>
      </c>
      <c r="C61" t="s">
        <v>335</v>
      </c>
      <c r="F61" t="s">
        <v>451</v>
      </c>
      <c r="G61" t="s">
        <v>357</v>
      </c>
      <c r="K61" t="s">
        <v>323</v>
      </c>
      <c r="L61" t="s">
        <v>335</v>
      </c>
      <c r="N61" s="7" t="s">
        <v>407</v>
      </c>
      <c r="O61" s="7" t="s">
        <v>472</v>
      </c>
      <c r="P61" s="7" t="s">
        <v>327</v>
      </c>
      <c r="Q61" t="s">
        <v>414</v>
      </c>
    </row>
    <row r="62" spans="2:17">
      <c r="B62" s="1">
        <v>10095556454947</v>
      </c>
      <c r="C62" t="s">
        <v>335</v>
      </c>
      <c r="F62" t="s">
        <v>451</v>
      </c>
      <c r="G62" t="s">
        <v>285</v>
      </c>
      <c r="K62" t="s">
        <v>323</v>
      </c>
      <c r="L62" t="s">
        <v>335</v>
      </c>
      <c r="M62" t="s">
        <v>350</v>
      </c>
      <c r="N62" s="7" t="s">
        <v>407</v>
      </c>
      <c r="O62" s="7" t="s">
        <v>472</v>
      </c>
      <c r="P62" s="7" t="s">
        <v>327</v>
      </c>
      <c r="Q62" t="s">
        <v>414</v>
      </c>
    </row>
    <row r="63" spans="2:17">
      <c r="B63" s="1">
        <v>10096423837392</v>
      </c>
      <c r="C63" t="s">
        <v>380</v>
      </c>
      <c r="F63" t="s">
        <v>452</v>
      </c>
      <c r="G63" t="s">
        <v>357</v>
      </c>
      <c r="K63" t="s">
        <v>323</v>
      </c>
      <c r="L63" t="s">
        <v>336</v>
      </c>
      <c r="N63" s="7" t="s">
        <v>407</v>
      </c>
      <c r="O63" s="7" t="s">
        <v>472</v>
      </c>
      <c r="P63" s="7" t="s">
        <v>327</v>
      </c>
      <c r="Q63" t="s">
        <v>414</v>
      </c>
    </row>
    <row r="64" spans="2:17">
      <c r="B64" s="1">
        <v>10096423837393</v>
      </c>
      <c r="C64" t="s">
        <v>380</v>
      </c>
      <c r="F64" t="s">
        <v>452</v>
      </c>
      <c r="G64" t="s">
        <v>285</v>
      </c>
      <c r="K64" t="s">
        <v>323</v>
      </c>
      <c r="L64" t="s">
        <v>336</v>
      </c>
      <c r="M64" t="s">
        <v>350</v>
      </c>
      <c r="N64" s="7" t="s">
        <v>407</v>
      </c>
      <c r="O64" s="7" t="s">
        <v>472</v>
      </c>
      <c r="P64" s="7" t="s">
        <v>327</v>
      </c>
      <c r="Q64" t="s">
        <v>414</v>
      </c>
    </row>
    <row r="65" spans="2:17">
      <c r="B65" s="1">
        <v>10113469917671</v>
      </c>
      <c r="C65" t="s">
        <v>381</v>
      </c>
      <c r="F65" t="s">
        <v>473</v>
      </c>
      <c r="K65" t="s">
        <v>323</v>
      </c>
      <c r="L65" t="s">
        <v>473</v>
      </c>
      <c r="N65" s="7" t="s">
        <v>407</v>
      </c>
      <c r="O65" s="7" t="s">
        <v>472</v>
      </c>
      <c r="P65" s="7" t="s">
        <v>327</v>
      </c>
      <c r="Q65" t="s">
        <v>414</v>
      </c>
    </row>
    <row r="66" spans="2:17">
      <c r="B66" s="1">
        <v>10113469917672</v>
      </c>
      <c r="C66" t="s">
        <v>381</v>
      </c>
      <c r="F66" t="s">
        <v>473</v>
      </c>
      <c r="G66" t="s">
        <v>285</v>
      </c>
      <c r="K66" t="s">
        <v>323</v>
      </c>
      <c r="L66" t="s">
        <v>473</v>
      </c>
      <c r="M66" t="s">
        <v>350</v>
      </c>
      <c r="N66" s="7" t="s">
        <v>407</v>
      </c>
      <c r="O66" s="7" t="s">
        <v>472</v>
      </c>
      <c r="P66" s="7" t="s">
        <v>327</v>
      </c>
      <c r="Q66" t="s">
        <v>414</v>
      </c>
    </row>
    <row r="67" spans="2:17">
      <c r="B67" s="1">
        <v>10072886192153</v>
      </c>
      <c r="C67" t="s">
        <v>382</v>
      </c>
      <c r="F67" t="s">
        <v>453</v>
      </c>
      <c r="G67" t="s">
        <v>357</v>
      </c>
      <c r="K67" t="s">
        <v>323</v>
      </c>
      <c r="L67" t="s">
        <v>337</v>
      </c>
      <c r="N67" s="7" t="s">
        <v>407</v>
      </c>
      <c r="O67" s="7" t="s">
        <v>472</v>
      </c>
      <c r="P67" s="7" t="s">
        <v>327</v>
      </c>
      <c r="Q67" t="s">
        <v>414</v>
      </c>
    </row>
    <row r="68" spans="2:17">
      <c r="B68" s="1">
        <v>10072886192154</v>
      </c>
      <c r="C68" t="s">
        <v>382</v>
      </c>
      <c r="F68" t="s">
        <v>453</v>
      </c>
      <c r="G68" t="s">
        <v>285</v>
      </c>
      <c r="K68" t="s">
        <v>323</v>
      </c>
      <c r="L68" t="s">
        <v>337</v>
      </c>
      <c r="M68" t="s">
        <v>350</v>
      </c>
      <c r="N68" s="7" t="s">
        <v>407</v>
      </c>
      <c r="O68" s="7" t="s">
        <v>472</v>
      </c>
      <c r="P68" s="7" t="s">
        <v>327</v>
      </c>
      <c r="Q68" t="s">
        <v>414</v>
      </c>
    </row>
    <row r="69" spans="2:17">
      <c r="B69" s="1">
        <v>10095556454948</v>
      </c>
      <c r="C69" t="s">
        <v>338</v>
      </c>
      <c r="F69" t="s">
        <v>454</v>
      </c>
      <c r="G69" t="s">
        <v>357</v>
      </c>
      <c r="K69" t="s">
        <v>323</v>
      </c>
      <c r="L69" t="s">
        <v>338</v>
      </c>
      <c r="N69" s="7" t="s">
        <v>407</v>
      </c>
      <c r="O69" s="7" t="s">
        <v>472</v>
      </c>
      <c r="P69" s="7" t="s">
        <v>327</v>
      </c>
      <c r="Q69" t="s">
        <v>414</v>
      </c>
    </row>
    <row r="70" spans="2:17">
      <c r="B70" s="1">
        <v>10095556454949</v>
      </c>
      <c r="C70" t="s">
        <v>338</v>
      </c>
      <c r="F70" t="s">
        <v>454</v>
      </c>
      <c r="G70" t="s">
        <v>285</v>
      </c>
      <c r="K70" t="s">
        <v>323</v>
      </c>
      <c r="L70" t="s">
        <v>338</v>
      </c>
      <c r="M70" t="s">
        <v>350</v>
      </c>
      <c r="N70" s="7" t="s">
        <v>407</v>
      </c>
      <c r="O70" s="7" t="s">
        <v>472</v>
      </c>
      <c r="P70" s="7" t="s">
        <v>327</v>
      </c>
      <c r="Q70" t="s">
        <v>414</v>
      </c>
    </row>
    <row r="71" spans="2:17">
      <c r="B71" s="1">
        <v>10072886192155</v>
      </c>
      <c r="C71" t="s">
        <v>339</v>
      </c>
      <c r="F71" t="s">
        <v>455</v>
      </c>
      <c r="G71" t="s">
        <v>357</v>
      </c>
      <c r="K71" t="s">
        <v>323</v>
      </c>
      <c r="L71" t="s">
        <v>339</v>
      </c>
      <c r="N71" s="7" t="s">
        <v>407</v>
      </c>
      <c r="O71" s="7" t="s">
        <v>472</v>
      </c>
      <c r="P71" s="7" t="s">
        <v>327</v>
      </c>
      <c r="Q71" t="s">
        <v>414</v>
      </c>
    </row>
    <row r="72" spans="2:17">
      <c r="B72" s="1">
        <v>10072886192156</v>
      </c>
      <c r="C72" t="s">
        <v>339</v>
      </c>
      <c r="F72" t="s">
        <v>455</v>
      </c>
      <c r="G72" t="s">
        <v>285</v>
      </c>
      <c r="K72" t="s">
        <v>323</v>
      </c>
      <c r="L72" t="s">
        <v>339</v>
      </c>
      <c r="M72" t="s">
        <v>350</v>
      </c>
      <c r="N72" s="7" t="s">
        <v>407</v>
      </c>
      <c r="O72" s="7" t="s">
        <v>472</v>
      </c>
      <c r="P72" s="7" t="s">
        <v>327</v>
      </c>
      <c r="Q72" t="s">
        <v>414</v>
      </c>
    </row>
    <row r="73" spans="2:17">
      <c r="F73" t="s">
        <v>432</v>
      </c>
      <c r="N73" s="7"/>
      <c r="O73" s="7"/>
      <c r="P73" s="7"/>
    </row>
    <row r="74" spans="2:17">
      <c r="B74" s="1">
        <v>10096110497205</v>
      </c>
      <c r="C74" s="12" t="s">
        <v>717</v>
      </c>
      <c r="D74" t="s">
        <v>397</v>
      </c>
      <c r="F74" t="s">
        <v>483</v>
      </c>
      <c r="G74" t="s">
        <v>719</v>
      </c>
      <c r="K74" t="s">
        <v>324</v>
      </c>
      <c r="L74" t="s">
        <v>717</v>
      </c>
      <c r="N74" s="7" t="s">
        <v>407</v>
      </c>
      <c r="O74" s="7" t="s">
        <v>472</v>
      </c>
      <c r="P74" s="7" t="s">
        <v>327</v>
      </c>
      <c r="Q74" t="s">
        <v>414</v>
      </c>
    </row>
    <row r="75" spans="2:17">
      <c r="B75" s="1">
        <v>10096110497206</v>
      </c>
      <c r="C75" s="12" t="s">
        <v>717</v>
      </c>
      <c r="D75" t="s">
        <v>350</v>
      </c>
      <c r="F75" t="s">
        <v>727</v>
      </c>
      <c r="G75" t="s">
        <v>285</v>
      </c>
      <c r="K75" t="s">
        <v>324</v>
      </c>
      <c r="L75" t="s">
        <v>717</v>
      </c>
      <c r="M75" t="s">
        <v>350</v>
      </c>
      <c r="N75" s="7" t="s">
        <v>407</v>
      </c>
      <c r="O75" s="7" t="s">
        <v>472</v>
      </c>
      <c r="P75" s="7" t="s">
        <v>327</v>
      </c>
      <c r="Q75" t="s">
        <v>414</v>
      </c>
    </row>
    <row r="76" spans="2:17">
      <c r="B76" s="1">
        <v>10096110497207</v>
      </c>
      <c r="C76" t="s">
        <v>384</v>
      </c>
      <c r="D76" t="s">
        <v>397</v>
      </c>
      <c r="F76" t="s">
        <v>720</v>
      </c>
      <c r="G76" t="s">
        <v>722</v>
      </c>
      <c r="K76" t="s">
        <v>324</v>
      </c>
      <c r="L76" t="s">
        <v>335</v>
      </c>
      <c r="N76" s="7" t="s">
        <v>407</v>
      </c>
      <c r="O76" s="7" t="s">
        <v>472</v>
      </c>
      <c r="P76" s="7" t="s">
        <v>327</v>
      </c>
      <c r="Q76" t="s">
        <v>414</v>
      </c>
    </row>
    <row r="77" spans="2:17">
      <c r="B77" s="1">
        <v>10096110497208</v>
      </c>
      <c r="C77" t="s">
        <v>384</v>
      </c>
      <c r="D77" t="s">
        <v>350</v>
      </c>
      <c r="F77" t="s">
        <v>728</v>
      </c>
      <c r="G77" t="s">
        <v>285</v>
      </c>
      <c r="K77" t="s">
        <v>324</v>
      </c>
      <c r="L77" t="s">
        <v>335</v>
      </c>
      <c r="M77" t="s">
        <v>350</v>
      </c>
      <c r="N77" s="7" t="s">
        <v>407</v>
      </c>
      <c r="O77" s="7" t="s">
        <v>472</v>
      </c>
      <c r="P77" s="7" t="s">
        <v>327</v>
      </c>
      <c r="Q77" t="s">
        <v>414</v>
      </c>
    </row>
    <row r="78" spans="2:17">
      <c r="B78" s="1">
        <v>10096423959786</v>
      </c>
      <c r="C78" t="s">
        <v>385</v>
      </c>
      <c r="D78" t="s">
        <v>397</v>
      </c>
      <c r="F78" t="s">
        <v>483</v>
      </c>
      <c r="G78" t="s">
        <v>723</v>
      </c>
      <c r="K78" t="s">
        <v>324</v>
      </c>
      <c r="L78" t="s">
        <v>336</v>
      </c>
      <c r="N78" s="7" t="s">
        <v>407</v>
      </c>
      <c r="O78" s="7" t="s">
        <v>472</v>
      </c>
      <c r="P78" s="7" t="s">
        <v>327</v>
      </c>
      <c r="Q78" t="s">
        <v>414</v>
      </c>
    </row>
    <row r="79" spans="2:17">
      <c r="B79" s="1">
        <v>10096423959787</v>
      </c>
      <c r="C79" t="s">
        <v>385</v>
      </c>
      <c r="D79" t="s">
        <v>350</v>
      </c>
      <c r="F79" t="s">
        <v>729</v>
      </c>
      <c r="G79" t="s">
        <v>285</v>
      </c>
      <c r="K79" t="s">
        <v>324</v>
      </c>
      <c r="L79" t="s">
        <v>336</v>
      </c>
      <c r="M79" t="s">
        <v>350</v>
      </c>
      <c r="N79" s="7" t="s">
        <v>407</v>
      </c>
      <c r="O79" s="7" t="s">
        <v>472</v>
      </c>
      <c r="P79" s="7" t="s">
        <v>327</v>
      </c>
      <c r="Q79" t="s">
        <v>414</v>
      </c>
    </row>
    <row r="80" spans="2:17">
      <c r="B80" s="1">
        <v>10096110497209</v>
      </c>
      <c r="C80" t="s">
        <v>386</v>
      </c>
      <c r="D80" t="s">
        <v>397</v>
      </c>
      <c r="F80" t="s">
        <v>483</v>
      </c>
      <c r="G80" t="s">
        <v>726</v>
      </c>
      <c r="K80" t="s">
        <v>324</v>
      </c>
      <c r="L80" t="s">
        <v>337</v>
      </c>
      <c r="N80" s="7" t="s">
        <v>407</v>
      </c>
      <c r="O80" s="7" t="s">
        <v>472</v>
      </c>
      <c r="P80" s="7" t="s">
        <v>327</v>
      </c>
      <c r="Q80" t="s">
        <v>414</v>
      </c>
    </row>
    <row r="81" spans="2:17">
      <c r="B81" s="1">
        <v>10096110497210</v>
      </c>
      <c r="C81" t="s">
        <v>386</v>
      </c>
      <c r="D81" t="s">
        <v>350</v>
      </c>
      <c r="F81" t="s">
        <v>730</v>
      </c>
      <c r="G81" t="s">
        <v>285</v>
      </c>
      <c r="K81" t="s">
        <v>324</v>
      </c>
      <c r="L81" t="s">
        <v>337</v>
      </c>
      <c r="M81" t="s">
        <v>350</v>
      </c>
      <c r="N81" s="7" t="s">
        <v>407</v>
      </c>
      <c r="O81" s="7" t="s">
        <v>472</v>
      </c>
      <c r="P81" s="7" t="s">
        <v>327</v>
      </c>
      <c r="Q81" t="s">
        <v>414</v>
      </c>
    </row>
    <row r="82" spans="2:17">
      <c r="B82" s="1">
        <v>10096110601011</v>
      </c>
      <c r="C82" t="s">
        <v>387</v>
      </c>
      <c r="D82" t="s">
        <v>397</v>
      </c>
      <c r="F82" t="s">
        <v>720</v>
      </c>
      <c r="G82" t="s">
        <v>725</v>
      </c>
      <c r="K82" t="s">
        <v>324</v>
      </c>
      <c r="L82" t="s">
        <v>338</v>
      </c>
      <c r="N82" s="7" t="s">
        <v>407</v>
      </c>
      <c r="O82" s="7" t="s">
        <v>472</v>
      </c>
      <c r="P82" s="7" t="s">
        <v>327</v>
      </c>
      <c r="Q82" t="s">
        <v>414</v>
      </c>
    </row>
    <row r="83" spans="2:17">
      <c r="B83" s="1">
        <v>10096110601012</v>
      </c>
      <c r="C83" t="s">
        <v>387</v>
      </c>
      <c r="D83" t="s">
        <v>350</v>
      </c>
      <c r="F83" t="s">
        <v>731</v>
      </c>
      <c r="G83" t="s">
        <v>285</v>
      </c>
      <c r="K83" t="s">
        <v>324</v>
      </c>
      <c r="L83" t="s">
        <v>338</v>
      </c>
      <c r="M83" t="s">
        <v>350</v>
      </c>
      <c r="N83" s="7" t="s">
        <v>407</v>
      </c>
      <c r="O83" s="7" t="s">
        <v>472</v>
      </c>
      <c r="P83" s="7" t="s">
        <v>327</v>
      </c>
      <c r="Q83" t="s">
        <v>414</v>
      </c>
    </row>
    <row r="84" spans="2:17">
      <c r="B84" s="1">
        <v>10096110601013</v>
      </c>
      <c r="C84" t="s">
        <v>388</v>
      </c>
      <c r="D84" t="s">
        <v>397</v>
      </c>
      <c r="F84" t="s">
        <v>483</v>
      </c>
      <c r="G84" t="s">
        <v>724</v>
      </c>
      <c r="K84" t="s">
        <v>324</v>
      </c>
      <c r="L84" t="s">
        <v>339</v>
      </c>
      <c r="N84" s="7" t="s">
        <v>407</v>
      </c>
      <c r="O84" s="7" t="s">
        <v>472</v>
      </c>
      <c r="P84" s="7" t="s">
        <v>327</v>
      </c>
      <c r="Q84" t="s">
        <v>414</v>
      </c>
    </row>
    <row r="85" spans="2:17">
      <c r="B85" s="1">
        <v>10096110601014</v>
      </c>
      <c r="C85" t="s">
        <v>388</v>
      </c>
      <c r="D85" t="s">
        <v>350</v>
      </c>
      <c r="F85" t="s">
        <v>732</v>
      </c>
      <c r="G85" t="s">
        <v>285</v>
      </c>
      <c r="K85" t="s">
        <v>324</v>
      </c>
      <c r="L85" t="s">
        <v>339</v>
      </c>
      <c r="M85" t="s">
        <v>350</v>
      </c>
      <c r="N85" s="7" t="s">
        <v>407</v>
      </c>
      <c r="O85" s="7" t="s">
        <v>472</v>
      </c>
      <c r="P85" s="7" t="s">
        <v>327</v>
      </c>
      <c r="Q85" t="s">
        <v>414</v>
      </c>
    </row>
    <row r="86" spans="2:17">
      <c r="N86" s="7"/>
      <c r="O86" s="7"/>
      <c r="P86" s="7"/>
    </row>
    <row r="87" spans="2:17">
      <c r="B87" s="1">
        <v>10110377006415</v>
      </c>
      <c r="C87" t="s">
        <v>475</v>
      </c>
      <c r="F87" t="s">
        <v>483</v>
      </c>
      <c r="G87" t="s">
        <v>482</v>
      </c>
      <c r="K87" t="s">
        <v>324</v>
      </c>
      <c r="L87" t="s">
        <v>476</v>
      </c>
      <c r="N87" s="7" t="s">
        <v>407</v>
      </c>
      <c r="O87" s="7" t="s">
        <v>472</v>
      </c>
      <c r="P87" s="7" t="s">
        <v>327</v>
      </c>
      <c r="Q87" t="s">
        <v>414</v>
      </c>
    </row>
    <row r="88" spans="2:17">
      <c r="N88" s="7"/>
      <c r="O88" s="7"/>
      <c r="P88" s="7"/>
    </row>
    <row r="89" spans="2:17">
      <c r="B89" s="1">
        <v>10096330687992</v>
      </c>
      <c r="C89" t="s">
        <v>389</v>
      </c>
      <c r="D89" t="s">
        <v>397</v>
      </c>
      <c r="F89" t="s">
        <v>456</v>
      </c>
      <c r="G89" t="s">
        <v>357</v>
      </c>
      <c r="K89" t="s">
        <v>325</v>
      </c>
      <c r="L89" t="s">
        <v>340</v>
      </c>
      <c r="N89" s="7" t="s">
        <v>407</v>
      </c>
      <c r="O89" s="7" t="s">
        <v>472</v>
      </c>
      <c r="P89" s="7" t="s">
        <v>327</v>
      </c>
      <c r="Q89" t="s">
        <v>414</v>
      </c>
    </row>
    <row r="90" spans="2:17">
      <c r="B90" s="1">
        <v>10096330687993</v>
      </c>
      <c r="C90" t="s">
        <v>389</v>
      </c>
      <c r="D90" t="s">
        <v>402</v>
      </c>
      <c r="F90" t="s">
        <v>456</v>
      </c>
      <c r="G90" t="s">
        <v>286</v>
      </c>
      <c r="K90" t="s">
        <v>325</v>
      </c>
      <c r="L90" t="s">
        <v>340</v>
      </c>
      <c r="M90" t="s">
        <v>351</v>
      </c>
      <c r="N90" s="7" t="s">
        <v>407</v>
      </c>
      <c r="O90" s="7" t="s">
        <v>472</v>
      </c>
      <c r="P90" s="7" t="s">
        <v>327</v>
      </c>
      <c r="Q90" t="s">
        <v>414</v>
      </c>
    </row>
    <row r="91" spans="2:17">
      <c r="B91" s="1">
        <v>10096330687994</v>
      </c>
      <c r="C91" t="s">
        <v>390</v>
      </c>
      <c r="D91" t="s">
        <v>397</v>
      </c>
      <c r="F91" t="s">
        <v>457</v>
      </c>
      <c r="G91" t="s">
        <v>357</v>
      </c>
      <c r="K91" t="s">
        <v>325</v>
      </c>
      <c r="L91" t="s">
        <v>337</v>
      </c>
      <c r="N91" s="7" t="s">
        <v>407</v>
      </c>
      <c r="O91" s="7" t="s">
        <v>472</v>
      </c>
      <c r="P91" s="7" t="s">
        <v>327</v>
      </c>
      <c r="Q91" t="s">
        <v>414</v>
      </c>
    </row>
    <row r="92" spans="2:17">
      <c r="B92" s="1">
        <v>10096330687995</v>
      </c>
      <c r="C92" t="s">
        <v>390</v>
      </c>
      <c r="D92" t="s">
        <v>402</v>
      </c>
      <c r="F92" t="s">
        <v>457</v>
      </c>
      <c r="G92" t="s">
        <v>286</v>
      </c>
      <c r="K92" t="s">
        <v>325</v>
      </c>
      <c r="L92" t="s">
        <v>337</v>
      </c>
      <c r="M92" t="s">
        <v>351</v>
      </c>
      <c r="N92" s="7" t="s">
        <v>407</v>
      </c>
      <c r="O92" s="7" t="s">
        <v>472</v>
      </c>
      <c r="P92" s="7" t="s">
        <v>327</v>
      </c>
      <c r="Q92" t="s">
        <v>414</v>
      </c>
    </row>
    <row r="93" spans="2:17">
      <c r="B93" s="1">
        <v>10096330687996</v>
      </c>
      <c r="C93" t="s">
        <v>391</v>
      </c>
      <c r="D93" t="s">
        <v>397</v>
      </c>
      <c r="F93" t="s">
        <v>458</v>
      </c>
      <c r="G93" t="s">
        <v>357</v>
      </c>
      <c r="K93" t="s">
        <v>325</v>
      </c>
      <c r="L93" t="s">
        <v>338</v>
      </c>
      <c r="N93" s="7" t="s">
        <v>407</v>
      </c>
      <c r="O93" s="7" t="s">
        <v>472</v>
      </c>
      <c r="P93" s="7" t="s">
        <v>327</v>
      </c>
      <c r="Q93" t="s">
        <v>414</v>
      </c>
    </row>
    <row r="94" spans="2:17">
      <c r="B94" s="1">
        <v>10096330687997</v>
      </c>
      <c r="C94" t="s">
        <v>391</v>
      </c>
      <c r="D94" t="s">
        <v>403</v>
      </c>
      <c r="F94" t="s">
        <v>458</v>
      </c>
      <c r="G94" t="s">
        <v>286</v>
      </c>
      <c r="K94" t="s">
        <v>325</v>
      </c>
      <c r="L94" t="s">
        <v>338</v>
      </c>
      <c r="M94" t="s">
        <v>352</v>
      </c>
      <c r="N94" s="7" t="s">
        <v>407</v>
      </c>
      <c r="O94" s="7" t="s">
        <v>472</v>
      </c>
      <c r="P94" s="7" t="s">
        <v>327</v>
      </c>
      <c r="Q94" t="s">
        <v>414</v>
      </c>
    </row>
    <row r="95" spans="2:17">
      <c r="B95" s="1">
        <v>10065676030060</v>
      </c>
      <c r="C95" t="s">
        <v>392</v>
      </c>
      <c r="D95" t="s">
        <v>397</v>
      </c>
      <c r="F95" t="s">
        <v>459</v>
      </c>
      <c r="G95" t="s">
        <v>357</v>
      </c>
      <c r="K95" t="s">
        <v>325</v>
      </c>
      <c r="L95" t="s">
        <v>339</v>
      </c>
      <c r="N95" s="7" t="s">
        <v>407</v>
      </c>
      <c r="O95" s="7" t="s">
        <v>472</v>
      </c>
      <c r="P95" s="7" t="s">
        <v>327</v>
      </c>
      <c r="Q95" t="s">
        <v>414</v>
      </c>
    </row>
    <row r="96" spans="2:17">
      <c r="B96" s="1">
        <v>10065792510700</v>
      </c>
      <c r="C96" t="s">
        <v>392</v>
      </c>
      <c r="D96" t="s">
        <v>402</v>
      </c>
      <c r="F96" t="s">
        <v>459</v>
      </c>
      <c r="G96" t="s">
        <v>286</v>
      </c>
      <c r="K96" t="s">
        <v>325</v>
      </c>
      <c r="L96" t="s">
        <v>339</v>
      </c>
      <c r="M96" t="s">
        <v>351</v>
      </c>
      <c r="N96" s="7" t="s">
        <v>407</v>
      </c>
      <c r="O96" s="7" t="s">
        <v>472</v>
      </c>
      <c r="P96" s="7" t="s">
        <v>327</v>
      </c>
      <c r="Q96" t="s">
        <v>414</v>
      </c>
    </row>
    <row r="97" spans="2:17">
      <c r="F97" t="s">
        <v>432</v>
      </c>
      <c r="N97" s="7"/>
      <c r="O97" s="7"/>
      <c r="P97" s="7"/>
    </row>
    <row r="98" spans="2:17">
      <c r="B98" s="1">
        <v>10116514564043</v>
      </c>
      <c r="C98" t="s">
        <v>477</v>
      </c>
      <c r="D98" t="s">
        <v>397</v>
      </c>
      <c r="F98" t="s">
        <v>479</v>
      </c>
      <c r="G98" t="s">
        <v>480</v>
      </c>
      <c r="K98" t="s">
        <v>325</v>
      </c>
      <c r="L98" t="s">
        <v>142</v>
      </c>
      <c r="N98" s="7" t="s">
        <v>407</v>
      </c>
      <c r="O98" s="7" t="s">
        <v>472</v>
      </c>
      <c r="P98" s="7" t="s">
        <v>327</v>
      </c>
      <c r="Q98" t="s">
        <v>414</v>
      </c>
    </row>
    <row r="99" spans="2:17">
      <c r="B99" s="1">
        <v>10115051052296</v>
      </c>
      <c r="C99" t="s">
        <v>477</v>
      </c>
      <c r="D99" t="s">
        <v>478</v>
      </c>
      <c r="F99" t="s">
        <v>479</v>
      </c>
      <c r="G99" t="s">
        <v>481</v>
      </c>
      <c r="K99" t="s">
        <v>325</v>
      </c>
      <c r="L99" t="s">
        <v>484</v>
      </c>
      <c r="N99" s="7" t="s">
        <v>407</v>
      </c>
      <c r="O99" s="7" t="s">
        <v>472</v>
      </c>
      <c r="P99" s="7" t="s">
        <v>327</v>
      </c>
      <c r="Q99" t="s">
        <v>414</v>
      </c>
    </row>
    <row r="100" spans="2:17">
      <c r="F100" t="s">
        <v>432</v>
      </c>
      <c r="N100" s="7"/>
      <c r="O100" s="7"/>
      <c r="P100" s="7"/>
    </row>
    <row r="101" spans="2:17">
      <c r="B101" s="1">
        <v>10116519570846</v>
      </c>
      <c r="C101" t="s">
        <v>477</v>
      </c>
      <c r="D101" t="s">
        <v>397</v>
      </c>
      <c r="F101" t="s">
        <v>479</v>
      </c>
      <c r="G101" t="s">
        <v>480</v>
      </c>
      <c r="K101" t="s">
        <v>325</v>
      </c>
      <c r="L101" t="s">
        <v>142</v>
      </c>
      <c r="N101" s="7" t="s">
        <v>407</v>
      </c>
      <c r="O101" s="7" t="s">
        <v>472</v>
      </c>
      <c r="P101" s="7" t="s">
        <v>327</v>
      </c>
      <c r="Q101" t="s">
        <v>414</v>
      </c>
    </row>
    <row r="102" spans="2:17">
      <c r="B102" s="1">
        <v>10105306173134</v>
      </c>
      <c r="C102" t="s">
        <v>477</v>
      </c>
      <c r="D102" t="s">
        <v>478</v>
      </c>
      <c r="F102" t="s">
        <v>479</v>
      </c>
      <c r="G102" t="s">
        <v>481</v>
      </c>
      <c r="K102" t="s">
        <v>325</v>
      </c>
      <c r="L102" t="s">
        <v>484</v>
      </c>
      <c r="N102" s="7" t="s">
        <v>407</v>
      </c>
      <c r="O102" s="7" t="s">
        <v>472</v>
      </c>
      <c r="P102" s="7" t="s">
        <v>327</v>
      </c>
      <c r="Q102" t="s">
        <v>414</v>
      </c>
    </row>
    <row r="103" spans="2:17">
      <c r="F103" t="s">
        <v>432</v>
      </c>
      <c r="N103" s="7"/>
      <c r="O103" s="7"/>
      <c r="P103" s="7"/>
    </row>
    <row r="104" spans="2:17">
      <c r="B104" s="1">
        <v>10076368638988</v>
      </c>
      <c r="C104" t="s">
        <v>393</v>
      </c>
      <c r="D104" t="s">
        <v>397</v>
      </c>
      <c r="F104" t="s">
        <v>460</v>
      </c>
      <c r="G104" t="s">
        <v>357</v>
      </c>
      <c r="K104" t="s">
        <v>326</v>
      </c>
      <c r="L104" t="s">
        <v>340</v>
      </c>
      <c r="N104" s="7" t="s">
        <v>407</v>
      </c>
      <c r="O104" s="7"/>
      <c r="P104" s="7" t="s">
        <v>327</v>
      </c>
      <c r="Q104" t="s">
        <v>414</v>
      </c>
    </row>
    <row r="105" spans="2:17">
      <c r="B105" s="1">
        <v>10076368638989</v>
      </c>
      <c r="C105" t="s">
        <v>393</v>
      </c>
      <c r="D105" t="s">
        <v>404</v>
      </c>
      <c r="F105" t="s">
        <v>460</v>
      </c>
      <c r="G105" t="s">
        <v>287</v>
      </c>
      <c r="K105" t="s">
        <v>326</v>
      </c>
      <c r="L105" t="s">
        <v>340</v>
      </c>
      <c r="M105" t="s">
        <v>353</v>
      </c>
      <c r="N105" s="7" t="s">
        <v>407</v>
      </c>
      <c r="O105" s="7"/>
      <c r="P105" s="7" t="s">
        <v>327</v>
      </c>
      <c r="Q105" t="s">
        <v>414</v>
      </c>
    </row>
    <row r="106" spans="2:17">
      <c r="B106" s="1">
        <v>10062429832101</v>
      </c>
      <c r="C106" t="s">
        <v>394</v>
      </c>
      <c r="D106" t="s">
        <v>397</v>
      </c>
      <c r="F106" t="s">
        <v>461</v>
      </c>
      <c r="G106" t="s">
        <v>357</v>
      </c>
      <c r="K106" t="s">
        <v>326</v>
      </c>
      <c r="L106" t="s">
        <v>337</v>
      </c>
      <c r="N106" s="7" t="s">
        <v>407</v>
      </c>
      <c r="O106" s="7"/>
      <c r="P106" s="7" t="s">
        <v>327</v>
      </c>
      <c r="Q106" t="s">
        <v>414</v>
      </c>
    </row>
    <row r="107" spans="2:17">
      <c r="B107" s="1">
        <v>10062760039975</v>
      </c>
      <c r="C107" t="s">
        <v>394</v>
      </c>
      <c r="D107" t="s">
        <v>404</v>
      </c>
      <c r="F107" t="s">
        <v>461</v>
      </c>
      <c r="G107" t="s">
        <v>287</v>
      </c>
      <c r="K107" t="s">
        <v>326</v>
      </c>
      <c r="L107" t="s">
        <v>337</v>
      </c>
      <c r="M107" t="s">
        <v>353</v>
      </c>
      <c r="N107" s="7" t="s">
        <v>407</v>
      </c>
      <c r="O107" s="7"/>
      <c r="P107" s="7" t="s">
        <v>327</v>
      </c>
      <c r="Q107" t="s">
        <v>414</v>
      </c>
    </row>
    <row r="108" spans="2:17">
      <c r="B108" s="1">
        <v>10062429832100</v>
      </c>
      <c r="C108" t="s">
        <v>395</v>
      </c>
      <c r="D108" t="s">
        <v>397</v>
      </c>
      <c r="F108" t="s">
        <v>462</v>
      </c>
      <c r="G108" t="s">
        <v>357</v>
      </c>
      <c r="K108" t="s">
        <v>326</v>
      </c>
      <c r="L108" t="s">
        <v>338</v>
      </c>
      <c r="N108" s="7" t="s">
        <v>407</v>
      </c>
      <c r="O108" s="7"/>
      <c r="P108" s="7" t="s">
        <v>327</v>
      </c>
      <c r="Q108" t="s">
        <v>414</v>
      </c>
    </row>
    <row r="109" spans="2:17">
      <c r="B109" s="1">
        <v>10062760039973</v>
      </c>
      <c r="C109" t="s">
        <v>395</v>
      </c>
      <c r="D109" t="s">
        <v>405</v>
      </c>
      <c r="F109" t="s">
        <v>462</v>
      </c>
      <c r="G109" t="s">
        <v>288</v>
      </c>
      <c r="K109" t="s">
        <v>326</v>
      </c>
      <c r="L109" t="s">
        <v>338</v>
      </c>
      <c r="M109" t="s">
        <v>354</v>
      </c>
      <c r="N109" s="7" t="s">
        <v>407</v>
      </c>
      <c r="O109" s="7"/>
      <c r="P109" s="7" t="s">
        <v>327</v>
      </c>
      <c r="Q109" t="s">
        <v>414</v>
      </c>
    </row>
    <row r="110" spans="2:17">
      <c r="F110" t="s">
        <v>432</v>
      </c>
      <c r="N110" s="7"/>
      <c r="O110" s="7"/>
    </row>
    <row r="111" spans="2:17">
      <c r="B111" s="1">
        <v>65560396374</v>
      </c>
      <c r="C111" t="s">
        <v>341</v>
      </c>
      <c r="F111" t="s">
        <v>463</v>
      </c>
      <c r="G111" t="s">
        <v>357</v>
      </c>
      <c r="L111" t="s">
        <v>341</v>
      </c>
      <c r="N111" s="7" t="s">
        <v>407</v>
      </c>
      <c r="O111" s="7"/>
    </row>
    <row r="112" spans="2:17">
      <c r="B112" s="1">
        <v>65575452393</v>
      </c>
      <c r="C112" t="s">
        <v>341</v>
      </c>
      <c r="F112" t="s">
        <v>463</v>
      </c>
      <c r="G112" t="s">
        <v>283</v>
      </c>
      <c r="L112" t="s">
        <v>341</v>
      </c>
      <c r="M112" t="s">
        <v>347</v>
      </c>
      <c r="N112" s="7" t="s">
        <v>407</v>
      </c>
      <c r="O112" s="7"/>
    </row>
    <row r="113" spans="2:17">
      <c r="B113" s="1">
        <v>10063852356778</v>
      </c>
      <c r="C113" t="s">
        <v>342</v>
      </c>
      <c r="F113" t="s">
        <v>464</v>
      </c>
      <c r="G113" t="s">
        <v>357</v>
      </c>
      <c r="L113" t="s">
        <v>342</v>
      </c>
      <c r="N113" s="7" t="s">
        <v>407</v>
      </c>
      <c r="O113" s="7"/>
    </row>
    <row r="114" spans="2:17">
      <c r="B114" s="1">
        <v>10063852356779</v>
      </c>
      <c r="C114" t="s">
        <v>342</v>
      </c>
      <c r="F114" t="s">
        <v>464</v>
      </c>
      <c r="G114" t="s">
        <v>283</v>
      </c>
      <c r="L114" t="s">
        <v>342</v>
      </c>
      <c r="M114" t="s">
        <v>347</v>
      </c>
      <c r="N114" s="7" t="s">
        <v>407</v>
      </c>
      <c r="O114" s="7"/>
    </row>
    <row r="115" spans="2:17">
      <c r="B115" s="1">
        <v>10038513738271</v>
      </c>
      <c r="C115" t="s">
        <v>342</v>
      </c>
      <c r="F115" t="s">
        <v>464</v>
      </c>
      <c r="G115" t="s">
        <v>357</v>
      </c>
      <c r="L115" t="s">
        <v>342</v>
      </c>
      <c r="N115" s="7" t="s">
        <v>407</v>
      </c>
      <c r="O115" s="7"/>
    </row>
    <row r="116" spans="2:17">
      <c r="B116" s="1">
        <v>10038513738272</v>
      </c>
      <c r="C116" t="s">
        <v>342</v>
      </c>
      <c r="F116" t="s">
        <v>464</v>
      </c>
      <c r="G116" t="s">
        <v>283</v>
      </c>
      <c r="L116" t="s">
        <v>342</v>
      </c>
      <c r="M116" t="s">
        <v>347</v>
      </c>
      <c r="N116" s="7" t="s">
        <v>407</v>
      </c>
      <c r="O116" s="7"/>
    </row>
    <row r="117" spans="2:17">
      <c r="B117" s="1">
        <v>10108205824743</v>
      </c>
      <c r="C117" t="s">
        <v>343</v>
      </c>
      <c r="F117" t="s">
        <v>465</v>
      </c>
      <c r="G117" t="s">
        <v>357</v>
      </c>
      <c r="L117" t="s">
        <v>343</v>
      </c>
      <c r="N117" s="7" t="s">
        <v>407</v>
      </c>
      <c r="O117" s="7"/>
    </row>
    <row r="118" spans="2:17">
      <c r="B118" s="1">
        <v>10116479464601</v>
      </c>
      <c r="C118" t="s">
        <v>343</v>
      </c>
      <c r="F118" t="s">
        <v>465</v>
      </c>
      <c r="G118" t="s">
        <v>284</v>
      </c>
      <c r="L118" t="s">
        <v>343</v>
      </c>
      <c r="M118" t="s">
        <v>355</v>
      </c>
      <c r="N118" s="7" t="s">
        <v>407</v>
      </c>
      <c r="O118" s="7"/>
    </row>
    <row r="119" spans="2:17">
      <c r="B119" s="1">
        <v>10108205824744</v>
      </c>
      <c r="C119" t="s">
        <v>343</v>
      </c>
      <c r="F119" t="s">
        <v>465</v>
      </c>
      <c r="G119" t="s">
        <v>284</v>
      </c>
      <c r="L119" t="s">
        <v>343</v>
      </c>
      <c r="M119" t="s">
        <v>356</v>
      </c>
      <c r="N119" s="7" t="s">
        <v>407</v>
      </c>
      <c r="O119" s="7"/>
    </row>
    <row r="120" spans="2:17">
      <c r="B120" s="1">
        <v>10026351388106</v>
      </c>
      <c r="C120" t="s">
        <v>344</v>
      </c>
      <c r="F120" t="s">
        <v>466</v>
      </c>
      <c r="G120" t="s">
        <v>357</v>
      </c>
      <c r="L120" t="s">
        <v>344</v>
      </c>
      <c r="N120" s="7" t="s">
        <v>407</v>
      </c>
      <c r="O120" s="7"/>
    </row>
    <row r="121" spans="2:17">
      <c r="B121" s="1">
        <v>10087511476273</v>
      </c>
      <c r="C121" t="s">
        <v>344</v>
      </c>
      <c r="F121" t="s">
        <v>466</v>
      </c>
      <c r="G121" t="s">
        <v>285</v>
      </c>
      <c r="L121" t="s">
        <v>344</v>
      </c>
      <c r="M121" t="s">
        <v>350</v>
      </c>
      <c r="N121" s="7" t="s">
        <v>407</v>
      </c>
      <c r="O121" s="7"/>
    </row>
    <row r="122" spans="2:17">
      <c r="B122" s="1">
        <v>10026351388107</v>
      </c>
      <c r="C122" t="s">
        <v>396</v>
      </c>
      <c r="F122" t="s">
        <v>467</v>
      </c>
      <c r="G122" t="s">
        <v>357</v>
      </c>
      <c r="L122" t="s">
        <v>344</v>
      </c>
      <c r="N122" s="7" t="s">
        <v>407</v>
      </c>
      <c r="O122" s="7"/>
      <c r="P122" s="7"/>
    </row>
    <row r="123" spans="2:17">
      <c r="B123" s="1">
        <v>10087511770466</v>
      </c>
      <c r="C123" t="s">
        <v>396</v>
      </c>
      <c r="F123" t="s">
        <v>467</v>
      </c>
      <c r="G123" t="s">
        <v>285</v>
      </c>
      <c r="L123" t="s">
        <v>344</v>
      </c>
      <c r="M123" t="s">
        <v>350</v>
      </c>
      <c r="N123" s="7" t="s">
        <v>407</v>
      </c>
      <c r="O123" s="7"/>
      <c r="P123" s="7"/>
    </row>
    <row r="124" spans="2:17">
      <c r="B124" s="1">
        <v>10025396578439</v>
      </c>
      <c r="C124" t="s">
        <v>345</v>
      </c>
      <c r="F124" t="s">
        <v>468</v>
      </c>
      <c r="G124" t="s">
        <v>357</v>
      </c>
      <c r="L124" t="s">
        <v>345</v>
      </c>
      <c r="N124" s="7" t="s">
        <v>407</v>
      </c>
      <c r="O124" s="7"/>
      <c r="P124" s="7"/>
    </row>
    <row r="125" spans="2:17">
      <c r="B125" s="1">
        <v>10089921608912</v>
      </c>
      <c r="C125" t="s">
        <v>345</v>
      </c>
      <c r="F125" t="s">
        <v>468</v>
      </c>
      <c r="G125" t="s">
        <v>286</v>
      </c>
      <c r="L125" t="s">
        <v>345</v>
      </c>
      <c r="M125" t="s">
        <v>351</v>
      </c>
      <c r="N125" s="7" t="s">
        <v>407</v>
      </c>
      <c r="O125" s="7"/>
      <c r="P125" s="7"/>
    </row>
    <row r="126" spans="2:17">
      <c r="F126" t="s">
        <v>432</v>
      </c>
      <c r="P126" s="7"/>
    </row>
    <row r="127" spans="2:17">
      <c r="F127" t="s">
        <v>432</v>
      </c>
      <c r="P127" s="7"/>
    </row>
    <row r="128" spans="2:17">
      <c r="B128" s="1">
        <v>10096477527460</v>
      </c>
      <c r="C128" t="s">
        <v>329</v>
      </c>
      <c r="E128" t="s">
        <v>409</v>
      </c>
      <c r="F128" t="s">
        <v>438</v>
      </c>
      <c r="G128" t="s">
        <v>357</v>
      </c>
      <c r="K128" t="s">
        <v>321</v>
      </c>
      <c r="L128" t="s">
        <v>329</v>
      </c>
      <c r="M128" t="s">
        <v>282</v>
      </c>
      <c r="N128" t="s">
        <v>409</v>
      </c>
      <c r="P128" s="7" t="s">
        <v>327</v>
      </c>
      <c r="Q128" t="s">
        <v>414</v>
      </c>
    </row>
    <row r="129" spans="2:17">
      <c r="B129" s="1">
        <v>10087909470515</v>
      </c>
      <c r="C129" t="s">
        <v>332</v>
      </c>
      <c r="E129" t="s">
        <v>409</v>
      </c>
      <c r="F129" t="s">
        <v>441</v>
      </c>
      <c r="G129" t="s">
        <v>357</v>
      </c>
      <c r="K129" t="s">
        <v>321</v>
      </c>
      <c r="L129" t="s">
        <v>332</v>
      </c>
      <c r="M129" t="s">
        <v>282</v>
      </c>
      <c r="N129" t="s">
        <v>409</v>
      </c>
      <c r="P129" s="7" t="s">
        <v>327</v>
      </c>
      <c r="Q129" t="s">
        <v>414</v>
      </c>
    </row>
    <row r="130" spans="2:17">
      <c r="B130" s="1">
        <v>10087909470516</v>
      </c>
      <c r="C130" t="s">
        <v>333</v>
      </c>
      <c r="E130" t="s">
        <v>409</v>
      </c>
      <c r="F130" t="s">
        <v>442</v>
      </c>
      <c r="G130" t="s">
        <v>357</v>
      </c>
      <c r="K130" t="s">
        <v>321</v>
      </c>
      <c r="L130" t="s">
        <v>333</v>
      </c>
      <c r="M130" t="s">
        <v>282</v>
      </c>
      <c r="N130" t="s">
        <v>409</v>
      </c>
      <c r="P130" s="7" t="s">
        <v>327</v>
      </c>
      <c r="Q130" t="s">
        <v>414</v>
      </c>
    </row>
    <row r="131" spans="2:17">
      <c r="B131" s="1">
        <v>10096477527461</v>
      </c>
      <c r="C131" t="s">
        <v>372</v>
      </c>
      <c r="E131" t="s">
        <v>409</v>
      </c>
      <c r="F131" t="s">
        <v>443</v>
      </c>
      <c r="G131" t="s">
        <v>357</v>
      </c>
      <c r="K131" t="s">
        <v>322</v>
      </c>
      <c r="L131" t="s">
        <v>329</v>
      </c>
      <c r="M131" t="s">
        <v>282</v>
      </c>
      <c r="N131" t="s">
        <v>409</v>
      </c>
      <c r="P131" s="7" t="s">
        <v>327</v>
      </c>
      <c r="Q131" t="s">
        <v>414</v>
      </c>
    </row>
    <row r="132" spans="2:17">
      <c r="B132" s="1">
        <v>10071965642485</v>
      </c>
      <c r="C132" t="s">
        <v>376</v>
      </c>
      <c r="E132" t="s">
        <v>409</v>
      </c>
      <c r="F132" t="s">
        <v>447</v>
      </c>
      <c r="G132" t="s">
        <v>357</v>
      </c>
      <c r="K132" t="s">
        <v>322</v>
      </c>
      <c r="L132" t="s">
        <v>333</v>
      </c>
      <c r="M132" t="s">
        <v>282</v>
      </c>
      <c r="N132" t="s">
        <v>409</v>
      </c>
      <c r="P132" s="7" t="s">
        <v>327</v>
      </c>
      <c r="Q132" t="s">
        <v>414</v>
      </c>
    </row>
    <row r="133" spans="2:17">
      <c r="B133" s="1">
        <v>10071965642486</v>
      </c>
      <c r="C133" t="s">
        <v>375</v>
      </c>
      <c r="E133" t="s">
        <v>409</v>
      </c>
      <c r="F133" t="s">
        <v>446</v>
      </c>
      <c r="G133" t="s">
        <v>357</v>
      </c>
      <c r="K133" t="s">
        <v>322</v>
      </c>
      <c r="L133" t="s">
        <v>332</v>
      </c>
      <c r="M133" t="s">
        <v>282</v>
      </c>
      <c r="N133" t="s">
        <v>409</v>
      </c>
      <c r="P133" s="7" t="s">
        <v>327</v>
      </c>
      <c r="Q133" t="s">
        <v>414</v>
      </c>
    </row>
    <row r="134" spans="2:17">
      <c r="B134" s="1">
        <v>10096477527462</v>
      </c>
      <c r="C134" t="s">
        <v>377</v>
      </c>
      <c r="E134" t="s">
        <v>409</v>
      </c>
      <c r="F134" t="s">
        <v>448</v>
      </c>
      <c r="G134" t="s">
        <v>357</v>
      </c>
      <c r="K134" t="s">
        <v>322</v>
      </c>
      <c r="L134" t="s">
        <v>329</v>
      </c>
      <c r="M134" t="s">
        <v>282</v>
      </c>
      <c r="N134" t="s">
        <v>409</v>
      </c>
      <c r="P134" s="7" t="s">
        <v>327</v>
      </c>
      <c r="Q134" t="s">
        <v>414</v>
      </c>
    </row>
    <row r="135" spans="2:17">
      <c r="B135" s="1">
        <v>10087909470517</v>
      </c>
      <c r="C135" t="s">
        <v>378</v>
      </c>
      <c r="E135" t="s">
        <v>409</v>
      </c>
      <c r="F135" t="s">
        <v>449</v>
      </c>
      <c r="G135" t="s">
        <v>357</v>
      </c>
      <c r="K135" t="s">
        <v>322</v>
      </c>
      <c r="L135" t="s">
        <v>332</v>
      </c>
      <c r="M135" t="s">
        <v>282</v>
      </c>
      <c r="N135" t="s">
        <v>409</v>
      </c>
      <c r="P135" s="7" t="s">
        <v>327</v>
      </c>
      <c r="Q135" t="s">
        <v>414</v>
      </c>
    </row>
    <row r="136" spans="2:17">
      <c r="P136" s="7"/>
    </row>
    <row r="137" spans="2:17">
      <c r="P137" s="7"/>
    </row>
    <row r="138" spans="2:17">
      <c r="P138" s="7"/>
    </row>
    <row r="139" spans="2:17">
      <c r="F139" t="s">
        <v>432</v>
      </c>
      <c r="P139" s="7"/>
    </row>
    <row r="140" spans="2:17">
      <c r="B140" s="1">
        <v>10096284747320</v>
      </c>
      <c r="C140" t="s">
        <v>379</v>
      </c>
      <c r="E140" t="s">
        <v>409</v>
      </c>
      <c r="F140" t="s">
        <v>736</v>
      </c>
      <c r="G140" t="s">
        <v>734</v>
      </c>
      <c r="K140" t="s">
        <v>323</v>
      </c>
      <c r="L140" t="s">
        <v>334</v>
      </c>
      <c r="N140" t="s">
        <v>409</v>
      </c>
      <c r="O140" s="7" t="s">
        <v>472</v>
      </c>
      <c r="P140" s="7" t="s">
        <v>327</v>
      </c>
      <c r="Q140" t="s">
        <v>414</v>
      </c>
    </row>
    <row r="141" spans="2:17">
      <c r="B141" s="1">
        <v>10096284747321</v>
      </c>
      <c r="C141" t="s">
        <v>382</v>
      </c>
      <c r="E141" t="s">
        <v>409</v>
      </c>
      <c r="F141" t="s">
        <v>736</v>
      </c>
      <c r="G141" t="s">
        <v>726</v>
      </c>
      <c r="K141" t="s">
        <v>323</v>
      </c>
      <c r="L141" t="s">
        <v>337</v>
      </c>
      <c r="N141" t="s">
        <v>409</v>
      </c>
      <c r="O141" s="7" t="s">
        <v>472</v>
      </c>
      <c r="P141" s="7" t="s">
        <v>327</v>
      </c>
      <c r="Q141" t="s">
        <v>414</v>
      </c>
    </row>
    <row r="142" spans="2:17">
      <c r="B142" s="1">
        <v>10096284747322</v>
      </c>
      <c r="C142" t="s">
        <v>338</v>
      </c>
      <c r="E142" t="s">
        <v>409</v>
      </c>
      <c r="F142" t="s">
        <v>736</v>
      </c>
      <c r="G142" t="s">
        <v>725</v>
      </c>
      <c r="K142" t="s">
        <v>323</v>
      </c>
      <c r="L142" t="s">
        <v>338</v>
      </c>
      <c r="N142" t="s">
        <v>409</v>
      </c>
      <c r="O142" s="7" t="s">
        <v>472</v>
      </c>
      <c r="P142" s="7" t="s">
        <v>327</v>
      </c>
      <c r="Q142" t="s">
        <v>414</v>
      </c>
    </row>
    <row r="143" spans="2:17">
      <c r="B143" s="1">
        <v>10096284747323</v>
      </c>
      <c r="C143" s="13" t="s">
        <v>717</v>
      </c>
      <c r="E143" t="s">
        <v>409</v>
      </c>
      <c r="F143" t="s">
        <v>735</v>
      </c>
      <c r="G143" t="s">
        <v>733</v>
      </c>
      <c r="K143" t="s">
        <v>324</v>
      </c>
      <c r="L143" t="s">
        <v>717</v>
      </c>
      <c r="N143" t="s">
        <v>409</v>
      </c>
      <c r="O143" s="7" t="s">
        <v>472</v>
      </c>
      <c r="P143" s="7" t="s">
        <v>327</v>
      </c>
      <c r="Q143" t="s">
        <v>414</v>
      </c>
    </row>
    <row r="144" spans="2:17">
      <c r="B144" s="1">
        <v>10096284747324</v>
      </c>
      <c r="C144" t="s">
        <v>386</v>
      </c>
      <c r="E144" t="s">
        <v>409</v>
      </c>
      <c r="F144" t="s">
        <v>483</v>
      </c>
      <c r="G144" t="s">
        <v>726</v>
      </c>
      <c r="K144" t="s">
        <v>324</v>
      </c>
      <c r="L144" t="s">
        <v>337</v>
      </c>
      <c r="N144" t="s">
        <v>409</v>
      </c>
      <c r="O144" s="7" t="s">
        <v>472</v>
      </c>
      <c r="P144" s="7" t="s">
        <v>327</v>
      </c>
      <c r="Q144" t="s">
        <v>414</v>
      </c>
    </row>
    <row r="145" spans="2:17">
      <c r="B145" s="1">
        <v>10096284747325</v>
      </c>
      <c r="C145" t="s">
        <v>387</v>
      </c>
      <c r="E145" t="s">
        <v>409</v>
      </c>
      <c r="F145" t="s">
        <v>483</v>
      </c>
      <c r="G145" t="s">
        <v>725</v>
      </c>
      <c r="K145" t="s">
        <v>324</v>
      </c>
      <c r="L145" t="s">
        <v>338</v>
      </c>
      <c r="N145" t="s">
        <v>409</v>
      </c>
      <c r="O145" s="7" t="s">
        <v>472</v>
      </c>
      <c r="P145" s="7" t="s">
        <v>327</v>
      </c>
      <c r="Q145" t="s">
        <v>414</v>
      </c>
    </row>
    <row r="146" spans="2:17">
      <c r="F146" t="s">
        <v>432</v>
      </c>
      <c r="P146" s="7"/>
    </row>
    <row r="147" spans="2:17">
      <c r="B147" s="1">
        <v>10071965642493</v>
      </c>
      <c r="C147" t="s">
        <v>390</v>
      </c>
      <c r="E147" t="s">
        <v>409</v>
      </c>
      <c r="F147" t="s">
        <v>457</v>
      </c>
      <c r="G147" t="s">
        <v>357</v>
      </c>
      <c r="K147" t="s">
        <v>325</v>
      </c>
      <c r="L147" t="s">
        <v>337</v>
      </c>
      <c r="N147" t="s">
        <v>409</v>
      </c>
      <c r="O147" s="7" t="s">
        <v>472</v>
      </c>
      <c r="P147" s="7" t="s">
        <v>327</v>
      </c>
      <c r="Q147" t="s">
        <v>414</v>
      </c>
    </row>
    <row r="148" spans="2:17">
      <c r="B148" s="1">
        <v>10071965642494</v>
      </c>
      <c r="C148" t="s">
        <v>391</v>
      </c>
      <c r="E148" t="s">
        <v>409</v>
      </c>
      <c r="F148" t="s">
        <v>458</v>
      </c>
      <c r="G148" t="s">
        <v>357</v>
      </c>
      <c r="K148" t="s">
        <v>325</v>
      </c>
      <c r="L148" t="s">
        <v>338</v>
      </c>
      <c r="N148" t="s">
        <v>409</v>
      </c>
      <c r="O148" s="7" t="s">
        <v>472</v>
      </c>
      <c r="P148" s="7" t="s">
        <v>327</v>
      </c>
      <c r="Q148" t="s">
        <v>414</v>
      </c>
    </row>
    <row r="149" spans="2:17">
      <c r="B149" s="1">
        <v>10071965642495</v>
      </c>
      <c r="C149" t="s">
        <v>392</v>
      </c>
      <c r="E149" t="s">
        <v>409</v>
      </c>
      <c r="F149" t="s">
        <v>459</v>
      </c>
      <c r="G149" t="s">
        <v>357</v>
      </c>
      <c r="K149" t="s">
        <v>325</v>
      </c>
      <c r="L149" t="s">
        <v>339</v>
      </c>
      <c r="N149" t="s">
        <v>409</v>
      </c>
      <c r="O149" s="7" t="s">
        <v>472</v>
      </c>
      <c r="P149" s="7" t="s">
        <v>327</v>
      </c>
      <c r="Q149" t="s">
        <v>414</v>
      </c>
    </row>
    <row r="150" spans="2:17">
      <c r="F150" t="s">
        <v>432</v>
      </c>
    </row>
    <row r="151" spans="2:17">
      <c r="B151" s="1">
        <v>10107729673919</v>
      </c>
      <c r="C151" t="s">
        <v>393</v>
      </c>
      <c r="E151" t="s">
        <v>409</v>
      </c>
      <c r="F151" t="s">
        <v>460</v>
      </c>
      <c r="G151" t="s">
        <v>357</v>
      </c>
      <c r="K151" t="s">
        <v>326</v>
      </c>
      <c r="L151" t="s">
        <v>340</v>
      </c>
      <c r="N151" t="s">
        <v>409</v>
      </c>
      <c r="P151" s="7" t="s">
        <v>327</v>
      </c>
      <c r="Q151" t="s">
        <v>414</v>
      </c>
    </row>
    <row r="152" spans="2:17">
      <c r="B152" s="1">
        <v>10107729673921</v>
      </c>
      <c r="C152" t="s">
        <v>394</v>
      </c>
      <c r="E152" t="s">
        <v>409</v>
      </c>
      <c r="F152" t="s">
        <v>461</v>
      </c>
      <c r="G152" t="s">
        <v>357</v>
      </c>
      <c r="K152" t="s">
        <v>326</v>
      </c>
      <c r="L152" t="s">
        <v>337</v>
      </c>
      <c r="N152" t="s">
        <v>409</v>
      </c>
      <c r="P152" s="7" t="s">
        <v>327</v>
      </c>
      <c r="Q152" t="s">
        <v>414</v>
      </c>
    </row>
    <row r="153" spans="2:17">
      <c r="B153" s="1">
        <v>10107729673920</v>
      </c>
      <c r="C153" t="s">
        <v>395</v>
      </c>
      <c r="E153" t="s">
        <v>409</v>
      </c>
      <c r="F153" t="s">
        <v>462</v>
      </c>
      <c r="G153" t="s">
        <v>357</v>
      </c>
      <c r="K153" t="s">
        <v>326</v>
      </c>
      <c r="L153" t="s">
        <v>338</v>
      </c>
      <c r="N153" t="s">
        <v>409</v>
      </c>
      <c r="P153" s="7" t="s">
        <v>327</v>
      </c>
      <c r="Q153" t="s">
        <v>414</v>
      </c>
    </row>
    <row r="154" spans="2:17">
      <c r="F154" t="s">
        <v>432</v>
      </c>
    </row>
    <row r="155" spans="2:17">
      <c r="B155" s="1">
        <v>10110931976432</v>
      </c>
      <c r="C155" t="s">
        <v>342</v>
      </c>
      <c r="E155" t="s">
        <v>408</v>
      </c>
      <c r="F155" t="s">
        <v>464</v>
      </c>
      <c r="G155" t="s">
        <v>357</v>
      </c>
      <c r="L155" t="s">
        <v>342</v>
      </c>
      <c r="N155" t="s">
        <v>408</v>
      </c>
    </row>
    <row r="156" spans="2:17">
      <c r="B156" s="1">
        <v>10108519275422</v>
      </c>
      <c r="C156" t="s">
        <v>343</v>
      </c>
      <c r="E156" t="s">
        <v>408</v>
      </c>
      <c r="F156" t="s">
        <v>465</v>
      </c>
      <c r="G156" t="s">
        <v>357</v>
      </c>
      <c r="L156" t="s">
        <v>343</v>
      </c>
      <c r="N156" t="s">
        <v>408</v>
      </c>
    </row>
    <row r="157" spans="2:17">
      <c r="B157" s="1">
        <v>10110931976433</v>
      </c>
      <c r="C157" t="s">
        <v>344</v>
      </c>
      <c r="E157" t="s">
        <v>408</v>
      </c>
      <c r="F157" t="s">
        <v>466</v>
      </c>
      <c r="G157" t="s">
        <v>357</v>
      </c>
      <c r="L157" t="s">
        <v>344</v>
      </c>
      <c r="N157" t="s">
        <v>408</v>
      </c>
    </row>
    <row r="158" spans="2:17">
      <c r="B158" s="1">
        <v>10110931976434</v>
      </c>
      <c r="C158" t="s">
        <v>396</v>
      </c>
      <c r="E158" t="s">
        <v>408</v>
      </c>
      <c r="F158" t="s">
        <v>467</v>
      </c>
      <c r="G158" t="s">
        <v>357</v>
      </c>
      <c r="L158" t="s">
        <v>344</v>
      </c>
      <c r="N158" t="s">
        <v>408</v>
      </c>
    </row>
    <row r="159" spans="2:17">
      <c r="B159" s="1">
        <v>10110931976435</v>
      </c>
      <c r="C159" t="s">
        <v>345</v>
      </c>
      <c r="E159" t="s">
        <v>408</v>
      </c>
      <c r="F159" t="s">
        <v>468</v>
      </c>
      <c r="G159" t="s">
        <v>357</v>
      </c>
      <c r="L159" t="s">
        <v>345</v>
      </c>
      <c r="N159" t="s">
        <v>408</v>
      </c>
    </row>
    <row r="160" spans="2:17">
      <c r="F160" t="s">
        <v>432</v>
      </c>
    </row>
    <row r="161" spans="2:14">
      <c r="B161" s="1">
        <v>10072707951493</v>
      </c>
      <c r="C161" t="s">
        <v>342</v>
      </c>
      <c r="E161" t="s">
        <v>409</v>
      </c>
      <c r="F161" t="s">
        <v>464</v>
      </c>
      <c r="G161" t="s">
        <v>357</v>
      </c>
      <c r="L161" t="s">
        <v>342</v>
      </c>
      <c r="N161" t="s">
        <v>409</v>
      </c>
    </row>
    <row r="162" spans="2:14">
      <c r="B162" s="1">
        <v>10089503373145</v>
      </c>
      <c r="C162" t="s">
        <v>343</v>
      </c>
      <c r="E162" t="s">
        <v>409</v>
      </c>
      <c r="F162" t="s">
        <v>465</v>
      </c>
      <c r="G162" t="s">
        <v>357</v>
      </c>
      <c r="L162" t="s">
        <v>343</v>
      </c>
      <c r="N162" t="s">
        <v>409</v>
      </c>
    </row>
    <row r="163" spans="2:14">
      <c r="B163" s="1">
        <v>10088088645612</v>
      </c>
      <c r="C163" t="s">
        <v>344</v>
      </c>
      <c r="E163" t="s">
        <v>409</v>
      </c>
      <c r="F163" t="s">
        <v>466</v>
      </c>
      <c r="G163" t="s">
        <v>357</v>
      </c>
      <c r="L163" t="s">
        <v>344</v>
      </c>
      <c r="N163" t="s">
        <v>409</v>
      </c>
    </row>
    <row r="164" spans="2:14">
      <c r="B164" s="1">
        <v>10088088645613</v>
      </c>
      <c r="C164" t="s">
        <v>396</v>
      </c>
      <c r="E164" t="s">
        <v>409</v>
      </c>
      <c r="F164" t="s">
        <v>467</v>
      </c>
      <c r="G164" t="s">
        <v>357</v>
      </c>
      <c r="L164" t="s">
        <v>344</v>
      </c>
      <c r="N164" t="s">
        <v>409</v>
      </c>
    </row>
    <row r="165" spans="2:14">
      <c r="B165" s="1">
        <v>10072707951499</v>
      </c>
      <c r="C165" t="s">
        <v>345</v>
      </c>
      <c r="E165" t="s">
        <v>409</v>
      </c>
      <c r="F165" t="s">
        <v>468</v>
      </c>
      <c r="G165" t="s">
        <v>357</v>
      </c>
      <c r="L165" t="s">
        <v>345</v>
      </c>
      <c r="N165" t="s">
        <v>409</v>
      </c>
    </row>
  </sheetData>
  <mergeCells count="4">
    <mergeCell ref="F7:G8"/>
    <mergeCell ref="H7:J8"/>
    <mergeCell ref="L7:M8"/>
    <mergeCell ref="N7:Q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99384-6B62-4C55-A0A0-D17D49AF7482}">
  <sheetPr codeName="Sheet7"/>
  <dimension ref="A1:R180"/>
  <sheetViews>
    <sheetView zoomScaleNormal="100" workbookViewId="0">
      <pane xSplit="1" ySplit="10" topLeftCell="B108" activePane="bottomRight" state="frozen"/>
      <selection pane="topRight" activeCell="B1" sqref="B1"/>
      <selection pane="bottomLeft" activeCell="A11" sqref="A11"/>
      <selection pane="bottomRight" activeCell="B116" sqref="B116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6" width="22.375" bestFit="1" customWidth="1"/>
    <col min="7" max="7" width="36.875" bestFit="1" customWidth="1"/>
    <col min="8" max="8" width="21.5" hidden="1" customWidth="1" outlineLevel="1"/>
    <col min="9" max="9" width="23.875" hidden="1" customWidth="1" outlineLevel="1"/>
    <col min="10" max="11" width="22.5" hidden="1" customWidth="1" outlineLevel="1"/>
    <col min="12" max="12" width="24.125" customWidth="1" collapsed="1"/>
    <col min="13" max="14" width="29.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469</v>
      </c>
    </row>
    <row r="3" spans="1:18">
      <c r="A3" t="s">
        <v>1</v>
      </c>
      <c r="B3" s="1" t="s">
        <v>854</v>
      </c>
    </row>
    <row r="4" spans="1:18">
      <c r="A4" t="s">
        <v>2</v>
      </c>
      <c r="B4" s="1" t="s">
        <v>10</v>
      </c>
    </row>
    <row r="5" spans="1:18">
      <c r="A5" t="s">
        <v>17</v>
      </c>
      <c r="B5" s="2" t="s">
        <v>18</v>
      </c>
    </row>
    <row r="6" spans="1:18" ht="15" thickBot="1"/>
    <row r="7" spans="1:18" ht="19.5" thickTop="1" thickBot="1">
      <c r="F7" s="34" t="s">
        <v>410</v>
      </c>
      <c r="G7" s="35"/>
      <c r="H7" s="33" t="s">
        <v>411</v>
      </c>
      <c r="I7" s="33"/>
      <c r="J7" s="33"/>
      <c r="K7" s="10"/>
      <c r="L7" s="40" t="s">
        <v>412</v>
      </c>
      <c r="M7" s="50"/>
      <c r="N7" s="50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3"/>
      <c r="I8" s="33"/>
      <c r="J8" s="33"/>
      <c r="K8" s="10"/>
      <c r="L8" s="42"/>
      <c r="M8" s="51"/>
      <c r="N8" s="51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416</v>
      </c>
      <c r="G10" s="3" t="s">
        <v>417</v>
      </c>
      <c r="H10" s="3" t="s">
        <v>314</v>
      </c>
      <c r="I10" s="3" t="s">
        <v>315</v>
      </c>
      <c r="J10" s="3" t="s">
        <v>316</v>
      </c>
      <c r="K10" s="3" t="s">
        <v>320</v>
      </c>
      <c r="L10" s="4" t="s">
        <v>870</v>
      </c>
      <c r="M10" s="4" t="s">
        <v>871</v>
      </c>
      <c r="N10" s="4" t="s">
        <v>872</v>
      </c>
      <c r="O10" s="4" t="s">
        <v>857</v>
      </c>
      <c r="P10" s="4" t="s">
        <v>873</v>
      </c>
      <c r="Q10" s="4" t="s">
        <v>874</v>
      </c>
      <c r="R10" s="4" t="s">
        <v>875</v>
      </c>
    </row>
    <row r="11" spans="1:18" ht="15" thickTop="1"/>
    <row r="12" spans="1:18">
      <c r="B12" s="1">
        <v>71689544991</v>
      </c>
      <c r="C12" t="s">
        <v>350</v>
      </c>
      <c r="D12" t="s">
        <v>397</v>
      </c>
      <c r="F12" t="s">
        <v>648</v>
      </c>
      <c r="G12" s="2" t="s">
        <v>683</v>
      </c>
      <c r="L12" t="s">
        <v>350</v>
      </c>
    </row>
    <row r="14" spans="1:18">
      <c r="B14" s="1">
        <v>10100880671451</v>
      </c>
      <c r="C14" t="s">
        <v>581</v>
      </c>
      <c r="D14" t="s">
        <v>397</v>
      </c>
      <c r="F14" t="s">
        <v>654</v>
      </c>
      <c r="G14" s="2" t="s">
        <v>684</v>
      </c>
      <c r="L14" t="s">
        <v>581</v>
      </c>
    </row>
    <row r="15" spans="1:18">
      <c r="B15" s="1">
        <v>10100880671452</v>
      </c>
      <c r="C15" t="s">
        <v>582</v>
      </c>
      <c r="D15" t="s">
        <v>397</v>
      </c>
      <c r="F15" t="s">
        <v>656</v>
      </c>
      <c r="G15" s="2" t="s">
        <v>684</v>
      </c>
      <c r="L15" t="s">
        <v>582</v>
      </c>
    </row>
    <row r="16" spans="1:18">
      <c r="B16" s="1">
        <v>10100880671453</v>
      </c>
      <c r="C16" t="s">
        <v>583</v>
      </c>
      <c r="D16" t="s">
        <v>397</v>
      </c>
      <c r="F16" t="s">
        <v>657</v>
      </c>
      <c r="G16" s="2" t="s">
        <v>684</v>
      </c>
      <c r="L16" t="s">
        <v>583</v>
      </c>
    </row>
    <row r="17" spans="2:17">
      <c r="B17" s="1">
        <v>10100880671454</v>
      </c>
      <c r="C17" t="s">
        <v>584</v>
      </c>
      <c r="D17" t="s">
        <v>397</v>
      </c>
      <c r="F17" t="s">
        <v>658</v>
      </c>
      <c r="G17" s="2" t="s">
        <v>655</v>
      </c>
      <c r="L17" t="s">
        <v>584</v>
      </c>
    </row>
    <row r="20" spans="2:17">
      <c r="B20" s="1">
        <v>10071374699664</v>
      </c>
      <c r="C20" t="s">
        <v>581</v>
      </c>
      <c r="D20" t="s">
        <v>397</v>
      </c>
      <c r="F20" t="s">
        <v>654</v>
      </c>
      <c r="G20" s="2" t="s">
        <v>684</v>
      </c>
      <c r="L20" t="s">
        <v>581</v>
      </c>
    </row>
    <row r="21" spans="2:17">
      <c r="B21" s="1">
        <v>65785249824</v>
      </c>
      <c r="C21" t="s">
        <v>582</v>
      </c>
      <c r="D21" t="s">
        <v>397</v>
      </c>
      <c r="F21" t="s">
        <v>656</v>
      </c>
      <c r="G21" s="2" t="s">
        <v>684</v>
      </c>
      <c r="L21" t="s">
        <v>582</v>
      </c>
    </row>
    <row r="22" spans="2:17">
      <c r="B22" s="1">
        <v>55331741607</v>
      </c>
      <c r="C22" t="s">
        <v>583</v>
      </c>
      <c r="D22" t="s">
        <v>397</v>
      </c>
      <c r="F22" t="s">
        <v>657</v>
      </c>
      <c r="G22" s="2" t="s">
        <v>684</v>
      </c>
      <c r="L22" t="s">
        <v>583</v>
      </c>
    </row>
    <row r="23" spans="2:17">
      <c r="B23" s="1">
        <v>10118370262002</v>
      </c>
      <c r="C23" t="s">
        <v>584</v>
      </c>
      <c r="D23" t="s">
        <v>397</v>
      </c>
      <c r="F23" t="s">
        <v>658</v>
      </c>
      <c r="G23" s="2" t="s">
        <v>684</v>
      </c>
      <c r="L23" t="s">
        <v>584</v>
      </c>
    </row>
    <row r="24" spans="2:17">
      <c r="B24" s="1">
        <v>10099593896674</v>
      </c>
      <c r="C24" t="s">
        <v>585</v>
      </c>
      <c r="D24" t="s">
        <v>397</v>
      </c>
      <c r="F24" t="s">
        <v>647</v>
      </c>
      <c r="G24" s="2" t="s">
        <v>684</v>
      </c>
      <c r="L24" t="s">
        <v>585</v>
      </c>
    </row>
    <row r="26" spans="2:17">
      <c r="B26" s="1">
        <v>10096032839705</v>
      </c>
      <c r="C26" t="s">
        <v>585</v>
      </c>
      <c r="D26" t="s">
        <v>397</v>
      </c>
      <c r="F26" t="s">
        <v>647</v>
      </c>
      <c r="G26" s="2" t="s">
        <v>683</v>
      </c>
      <c r="L26" t="s">
        <v>585</v>
      </c>
    </row>
    <row r="27" spans="2:17">
      <c r="B27" s="1">
        <v>10096032839706</v>
      </c>
      <c r="C27" t="s">
        <v>350</v>
      </c>
      <c r="D27" t="s">
        <v>397</v>
      </c>
      <c r="F27" t="s">
        <v>648</v>
      </c>
      <c r="G27" s="2" t="s">
        <v>683</v>
      </c>
      <c r="L27" t="s">
        <v>350</v>
      </c>
    </row>
    <row r="28" spans="2:17">
      <c r="B28" s="7">
        <v>10102257752099</v>
      </c>
      <c r="C28" t="s">
        <v>587</v>
      </c>
      <c r="D28" t="s">
        <v>397</v>
      </c>
      <c r="F28" t="s">
        <v>649</v>
      </c>
      <c r="G28" s="2" t="s">
        <v>685</v>
      </c>
      <c r="L28" t="s">
        <v>586</v>
      </c>
      <c r="O28" s="7"/>
      <c r="P28" s="7"/>
      <c r="Q28" s="7"/>
    </row>
    <row r="29" spans="2:17">
      <c r="B29" s="7">
        <v>10137585223209</v>
      </c>
      <c r="C29" t="s">
        <v>1363</v>
      </c>
      <c r="D29" t="s">
        <v>397</v>
      </c>
      <c r="F29" t="s">
        <v>1367</v>
      </c>
      <c r="G29" s="2" t="s">
        <v>683</v>
      </c>
      <c r="L29" t="s">
        <v>1369</v>
      </c>
      <c r="O29" s="7"/>
      <c r="P29" s="7"/>
      <c r="Q29" s="7"/>
    </row>
    <row r="30" spans="2:17">
      <c r="B30" s="7">
        <v>10096032839708</v>
      </c>
      <c r="C30" t="s">
        <v>588</v>
      </c>
      <c r="D30" t="s">
        <v>397</v>
      </c>
      <c r="F30" t="s">
        <v>650</v>
      </c>
      <c r="G30" s="2" t="s">
        <v>685</v>
      </c>
      <c r="L30" t="s">
        <v>586</v>
      </c>
      <c r="O30" s="7"/>
      <c r="P30" s="7"/>
      <c r="Q30" s="7"/>
    </row>
    <row r="31" spans="2:17">
      <c r="B31" s="7">
        <v>10096032839709</v>
      </c>
      <c r="C31" t="s">
        <v>589</v>
      </c>
      <c r="D31" t="s">
        <v>397</v>
      </c>
      <c r="F31" t="s">
        <v>651</v>
      </c>
      <c r="G31" s="2" t="s">
        <v>685</v>
      </c>
      <c r="L31" t="s">
        <v>589</v>
      </c>
      <c r="O31" s="7"/>
      <c r="P31" s="7"/>
      <c r="Q31" s="7"/>
    </row>
    <row r="32" spans="2:17">
      <c r="B32" s="7">
        <v>10137585223208</v>
      </c>
      <c r="C32" t="s">
        <v>1364</v>
      </c>
      <c r="D32" t="s">
        <v>504</v>
      </c>
      <c r="F32" t="s">
        <v>1365</v>
      </c>
      <c r="G32" s="2" t="s">
        <v>1366</v>
      </c>
      <c r="L32" t="s">
        <v>1368</v>
      </c>
      <c r="O32" s="7"/>
      <c r="P32" s="7"/>
      <c r="Q32" s="7"/>
    </row>
    <row r="33" spans="2:17">
      <c r="B33" s="7">
        <v>10096032839710</v>
      </c>
      <c r="C33" t="s">
        <v>590</v>
      </c>
      <c r="D33" t="s">
        <v>397</v>
      </c>
      <c r="F33" t="s">
        <v>652</v>
      </c>
      <c r="G33" s="2" t="s">
        <v>686</v>
      </c>
      <c r="L33" t="s">
        <v>590</v>
      </c>
      <c r="O33" s="7"/>
      <c r="P33" s="7"/>
      <c r="Q33" s="7"/>
    </row>
    <row r="34" spans="2:17">
      <c r="B34" s="7">
        <v>10096032850211</v>
      </c>
      <c r="C34" t="s">
        <v>591</v>
      </c>
      <c r="D34" t="s">
        <v>397</v>
      </c>
      <c r="F34" t="s">
        <v>653</v>
      </c>
      <c r="G34" s="2" t="s">
        <v>686</v>
      </c>
      <c r="L34" t="s">
        <v>590</v>
      </c>
      <c r="O34" s="7"/>
      <c r="P34" s="7"/>
      <c r="Q34" s="7"/>
    </row>
    <row r="35" spans="2:17">
      <c r="O35" s="7"/>
      <c r="P35" s="7"/>
      <c r="Q35" s="7"/>
    </row>
    <row r="36" spans="2:17">
      <c r="B36" s="1">
        <v>10109250593836</v>
      </c>
      <c r="C36" t="s">
        <v>592</v>
      </c>
      <c r="D36" t="s">
        <v>397</v>
      </c>
      <c r="F36" t="s">
        <v>592</v>
      </c>
      <c r="G36" s="2" t="s">
        <v>940</v>
      </c>
      <c r="L36" t="s">
        <v>645</v>
      </c>
      <c r="O36" s="7"/>
      <c r="P36" s="7"/>
      <c r="Q36" s="7"/>
    </row>
    <row r="37" spans="2:17">
      <c r="B37" s="1">
        <v>10109250593837</v>
      </c>
      <c r="C37" t="s">
        <v>593</v>
      </c>
      <c r="D37" t="s">
        <v>397</v>
      </c>
      <c r="F37" t="s">
        <v>593</v>
      </c>
      <c r="G37" s="2" t="s">
        <v>940</v>
      </c>
      <c r="L37" t="s">
        <v>646</v>
      </c>
      <c r="O37" s="7"/>
      <c r="P37" s="7"/>
      <c r="Q37" s="7"/>
    </row>
    <row r="38" spans="2:17">
      <c r="O38" s="7"/>
      <c r="P38" s="7"/>
      <c r="Q38" s="7"/>
    </row>
    <row r="39" spans="2:17">
      <c r="B39" s="1">
        <v>10130270103904</v>
      </c>
      <c r="C39" t="s">
        <v>933</v>
      </c>
      <c r="F39" t="s">
        <v>933</v>
      </c>
      <c r="G39" t="s">
        <v>939</v>
      </c>
      <c r="L39" t="s">
        <v>933</v>
      </c>
      <c r="O39" s="7"/>
      <c r="P39" s="7"/>
      <c r="Q39" s="7"/>
    </row>
    <row r="40" spans="2:17">
      <c r="B40" s="1">
        <v>10130270103905</v>
      </c>
      <c r="C40" t="s">
        <v>934</v>
      </c>
      <c r="F40" t="s">
        <v>934</v>
      </c>
      <c r="G40" t="s">
        <v>939</v>
      </c>
      <c r="L40" t="s">
        <v>934</v>
      </c>
      <c r="O40" s="7"/>
      <c r="P40" s="7"/>
      <c r="Q40" s="7"/>
    </row>
    <row r="41" spans="2:17">
      <c r="B41" s="1">
        <v>10093947059308</v>
      </c>
      <c r="C41" t="s">
        <v>594</v>
      </c>
      <c r="D41" t="s">
        <v>397</v>
      </c>
      <c r="F41" t="s">
        <v>594</v>
      </c>
      <c r="G41" t="s">
        <v>687</v>
      </c>
      <c r="L41" t="s">
        <v>594</v>
      </c>
      <c r="O41" s="7"/>
      <c r="P41" s="7"/>
      <c r="Q41" s="7"/>
    </row>
    <row r="42" spans="2:17">
      <c r="B42" s="1">
        <v>10093947059309</v>
      </c>
      <c r="C42" t="s">
        <v>595</v>
      </c>
      <c r="D42" t="s">
        <v>397</v>
      </c>
      <c r="F42" t="s">
        <v>595</v>
      </c>
      <c r="G42" t="s">
        <v>687</v>
      </c>
      <c r="L42" t="s">
        <v>595</v>
      </c>
      <c r="O42" s="7"/>
      <c r="P42" s="7"/>
      <c r="Q42" s="7"/>
    </row>
    <row r="43" spans="2:17">
      <c r="B43" s="1">
        <v>10101354230339</v>
      </c>
      <c r="C43" t="s">
        <v>596</v>
      </c>
      <c r="D43" t="s">
        <v>397</v>
      </c>
      <c r="F43" t="s">
        <v>596</v>
      </c>
      <c r="G43" t="s">
        <v>688</v>
      </c>
      <c r="L43" t="s">
        <v>596</v>
      </c>
      <c r="O43" s="7"/>
      <c r="P43" s="7"/>
      <c r="Q43" s="7"/>
    </row>
    <row r="44" spans="2:17">
      <c r="B44" s="1">
        <v>10101354230340</v>
      </c>
      <c r="C44" t="s">
        <v>597</v>
      </c>
      <c r="D44" t="s">
        <v>397</v>
      </c>
      <c r="F44" t="s">
        <v>597</v>
      </c>
      <c r="G44" t="s">
        <v>688</v>
      </c>
      <c r="L44" t="s">
        <v>597</v>
      </c>
      <c r="O44" s="7"/>
      <c r="P44" s="7"/>
      <c r="Q44" s="7"/>
    </row>
    <row r="45" spans="2:17">
      <c r="O45" s="7"/>
      <c r="P45" s="7"/>
      <c r="Q45" s="7"/>
    </row>
    <row r="46" spans="2:17">
      <c r="O46" s="7"/>
      <c r="P46" s="7"/>
      <c r="Q46" s="7"/>
    </row>
    <row r="47" spans="2:17">
      <c r="O47" s="7"/>
      <c r="P47" s="7"/>
      <c r="Q47" s="7"/>
    </row>
    <row r="48" spans="2:17">
      <c r="O48" s="7"/>
      <c r="P48" s="7"/>
      <c r="Q48" s="7"/>
    </row>
    <row r="49" spans="2:17">
      <c r="O49" s="7"/>
      <c r="P49" s="7"/>
      <c r="Q49" s="7"/>
    </row>
    <row r="50" spans="2:17">
      <c r="O50" s="7"/>
      <c r="P50" s="7"/>
      <c r="Q50" s="7"/>
    </row>
    <row r="51" spans="2:17">
      <c r="B51" s="1">
        <v>55310453520</v>
      </c>
      <c r="C51" t="s">
        <v>599</v>
      </c>
      <c r="D51" t="s">
        <v>397</v>
      </c>
      <c r="F51" t="s">
        <v>670</v>
      </c>
      <c r="G51" s="2" t="s">
        <v>671</v>
      </c>
      <c r="M51" t="s">
        <v>691</v>
      </c>
      <c r="O51" s="7"/>
      <c r="P51" s="7" t="s">
        <v>678</v>
      </c>
      <c r="Q51" s="7"/>
    </row>
    <row r="52" spans="2:17">
      <c r="B52" s="1">
        <v>55920843059</v>
      </c>
      <c r="C52" t="s">
        <v>599</v>
      </c>
      <c r="D52" t="s">
        <v>581</v>
      </c>
      <c r="F52" t="s">
        <v>670</v>
      </c>
      <c r="G52" s="2" t="s">
        <v>672</v>
      </c>
      <c r="M52" t="s">
        <v>691</v>
      </c>
      <c r="N52" t="s">
        <v>581</v>
      </c>
      <c r="O52" s="7" t="s">
        <v>677</v>
      </c>
      <c r="P52" s="7" t="s">
        <v>678</v>
      </c>
      <c r="Q52" s="7"/>
    </row>
    <row r="53" spans="2:17">
      <c r="B53" s="1">
        <v>55920843058</v>
      </c>
      <c r="C53" t="s">
        <v>599</v>
      </c>
      <c r="D53" t="s">
        <v>583</v>
      </c>
      <c r="F53" t="s">
        <v>670</v>
      </c>
      <c r="G53" s="2" t="s">
        <v>673</v>
      </c>
      <c r="M53" t="s">
        <v>691</v>
      </c>
      <c r="N53" t="s">
        <v>583</v>
      </c>
      <c r="O53" s="7" t="s">
        <v>677</v>
      </c>
      <c r="P53" s="7" t="s">
        <v>678</v>
      </c>
      <c r="Q53" s="7"/>
    </row>
    <row r="54" spans="2:17">
      <c r="B54" s="1">
        <v>55920843057</v>
      </c>
      <c r="C54" t="s">
        <v>599</v>
      </c>
      <c r="D54" t="s">
        <v>350</v>
      </c>
      <c r="F54" t="s">
        <v>670</v>
      </c>
      <c r="G54" s="2" t="s">
        <v>662</v>
      </c>
      <c r="M54" t="s">
        <v>691</v>
      </c>
      <c r="N54" t="s">
        <v>350</v>
      </c>
      <c r="O54" s="7" t="s">
        <v>677</v>
      </c>
      <c r="P54" s="7" t="s">
        <v>678</v>
      </c>
      <c r="Q54" s="7"/>
    </row>
    <row r="55" spans="2:17">
      <c r="B55" s="1">
        <v>10032342968660</v>
      </c>
      <c r="C55" t="s">
        <v>599</v>
      </c>
      <c r="D55" t="s">
        <v>588</v>
      </c>
      <c r="F55" t="s">
        <v>670</v>
      </c>
      <c r="G55" s="2" t="s">
        <v>667</v>
      </c>
      <c r="M55" t="s">
        <v>691</v>
      </c>
      <c r="N55" t="s">
        <v>588</v>
      </c>
      <c r="O55" s="7" t="s">
        <v>677</v>
      </c>
      <c r="P55" s="7" t="s">
        <v>678</v>
      </c>
      <c r="Q55" s="7"/>
    </row>
    <row r="56" spans="2:17">
      <c r="B56" s="1">
        <v>10062850742638</v>
      </c>
      <c r="C56" t="s">
        <v>599</v>
      </c>
      <c r="D56" t="s">
        <v>590</v>
      </c>
      <c r="F56" t="s">
        <v>670</v>
      </c>
      <c r="G56" s="2" t="s">
        <v>693</v>
      </c>
      <c r="M56" t="s">
        <v>691</v>
      </c>
      <c r="N56" t="s">
        <v>590</v>
      </c>
      <c r="O56" s="7" t="s">
        <v>677</v>
      </c>
      <c r="P56" s="7" t="s">
        <v>678</v>
      </c>
      <c r="Q56" s="7"/>
    </row>
    <row r="57" spans="2:17">
      <c r="B57" s="1">
        <v>10058667052372</v>
      </c>
      <c r="C57" t="s">
        <v>600</v>
      </c>
      <c r="D57" t="s">
        <v>397</v>
      </c>
      <c r="F57" t="s">
        <v>674</v>
      </c>
      <c r="G57" s="2" t="s">
        <v>671</v>
      </c>
      <c r="M57" t="s">
        <v>692</v>
      </c>
      <c r="O57" s="7"/>
      <c r="P57" s="7" t="s">
        <v>678</v>
      </c>
      <c r="Q57" s="7"/>
    </row>
    <row r="58" spans="2:17">
      <c r="B58" s="1">
        <v>10058667052373</v>
      </c>
      <c r="C58" t="s">
        <v>600</v>
      </c>
      <c r="D58" t="s">
        <v>582</v>
      </c>
      <c r="F58" t="s">
        <v>674</v>
      </c>
      <c r="G58" s="2" t="s">
        <v>675</v>
      </c>
      <c r="M58" t="s">
        <v>692</v>
      </c>
      <c r="N58" t="s">
        <v>582</v>
      </c>
      <c r="O58" s="7" t="s">
        <v>677</v>
      </c>
      <c r="P58" s="7" t="s">
        <v>678</v>
      </c>
      <c r="Q58" s="7"/>
    </row>
    <row r="59" spans="2:17">
      <c r="B59" s="1">
        <v>10058667052374</v>
      </c>
      <c r="C59" t="s">
        <v>600</v>
      </c>
      <c r="D59" t="s">
        <v>584</v>
      </c>
      <c r="F59" t="s">
        <v>674</v>
      </c>
      <c r="G59" s="2" t="s">
        <v>676</v>
      </c>
      <c r="M59" t="s">
        <v>692</v>
      </c>
      <c r="N59" t="s">
        <v>584</v>
      </c>
      <c r="O59" s="7" t="s">
        <v>677</v>
      </c>
      <c r="P59" s="7" t="s">
        <v>678</v>
      </c>
    </row>
    <row r="60" spans="2:17">
      <c r="B60" s="1">
        <v>10058667052375</v>
      </c>
      <c r="C60" t="s">
        <v>600</v>
      </c>
      <c r="D60" t="s">
        <v>350</v>
      </c>
      <c r="F60" t="s">
        <v>674</v>
      </c>
      <c r="G60" s="2" t="s">
        <v>662</v>
      </c>
      <c r="M60" t="s">
        <v>692</v>
      </c>
      <c r="N60" t="s">
        <v>350</v>
      </c>
      <c r="O60" s="7" t="s">
        <v>677</v>
      </c>
      <c r="P60" s="7" t="s">
        <v>678</v>
      </c>
      <c r="Q60" s="7"/>
    </row>
    <row r="61" spans="2:17">
      <c r="B61" s="1">
        <v>10058667052376</v>
      </c>
      <c r="C61" t="s">
        <v>600</v>
      </c>
      <c r="D61" t="s">
        <v>589</v>
      </c>
      <c r="F61" t="s">
        <v>674</v>
      </c>
      <c r="G61" s="2" t="s">
        <v>689</v>
      </c>
      <c r="M61" t="s">
        <v>692</v>
      </c>
      <c r="N61" t="s">
        <v>589</v>
      </c>
      <c r="O61" s="7" t="s">
        <v>677</v>
      </c>
      <c r="P61" s="7" t="s">
        <v>678</v>
      </c>
      <c r="Q61" s="7"/>
    </row>
    <row r="62" spans="2:17">
      <c r="B62" s="1">
        <v>10062850742640</v>
      </c>
      <c r="C62" t="s">
        <v>600</v>
      </c>
      <c r="D62" t="s">
        <v>590</v>
      </c>
      <c r="F62" t="s">
        <v>674</v>
      </c>
      <c r="G62" s="2" t="s">
        <v>693</v>
      </c>
      <c r="M62" t="s">
        <v>692</v>
      </c>
      <c r="N62" t="s">
        <v>590</v>
      </c>
      <c r="O62" s="7" t="s">
        <v>677</v>
      </c>
      <c r="P62" s="7" t="s">
        <v>678</v>
      </c>
      <c r="Q62" s="7"/>
    </row>
    <row r="63" spans="2:17">
      <c r="O63" s="7"/>
      <c r="P63" s="7"/>
      <c r="Q63" s="7"/>
    </row>
    <row r="64" spans="2:17">
      <c r="O64" s="7"/>
      <c r="P64" s="7"/>
      <c r="Q64" s="7"/>
    </row>
    <row r="65" spans="2:17">
      <c r="B65" s="1">
        <v>10109249055697</v>
      </c>
      <c r="C65" t="s">
        <v>601</v>
      </c>
      <c r="D65" t="s">
        <v>397</v>
      </c>
      <c r="F65" t="s">
        <v>679</v>
      </c>
      <c r="G65" t="s">
        <v>690</v>
      </c>
      <c r="M65" t="s">
        <v>601</v>
      </c>
      <c r="O65" s="7"/>
      <c r="P65" s="7" t="s">
        <v>678</v>
      </c>
      <c r="Q65" s="7"/>
    </row>
    <row r="66" spans="2:17">
      <c r="O66" s="7"/>
      <c r="P66" s="7"/>
      <c r="Q66" s="7"/>
    </row>
    <row r="67" spans="2:17">
      <c r="O67" s="7"/>
      <c r="P67" s="7"/>
      <c r="Q67" s="7"/>
    </row>
    <row r="68" spans="2:17">
      <c r="B68" s="1">
        <v>10097440713247</v>
      </c>
      <c r="C68" t="s">
        <v>1352</v>
      </c>
      <c r="D68" t="s">
        <v>397</v>
      </c>
      <c r="F68" t="s">
        <v>659</v>
      </c>
      <c r="G68" s="2" t="s">
        <v>660</v>
      </c>
      <c r="M68" t="s">
        <v>602</v>
      </c>
      <c r="O68" s="7"/>
      <c r="P68" s="7" t="s">
        <v>678</v>
      </c>
      <c r="Q68" s="7"/>
    </row>
    <row r="69" spans="2:17" ht="15" customHeight="1">
      <c r="B69" s="1">
        <v>10097440713246</v>
      </c>
      <c r="C69" t="s">
        <v>603</v>
      </c>
      <c r="D69" t="s">
        <v>397</v>
      </c>
      <c r="F69" t="s">
        <v>661</v>
      </c>
      <c r="G69" s="2" t="s">
        <v>660</v>
      </c>
      <c r="M69" t="s">
        <v>603</v>
      </c>
      <c r="O69" s="7"/>
      <c r="P69" s="7" t="s">
        <v>678</v>
      </c>
      <c r="Q69" s="7"/>
    </row>
    <row r="70" spans="2:17" ht="15" customHeight="1">
      <c r="B70" s="1">
        <v>10137552955906</v>
      </c>
      <c r="C70" t="s">
        <v>602</v>
      </c>
      <c r="D70" t="s">
        <v>581</v>
      </c>
      <c r="F70" t="s">
        <v>659</v>
      </c>
      <c r="G70" s="2" t="s">
        <v>1356</v>
      </c>
      <c r="M70" t="s">
        <v>602</v>
      </c>
      <c r="N70" t="s">
        <v>581</v>
      </c>
      <c r="O70" s="7" t="s">
        <v>677</v>
      </c>
      <c r="P70" s="7" t="s">
        <v>678</v>
      </c>
      <c r="Q70" s="7"/>
    </row>
    <row r="71" spans="2:17" ht="15" customHeight="1">
      <c r="B71" s="1">
        <v>10137552955907</v>
      </c>
      <c r="C71" t="s">
        <v>603</v>
      </c>
      <c r="D71" t="s">
        <v>582</v>
      </c>
      <c r="F71" t="s">
        <v>661</v>
      </c>
      <c r="G71" s="2" t="s">
        <v>1357</v>
      </c>
      <c r="M71" t="s">
        <v>603</v>
      </c>
      <c r="N71" t="s">
        <v>582</v>
      </c>
      <c r="O71" s="7" t="s">
        <v>677</v>
      </c>
      <c r="P71" s="7" t="s">
        <v>678</v>
      </c>
      <c r="Q71" s="7"/>
    </row>
    <row r="72" spans="2:17">
      <c r="B72" s="1">
        <v>10098418930173</v>
      </c>
      <c r="C72" t="s">
        <v>602</v>
      </c>
      <c r="D72" t="s">
        <v>583</v>
      </c>
      <c r="F72" t="s">
        <v>659</v>
      </c>
      <c r="G72" s="2" t="s">
        <v>1354</v>
      </c>
      <c r="M72" t="s">
        <v>602</v>
      </c>
      <c r="N72" t="s">
        <v>583</v>
      </c>
      <c r="O72" s="7" t="s">
        <v>677</v>
      </c>
      <c r="P72" s="7" t="s">
        <v>678</v>
      </c>
      <c r="Q72" s="7"/>
    </row>
    <row r="73" spans="2:17">
      <c r="B73" s="1">
        <v>10098418930172</v>
      </c>
      <c r="C73" t="s">
        <v>603</v>
      </c>
      <c r="D73" t="s">
        <v>584</v>
      </c>
      <c r="F73" t="s">
        <v>661</v>
      </c>
      <c r="G73" s="2" t="s">
        <v>1355</v>
      </c>
      <c r="M73" t="s">
        <v>603</v>
      </c>
      <c r="N73" t="s">
        <v>584</v>
      </c>
      <c r="O73" s="7" t="s">
        <v>677</v>
      </c>
      <c r="P73" s="7" t="s">
        <v>678</v>
      </c>
      <c r="Q73" s="7"/>
    </row>
    <row r="74" spans="2:17">
      <c r="B74" s="1">
        <v>10098590566171</v>
      </c>
      <c r="C74" t="s">
        <v>602</v>
      </c>
      <c r="D74" t="s">
        <v>350</v>
      </c>
      <c r="F74" t="s">
        <v>659</v>
      </c>
      <c r="G74" s="2" t="s">
        <v>662</v>
      </c>
      <c r="M74" t="s">
        <v>602</v>
      </c>
      <c r="N74" t="s">
        <v>350</v>
      </c>
      <c r="O74" s="7" t="s">
        <v>677</v>
      </c>
      <c r="P74" s="7" t="s">
        <v>678</v>
      </c>
      <c r="Q74" s="7"/>
    </row>
    <row r="75" spans="2:17">
      <c r="B75" s="1">
        <v>10098590566170</v>
      </c>
      <c r="C75" t="s">
        <v>603</v>
      </c>
      <c r="D75" t="s">
        <v>350</v>
      </c>
      <c r="F75" t="s">
        <v>661</v>
      </c>
      <c r="G75" s="2" t="s">
        <v>662</v>
      </c>
      <c r="M75" t="s">
        <v>603</v>
      </c>
      <c r="N75" t="s">
        <v>350</v>
      </c>
      <c r="O75" s="7" t="s">
        <v>677</v>
      </c>
      <c r="P75" s="7" t="s">
        <v>678</v>
      </c>
      <c r="Q75" s="7"/>
    </row>
    <row r="76" spans="2:17">
      <c r="B76" s="1">
        <v>10098418930177</v>
      </c>
      <c r="C76" t="s">
        <v>602</v>
      </c>
      <c r="D76" t="s">
        <v>588</v>
      </c>
      <c r="F76" t="s">
        <v>659</v>
      </c>
      <c r="G76" s="2" t="s">
        <v>694</v>
      </c>
      <c r="M76" t="s">
        <v>602</v>
      </c>
      <c r="N76" t="s">
        <v>588</v>
      </c>
      <c r="O76" s="7" t="s">
        <v>677</v>
      </c>
      <c r="P76" s="7" t="s">
        <v>678</v>
      </c>
      <c r="Q76" s="7"/>
    </row>
    <row r="77" spans="2:17">
      <c r="B77" s="1">
        <v>10098418930176</v>
      </c>
      <c r="C77" t="s">
        <v>603</v>
      </c>
      <c r="D77" t="s">
        <v>589</v>
      </c>
      <c r="F77" t="s">
        <v>661</v>
      </c>
      <c r="G77" s="2" t="s">
        <v>689</v>
      </c>
      <c r="M77" t="s">
        <v>603</v>
      </c>
      <c r="N77" t="s">
        <v>589</v>
      </c>
      <c r="O77" s="7" t="s">
        <v>677</v>
      </c>
      <c r="P77" s="7" t="s">
        <v>678</v>
      </c>
      <c r="Q77" s="7"/>
    </row>
    <row r="78" spans="2:17">
      <c r="B78" s="1">
        <v>10098418930175</v>
      </c>
      <c r="C78" t="s">
        <v>602</v>
      </c>
      <c r="D78" t="s">
        <v>594</v>
      </c>
      <c r="F78" t="s">
        <v>659</v>
      </c>
      <c r="G78" s="2" t="s">
        <v>663</v>
      </c>
      <c r="M78" t="s">
        <v>602</v>
      </c>
      <c r="N78" t="s">
        <v>594</v>
      </c>
      <c r="O78" s="7" t="s">
        <v>677</v>
      </c>
      <c r="P78" s="7" t="s">
        <v>678</v>
      </c>
      <c r="Q78" s="7"/>
    </row>
    <row r="79" spans="2:17">
      <c r="B79" s="1">
        <v>10098418930174</v>
      </c>
      <c r="C79" t="s">
        <v>603</v>
      </c>
      <c r="D79" t="s">
        <v>1353</v>
      </c>
      <c r="F79" t="s">
        <v>661</v>
      </c>
      <c r="G79" s="2" t="s">
        <v>1358</v>
      </c>
      <c r="M79" t="s">
        <v>603</v>
      </c>
      <c r="N79" t="s">
        <v>595</v>
      </c>
      <c r="O79" s="7" t="s">
        <v>677</v>
      </c>
      <c r="P79" s="7" t="s">
        <v>678</v>
      </c>
      <c r="Q79" s="7"/>
    </row>
    <row r="80" spans="2:17">
      <c r="O80" s="7"/>
      <c r="P80" s="7"/>
      <c r="Q80" s="7"/>
    </row>
    <row r="81" spans="2:17">
      <c r="B81" s="1">
        <v>10100675083252</v>
      </c>
      <c r="C81" t="s">
        <v>604</v>
      </c>
      <c r="D81" t="s">
        <v>397</v>
      </c>
      <c r="F81" t="s">
        <v>665</v>
      </c>
      <c r="G81" s="2" t="s">
        <v>660</v>
      </c>
      <c r="M81" t="s">
        <v>604</v>
      </c>
      <c r="O81" s="7"/>
      <c r="P81" s="7" t="s">
        <v>678</v>
      </c>
      <c r="Q81" s="7"/>
    </row>
    <row r="82" spans="2:17">
      <c r="B82" s="1">
        <v>10100675083257</v>
      </c>
      <c r="C82" t="s">
        <v>605</v>
      </c>
      <c r="D82" t="s">
        <v>397</v>
      </c>
      <c r="F82" t="s">
        <v>666</v>
      </c>
      <c r="G82" s="2" t="s">
        <v>660</v>
      </c>
      <c r="M82" t="s">
        <v>605</v>
      </c>
      <c r="O82" s="7"/>
      <c r="P82" s="7" t="s">
        <v>678</v>
      </c>
      <c r="Q82" s="7"/>
    </row>
    <row r="83" spans="2:17">
      <c r="B83" s="1">
        <v>10137553491859</v>
      </c>
      <c r="C83" t="s">
        <v>604</v>
      </c>
      <c r="D83" t="s">
        <v>581</v>
      </c>
      <c r="F83" t="s">
        <v>665</v>
      </c>
      <c r="G83" s="2" t="s">
        <v>1356</v>
      </c>
      <c r="M83" t="s">
        <v>604</v>
      </c>
      <c r="N83" t="s">
        <v>581</v>
      </c>
      <c r="O83" s="7" t="s">
        <v>677</v>
      </c>
      <c r="P83" s="7" t="s">
        <v>678</v>
      </c>
      <c r="Q83" s="7"/>
    </row>
    <row r="84" spans="2:17">
      <c r="B84" s="1">
        <v>10137553491860</v>
      </c>
      <c r="C84" t="s">
        <v>604</v>
      </c>
      <c r="D84" t="s">
        <v>582</v>
      </c>
      <c r="F84" t="s">
        <v>666</v>
      </c>
      <c r="G84" s="2" t="s">
        <v>1357</v>
      </c>
      <c r="M84" t="s">
        <v>605</v>
      </c>
      <c r="N84" t="s">
        <v>582</v>
      </c>
      <c r="O84" s="7" t="s">
        <v>677</v>
      </c>
      <c r="P84" s="7" t="s">
        <v>678</v>
      </c>
      <c r="Q84" s="7"/>
    </row>
    <row r="85" spans="2:17">
      <c r="B85" s="1">
        <v>10100675083253</v>
      </c>
      <c r="C85" t="s">
        <v>604</v>
      </c>
      <c r="D85" t="s">
        <v>583</v>
      </c>
      <c r="F85" t="s">
        <v>665</v>
      </c>
      <c r="G85" s="2" t="s">
        <v>1354</v>
      </c>
      <c r="M85" t="s">
        <v>604</v>
      </c>
      <c r="N85" t="s">
        <v>583</v>
      </c>
      <c r="O85" s="7" t="s">
        <v>677</v>
      </c>
      <c r="P85" s="7" t="s">
        <v>678</v>
      </c>
      <c r="Q85" s="7"/>
    </row>
    <row r="86" spans="2:17">
      <c r="B86" s="1">
        <v>10100675083258</v>
      </c>
      <c r="C86" t="s">
        <v>605</v>
      </c>
      <c r="D86" t="s">
        <v>584</v>
      </c>
      <c r="F86" t="s">
        <v>666</v>
      </c>
      <c r="G86" s="2" t="s">
        <v>1355</v>
      </c>
      <c r="M86" t="s">
        <v>605</v>
      </c>
      <c r="N86" t="s">
        <v>584</v>
      </c>
      <c r="O86" s="7" t="s">
        <v>677</v>
      </c>
      <c r="P86" s="7" t="s">
        <v>678</v>
      </c>
      <c r="Q86" s="7"/>
    </row>
    <row r="87" spans="2:17">
      <c r="B87" s="1">
        <v>10100675083254</v>
      </c>
      <c r="C87" t="s">
        <v>604</v>
      </c>
      <c r="D87" t="s">
        <v>350</v>
      </c>
      <c r="F87" t="s">
        <v>665</v>
      </c>
      <c r="G87" s="2" t="s">
        <v>662</v>
      </c>
      <c r="M87" t="s">
        <v>604</v>
      </c>
      <c r="N87" t="s">
        <v>350</v>
      </c>
      <c r="O87" s="7" t="s">
        <v>677</v>
      </c>
      <c r="P87" s="7" t="s">
        <v>678</v>
      </c>
      <c r="Q87" s="7"/>
    </row>
    <row r="88" spans="2:17">
      <c r="B88" s="1">
        <v>10100675083259</v>
      </c>
      <c r="C88" t="s">
        <v>605</v>
      </c>
      <c r="D88" t="s">
        <v>350</v>
      </c>
      <c r="F88" t="s">
        <v>666</v>
      </c>
      <c r="G88" s="2" t="s">
        <v>662</v>
      </c>
      <c r="M88" t="s">
        <v>605</v>
      </c>
      <c r="N88" t="s">
        <v>350</v>
      </c>
      <c r="O88" s="7" t="s">
        <v>677</v>
      </c>
      <c r="P88" s="7" t="s">
        <v>678</v>
      </c>
      <c r="Q88" s="7"/>
    </row>
    <row r="89" spans="2:17">
      <c r="B89" s="1">
        <v>10100675083255</v>
      </c>
      <c r="C89" t="s">
        <v>604</v>
      </c>
      <c r="D89" t="s">
        <v>588</v>
      </c>
      <c r="F89" t="s">
        <v>665</v>
      </c>
      <c r="G89" s="2" t="s">
        <v>695</v>
      </c>
      <c r="M89" t="s">
        <v>604</v>
      </c>
      <c r="N89" t="s">
        <v>588</v>
      </c>
      <c r="O89" s="7" t="s">
        <v>677</v>
      </c>
      <c r="P89" s="7" t="s">
        <v>678</v>
      </c>
      <c r="Q89" s="7"/>
    </row>
    <row r="90" spans="2:17">
      <c r="B90" s="1">
        <v>10100675083260</v>
      </c>
      <c r="C90" t="s">
        <v>605</v>
      </c>
      <c r="D90" t="s">
        <v>589</v>
      </c>
      <c r="F90" t="s">
        <v>666</v>
      </c>
      <c r="G90" s="2" t="s">
        <v>689</v>
      </c>
      <c r="M90" t="s">
        <v>605</v>
      </c>
      <c r="N90" t="s">
        <v>589</v>
      </c>
      <c r="O90" s="7" t="s">
        <v>677</v>
      </c>
      <c r="P90" s="7" t="s">
        <v>678</v>
      </c>
      <c r="Q90" s="7"/>
    </row>
    <row r="91" spans="2:17">
      <c r="B91" s="1">
        <v>10100675083256</v>
      </c>
      <c r="C91" t="s">
        <v>604</v>
      </c>
      <c r="D91" t="s">
        <v>594</v>
      </c>
      <c r="F91" t="s">
        <v>665</v>
      </c>
      <c r="G91" s="2" t="s">
        <v>663</v>
      </c>
      <c r="M91" t="s">
        <v>604</v>
      </c>
      <c r="N91" t="s">
        <v>594</v>
      </c>
      <c r="O91" s="7" t="s">
        <v>677</v>
      </c>
      <c r="P91" s="7" t="s">
        <v>678</v>
      </c>
      <c r="Q91" s="7"/>
    </row>
    <row r="92" spans="2:17">
      <c r="B92" s="1">
        <v>10100675083261</v>
      </c>
      <c r="C92" t="s">
        <v>605</v>
      </c>
      <c r="D92" t="s">
        <v>1353</v>
      </c>
      <c r="F92" t="s">
        <v>666</v>
      </c>
      <c r="G92" s="2" t="s">
        <v>664</v>
      </c>
      <c r="M92" t="s">
        <v>605</v>
      </c>
      <c r="N92" t="s">
        <v>595</v>
      </c>
      <c r="O92" s="7" t="s">
        <v>677</v>
      </c>
      <c r="P92" s="7" t="s">
        <v>678</v>
      </c>
      <c r="Q92" s="7"/>
    </row>
    <row r="93" spans="2:17">
      <c r="O93" s="7"/>
      <c r="P93" s="7"/>
      <c r="Q93" s="7"/>
    </row>
    <row r="94" spans="2:17">
      <c r="B94" s="1">
        <v>10102075754933</v>
      </c>
      <c r="C94" t="s">
        <v>606</v>
      </c>
      <c r="D94" t="s">
        <v>397</v>
      </c>
      <c r="F94" t="s">
        <v>606</v>
      </c>
      <c r="G94" s="2" t="s">
        <v>696</v>
      </c>
      <c r="M94" t="s">
        <v>606</v>
      </c>
      <c r="O94" s="7"/>
      <c r="P94" s="7" t="s">
        <v>678</v>
      </c>
      <c r="Q94" s="7"/>
    </row>
    <row r="95" spans="2:17">
      <c r="B95" s="1">
        <v>10102075754934</v>
      </c>
      <c r="C95" t="s">
        <v>607</v>
      </c>
      <c r="D95" t="s">
        <v>397</v>
      </c>
      <c r="F95" t="s">
        <v>607</v>
      </c>
      <c r="G95" s="2" t="s">
        <v>696</v>
      </c>
      <c r="M95" t="s">
        <v>700</v>
      </c>
      <c r="O95" s="7"/>
      <c r="P95" s="7" t="s">
        <v>678</v>
      </c>
      <c r="Q95" s="7"/>
    </row>
    <row r="96" spans="2:17">
      <c r="B96" s="1">
        <v>10102075754935</v>
      </c>
      <c r="C96" t="s">
        <v>606</v>
      </c>
      <c r="D96" t="s">
        <v>590</v>
      </c>
      <c r="F96" t="s">
        <v>606</v>
      </c>
      <c r="G96" s="2" t="s">
        <v>697</v>
      </c>
      <c r="M96" t="s">
        <v>606</v>
      </c>
      <c r="N96" t="s">
        <v>590</v>
      </c>
      <c r="O96" s="7" t="s">
        <v>677</v>
      </c>
      <c r="P96" s="7" t="s">
        <v>678</v>
      </c>
      <c r="Q96" s="7"/>
    </row>
    <row r="97" spans="2:17">
      <c r="B97" s="1">
        <v>10102075754936</v>
      </c>
      <c r="C97" t="s">
        <v>607</v>
      </c>
      <c r="D97" t="s">
        <v>590</v>
      </c>
      <c r="F97" t="s">
        <v>607</v>
      </c>
      <c r="G97" s="2" t="s">
        <v>697</v>
      </c>
      <c r="M97" t="s">
        <v>700</v>
      </c>
      <c r="N97" t="s">
        <v>590</v>
      </c>
      <c r="O97" s="7" t="s">
        <v>677</v>
      </c>
      <c r="P97" s="7" t="s">
        <v>678</v>
      </c>
      <c r="Q97" s="7"/>
    </row>
    <row r="98" spans="2:17">
      <c r="B98" s="1">
        <v>10102075754937</v>
      </c>
      <c r="C98" t="s">
        <v>606</v>
      </c>
      <c r="D98" t="s">
        <v>591</v>
      </c>
      <c r="F98" t="s">
        <v>606</v>
      </c>
      <c r="G98" s="2" t="s">
        <v>698</v>
      </c>
      <c r="M98" t="s">
        <v>606</v>
      </c>
      <c r="N98" t="s">
        <v>591</v>
      </c>
      <c r="O98" s="7" t="s">
        <v>677</v>
      </c>
      <c r="P98" s="7" t="s">
        <v>678</v>
      </c>
      <c r="Q98" s="7"/>
    </row>
    <row r="99" spans="2:17">
      <c r="B99" s="1">
        <v>10102075754938</v>
      </c>
      <c r="C99" t="s">
        <v>607</v>
      </c>
      <c r="D99" t="s">
        <v>591</v>
      </c>
      <c r="F99" t="s">
        <v>607</v>
      </c>
      <c r="G99" s="2" t="s">
        <v>698</v>
      </c>
      <c r="M99" t="s">
        <v>700</v>
      </c>
      <c r="N99" t="s">
        <v>591</v>
      </c>
      <c r="O99" s="7" t="s">
        <v>677</v>
      </c>
      <c r="P99" s="7" t="s">
        <v>678</v>
      </c>
      <c r="Q99" s="7"/>
    </row>
    <row r="100" spans="2:17">
      <c r="B100" s="1">
        <v>10102075754939</v>
      </c>
      <c r="C100" t="s">
        <v>606</v>
      </c>
      <c r="D100" t="s">
        <v>594</v>
      </c>
      <c r="F100" t="s">
        <v>606</v>
      </c>
      <c r="G100" s="2" t="s">
        <v>663</v>
      </c>
      <c r="M100" t="s">
        <v>606</v>
      </c>
      <c r="N100" t="s">
        <v>594</v>
      </c>
      <c r="O100" s="7" t="s">
        <v>677</v>
      </c>
      <c r="P100" s="7" t="s">
        <v>678</v>
      </c>
      <c r="Q100" s="7"/>
    </row>
    <row r="101" spans="2:17">
      <c r="B101" s="1">
        <v>10102075754940</v>
      </c>
      <c r="C101" t="s">
        <v>607</v>
      </c>
      <c r="D101" t="s">
        <v>595</v>
      </c>
      <c r="F101" t="s">
        <v>607</v>
      </c>
      <c r="G101" s="2" t="s">
        <v>664</v>
      </c>
      <c r="M101" t="s">
        <v>700</v>
      </c>
      <c r="N101" t="s">
        <v>595</v>
      </c>
      <c r="O101" s="7" t="s">
        <v>677</v>
      </c>
      <c r="P101" s="7" t="s">
        <v>678</v>
      </c>
      <c r="Q101" s="7"/>
    </row>
    <row r="102" spans="2:17">
      <c r="B102" s="1">
        <v>10102077058078</v>
      </c>
      <c r="C102" t="s">
        <v>606</v>
      </c>
      <c r="D102" t="s">
        <v>596</v>
      </c>
      <c r="F102" t="s">
        <v>606</v>
      </c>
      <c r="G102" s="2" t="s">
        <v>668</v>
      </c>
      <c r="M102" t="s">
        <v>606</v>
      </c>
      <c r="N102" t="s">
        <v>596</v>
      </c>
      <c r="O102" s="7" t="s">
        <v>677</v>
      </c>
      <c r="P102" s="7" t="s">
        <v>678</v>
      </c>
      <c r="Q102" s="7"/>
    </row>
    <row r="103" spans="2:17">
      <c r="B103" s="1">
        <v>10102077058079</v>
      </c>
      <c r="C103" t="s">
        <v>607</v>
      </c>
      <c r="D103" t="s">
        <v>597</v>
      </c>
      <c r="F103" t="s">
        <v>607</v>
      </c>
      <c r="G103" s="2" t="s">
        <v>669</v>
      </c>
      <c r="M103" t="s">
        <v>700</v>
      </c>
      <c r="N103" t="s">
        <v>597</v>
      </c>
      <c r="O103" s="7" t="s">
        <v>677</v>
      </c>
      <c r="P103" s="7" t="s">
        <v>678</v>
      </c>
      <c r="Q103" s="7"/>
    </row>
    <row r="104" spans="2:17">
      <c r="B104" s="1">
        <v>10102077058080</v>
      </c>
      <c r="C104" t="s">
        <v>606</v>
      </c>
      <c r="D104" t="s">
        <v>1359</v>
      </c>
      <c r="F104" t="s">
        <v>606</v>
      </c>
      <c r="G104" s="2" t="s">
        <v>1361</v>
      </c>
      <c r="M104" t="s">
        <v>606</v>
      </c>
      <c r="N104" t="s">
        <v>1359</v>
      </c>
      <c r="O104" s="7" t="s">
        <v>677</v>
      </c>
      <c r="P104" s="7" t="s">
        <v>678</v>
      </c>
      <c r="Q104" s="7"/>
    </row>
    <row r="105" spans="2:17">
      <c r="B105" s="1">
        <v>10102077058081</v>
      </c>
      <c r="C105" t="s">
        <v>607</v>
      </c>
      <c r="D105" t="s">
        <v>1360</v>
      </c>
      <c r="F105" t="s">
        <v>607</v>
      </c>
      <c r="G105" s="2" t="s">
        <v>1362</v>
      </c>
      <c r="M105" t="s">
        <v>700</v>
      </c>
      <c r="N105" t="s">
        <v>1360</v>
      </c>
      <c r="O105" s="7" t="s">
        <v>677</v>
      </c>
      <c r="P105" s="7" t="s">
        <v>678</v>
      </c>
      <c r="Q105" s="7"/>
    </row>
    <row r="106" spans="2:17">
      <c r="O106" s="7"/>
      <c r="P106" s="7"/>
      <c r="Q106" s="7"/>
    </row>
    <row r="107" spans="2:17">
      <c r="O107" s="7"/>
      <c r="P107" s="7"/>
      <c r="Q107" s="7"/>
    </row>
    <row r="108" spans="2:17">
      <c r="B108" s="1">
        <v>70081768544</v>
      </c>
      <c r="C108" t="s">
        <v>608</v>
      </c>
      <c r="D108" t="s">
        <v>397</v>
      </c>
      <c r="F108" t="s">
        <v>608</v>
      </c>
      <c r="G108" s="2" t="s">
        <v>699</v>
      </c>
      <c r="M108" t="s">
        <v>608</v>
      </c>
      <c r="O108" s="7"/>
      <c r="P108" s="7" t="s">
        <v>678</v>
      </c>
      <c r="Q108" s="7"/>
    </row>
    <row r="109" spans="2:17">
      <c r="B109" s="1">
        <v>10025744550162</v>
      </c>
      <c r="C109" t="s">
        <v>608</v>
      </c>
      <c r="D109" t="s">
        <v>581</v>
      </c>
      <c r="F109" t="s">
        <v>608</v>
      </c>
      <c r="G109" s="2" t="s">
        <v>680</v>
      </c>
      <c r="M109" t="s">
        <v>608</v>
      </c>
      <c r="N109" t="s">
        <v>581</v>
      </c>
      <c r="O109" t="s">
        <v>677</v>
      </c>
      <c r="P109" s="7" t="s">
        <v>678</v>
      </c>
      <c r="Q109" s="7"/>
    </row>
    <row r="110" spans="2:17">
      <c r="B110" s="1">
        <v>10025744550163</v>
      </c>
      <c r="C110" t="s">
        <v>608</v>
      </c>
      <c r="D110" t="s">
        <v>583</v>
      </c>
      <c r="F110" t="s">
        <v>608</v>
      </c>
      <c r="G110" s="2" t="s">
        <v>681</v>
      </c>
      <c r="M110" t="s">
        <v>608</v>
      </c>
      <c r="N110" t="s">
        <v>583</v>
      </c>
      <c r="O110" t="s">
        <v>677</v>
      </c>
      <c r="P110" s="7" t="s">
        <v>678</v>
      </c>
      <c r="Q110" s="7"/>
    </row>
    <row r="111" spans="2:17">
      <c r="B111" s="1">
        <v>10025744550164</v>
      </c>
      <c r="C111" t="s">
        <v>608</v>
      </c>
      <c r="D111" t="s">
        <v>350</v>
      </c>
      <c r="F111" t="s">
        <v>608</v>
      </c>
      <c r="G111" s="2" t="s">
        <v>682</v>
      </c>
      <c r="M111" t="s">
        <v>608</v>
      </c>
      <c r="N111" t="s">
        <v>350</v>
      </c>
      <c r="O111" t="s">
        <v>677</v>
      </c>
      <c r="P111" s="7" t="s">
        <v>678</v>
      </c>
    </row>
    <row r="112" spans="2:17">
      <c r="B112" s="1">
        <v>10069543169969</v>
      </c>
      <c r="C112" t="s">
        <v>608</v>
      </c>
      <c r="D112" t="s">
        <v>588</v>
      </c>
      <c r="F112" t="s">
        <v>608</v>
      </c>
      <c r="G112" s="2" t="s">
        <v>694</v>
      </c>
      <c r="M112" t="s">
        <v>608</v>
      </c>
      <c r="N112" t="s">
        <v>588</v>
      </c>
      <c r="O112" t="s">
        <v>677</v>
      </c>
      <c r="P112" s="7" t="s">
        <v>678</v>
      </c>
    </row>
    <row r="113" spans="2:17">
      <c r="B113" s="1">
        <v>10069543169970</v>
      </c>
      <c r="C113" t="s">
        <v>608</v>
      </c>
      <c r="D113" t="s">
        <v>590</v>
      </c>
      <c r="F113" t="s">
        <v>608</v>
      </c>
      <c r="G113" s="2" t="s">
        <v>697</v>
      </c>
      <c r="M113" t="s">
        <v>608</v>
      </c>
      <c r="N113" t="s">
        <v>590</v>
      </c>
      <c r="O113" t="s">
        <v>677</v>
      </c>
      <c r="P113" s="7" t="s">
        <v>678</v>
      </c>
    </row>
    <row r="114" spans="2:17">
      <c r="O114" s="7"/>
      <c r="P114" s="7"/>
    </row>
    <row r="115" spans="2:17">
      <c r="O115" s="7"/>
      <c r="P115" s="7"/>
    </row>
    <row r="116" spans="2:17">
      <c r="B116" s="1">
        <v>64725762216</v>
      </c>
      <c r="C116" t="s">
        <v>609</v>
      </c>
      <c r="D116" t="s">
        <v>397</v>
      </c>
      <c r="O116" s="7"/>
      <c r="P116" s="7"/>
    </row>
    <row r="117" spans="2:17">
      <c r="B117" s="1">
        <v>10060934464486</v>
      </c>
      <c r="C117" t="s">
        <v>610</v>
      </c>
      <c r="D117" t="s">
        <v>397</v>
      </c>
      <c r="O117" s="7"/>
      <c r="P117" s="7"/>
    </row>
    <row r="118" spans="2:17">
      <c r="B118" s="1">
        <v>10060934464487</v>
      </c>
      <c r="C118" t="s">
        <v>611</v>
      </c>
      <c r="D118" t="s">
        <v>397</v>
      </c>
      <c r="O118" s="7"/>
      <c r="P118" s="7"/>
    </row>
    <row r="119" spans="2:17">
      <c r="O119" s="7"/>
      <c r="P119" s="7"/>
    </row>
    <row r="120" spans="2:17">
      <c r="O120" s="7"/>
      <c r="P120" s="7"/>
    </row>
    <row r="121" spans="2:17">
      <c r="B121" s="1">
        <v>10130086879712</v>
      </c>
      <c r="C121" t="s">
        <v>931</v>
      </c>
      <c r="F121" t="s">
        <v>936</v>
      </c>
      <c r="G121" t="s">
        <v>937</v>
      </c>
      <c r="L121" t="s">
        <v>935</v>
      </c>
      <c r="O121" s="7"/>
      <c r="P121" s="7"/>
    </row>
    <row r="122" spans="2:17">
      <c r="B122" s="1">
        <v>10130086879713</v>
      </c>
      <c r="C122" t="s">
        <v>932</v>
      </c>
      <c r="F122" t="s">
        <v>936</v>
      </c>
      <c r="G122" t="s">
        <v>938</v>
      </c>
      <c r="L122" t="s">
        <v>935</v>
      </c>
      <c r="O122" s="7"/>
      <c r="P122" s="7"/>
    </row>
    <row r="123" spans="2:17">
      <c r="B123" s="1">
        <v>10068992533396</v>
      </c>
      <c r="C123" t="s">
        <v>612</v>
      </c>
      <c r="D123" t="s">
        <v>397</v>
      </c>
      <c r="O123" s="7"/>
      <c r="P123" s="7"/>
    </row>
    <row r="124" spans="2:17">
      <c r="B124" s="1">
        <v>10068992533397</v>
      </c>
      <c r="C124" t="s">
        <v>613</v>
      </c>
      <c r="D124" t="s">
        <v>397</v>
      </c>
      <c r="O124" s="7"/>
      <c r="P124" s="7"/>
      <c r="Q124" s="7"/>
    </row>
    <row r="125" spans="2:17">
      <c r="O125" s="7"/>
      <c r="P125" s="7"/>
      <c r="Q125" s="7"/>
    </row>
    <row r="126" spans="2:17">
      <c r="B126" s="1">
        <v>10104272719453</v>
      </c>
      <c r="C126" t="s">
        <v>614</v>
      </c>
      <c r="D126" t="s">
        <v>397</v>
      </c>
      <c r="O126" s="7"/>
      <c r="P126" s="7"/>
      <c r="Q126" s="7"/>
    </row>
    <row r="127" spans="2:17">
      <c r="B127" s="1">
        <v>10104272719460</v>
      </c>
      <c r="C127" t="s">
        <v>615</v>
      </c>
      <c r="D127" t="s">
        <v>397</v>
      </c>
      <c r="O127" s="7"/>
      <c r="P127" s="7"/>
      <c r="Q127" s="7"/>
    </row>
    <row r="128" spans="2:17">
      <c r="B128" s="1">
        <v>10104272719454</v>
      </c>
      <c r="C128" t="s">
        <v>616</v>
      </c>
      <c r="D128" t="s">
        <v>397</v>
      </c>
      <c r="Q128" s="7"/>
    </row>
    <row r="129" spans="2:17">
      <c r="B129" s="1">
        <v>10104272719461</v>
      </c>
      <c r="C129" t="s">
        <v>617</v>
      </c>
      <c r="D129" t="s">
        <v>397</v>
      </c>
      <c r="Q129" s="7"/>
    </row>
    <row r="130" spans="2:17">
      <c r="B130" s="1">
        <v>10104272719469</v>
      </c>
      <c r="C130" t="s">
        <v>618</v>
      </c>
      <c r="D130" t="s">
        <v>397</v>
      </c>
      <c r="Q130" s="7"/>
    </row>
    <row r="131" spans="2:17">
      <c r="B131" s="1">
        <v>10104272719476</v>
      </c>
      <c r="C131" t="s">
        <v>619</v>
      </c>
      <c r="D131" t="s">
        <v>397</v>
      </c>
      <c r="Q131" s="7"/>
    </row>
    <row r="132" spans="2:17">
      <c r="B132" s="1">
        <v>10104272719470</v>
      </c>
      <c r="C132" t="s">
        <v>620</v>
      </c>
      <c r="D132" t="s">
        <v>397</v>
      </c>
      <c r="Q132" s="7"/>
    </row>
    <row r="133" spans="2:17">
      <c r="B133" s="1">
        <v>10104272719477</v>
      </c>
      <c r="C133" t="s">
        <v>621</v>
      </c>
      <c r="D133" t="s">
        <v>397</v>
      </c>
      <c r="Q133" s="7"/>
    </row>
    <row r="134" spans="2:17">
      <c r="B134" s="1">
        <v>10104272719471</v>
      </c>
      <c r="C134" t="s">
        <v>622</v>
      </c>
      <c r="D134" t="s">
        <v>397</v>
      </c>
      <c r="Q134" s="7"/>
    </row>
    <row r="135" spans="2:17">
      <c r="B135" s="1">
        <v>10104272719478</v>
      </c>
      <c r="C135" t="s">
        <v>623</v>
      </c>
      <c r="D135" t="s">
        <v>397</v>
      </c>
      <c r="Q135" s="7"/>
    </row>
    <row r="136" spans="2:17">
      <c r="B136" s="1">
        <v>10104272719472</v>
      </c>
      <c r="C136" t="s">
        <v>624</v>
      </c>
      <c r="D136" t="s">
        <v>397</v>
      </c>
      <c r="Q136" s="7"/>
    </row>
    <row r="137" spans="2:17">
      <c r="B137" s="1">
        <v>10104272719479</v>
      </c>
      <c r="C137" t="s">
        <v>625</v>
      </c>
      <c r="D137" t="s">
        <v>397</v>
      </c>
      <c r="Q137" s="7"/>
    </row>
    <row r="138" spans="2:17">
      <c r="B138" s="1">
        <v>10104272719487</v>
      </c>
      <c r="C138" t="s">
        <v>626</v>
      </c>
      <c r="D138" t="s">
        <v>397</v>
      </c>
      <c r="Q138" s="7"/>
    </row>
    <row r="139" spans="2:17">
      <c r="B139" s="1">
        <v>10104272719494</v>
      </c>
      <c r="C139" t="s">
        <v>627</v>
      </c>
      <c r="D139" t="s">
        <v>397</v>
      </c>
      <c r="P139" s="7"/>
      <c r="Q139" s="7"/>
    </row>
    <row r="140" spans="2:17">
      <c r="P140" s="7"/>
      <c r="Q140" s="7"/>
    </row>
    <row r="141" spans="2:17">
      <c r="P141" s="7"/>
      <c r="Q141" s="7"/>
    </row>
    <row r="142" spans="2:17">
      <c r="P142" s="7"/>
      <c r="Q142" s="7"/>
    </row>
    <row r="143" spans="2:17">
      <c r="P143" s="7"/>
      <c r="Q143" s="7"/>
    </row>
    <row r="144" spans="2:17">
      <c r="P144" s="7"/>
      <c r="Q144" s="7"/>
    </row>
    <row r="145" spans="2:17">
      <c r="Q145" s="7"/>
    </row>
    <row r="146" spans="2:17">
      <c r="P146" s="7"/>
      <c r="Q146" s="7"/>
    </row>
    <row r="147" spans="2:17">
      <c r="B147" s="1">
        <v>10091261517882</v>
      </c>
      <c r="C147" t="s">
        <v>628</v>
      </c>
      <c r="D147" t="s">
        <v>397</v>
      </c>
      <c r="F147" t="s">
        <v>628</v>
      </c>
      <c r="G147" s="2" t="s">
        <v>701</v>
      </c>
      <c r="L147" t="s">
        <v>628</v>
      </c>
      <c r="P147" s="7"/>
      <c r="Q147" s="7"/>
    </row>
    <row r="148" spans="2:17">
      <c r="B148" s="1">
        <v>71355170865</v>
      </c>
      <c r="C148" t="s">
        <v>629</v>
      </c>
      <c r="D148" t="s">
        <v>397</v>
      </c>
      <c r="F148" t="s">
        <v>629</v>
      </c>
      <c r="G148" s="2" t="s">
        <v>876</v>
      </c>
      <c r="L148" t="s">
        <v>629</v>
      </c>
      <c r="P148" s="7"/>
      <c r="Q148" s="7"/>
    </row>
    <row r="149" spans="2:17">
      <c r="B149" s="1">
        <v>10103853504131</v>
      </c>
      <c r="C149" t="s">
        <v>630</v>
      </c>
      <c r="D149" t="s">
        <v>397</v>
      </c>
      <c r="F149" t="s">
        <v>630</v>
      </c>
      <c r="G149" s="2" t="s">
        <v>702</v>
      </c>
      <c r="L149" t="s">
        <v>630</v>
      </c>
    </row>
    <row r="150" spans="2:17">
      <c r="B150" s="1">
        <v>10088432102348</v>
      </c>
      <c r="C150" t="s">
        <v>631</v>
      </c>
      <c r="D150" t="s">
        <v>397</v>
      </c>
      <c r="F150" t="s">
        <v>631</v>
      </c>
      <c r="G150" s="2" t="s">
        <v>703</v>
      </c>
      <c r="L150" t="s">
        <v>631</v>
      </c>
      <c r="Q150" s="7"/>
    </row>
    <row r="151" spans="2:17">
      <c r="Q151" s="7"/>
    </row>
    <row r="152" spans="2:17">
      <c r="B152" s="1">
        <v>10043531596625</v>
      </c>
      <c r="C152" t="s">
        <v>630</v>
      </c>
      <c r="D152" t="s">
        <v>397</v>
      </c>
      <c r="F152" t="s">
        <v>630</v>
      </c>
      <c r="G152" s="2" t="s">
        <v>702</v>
      </c>
      <c r="L152" t="s">
        <v>630</v>
      </c>
      <c r="Q152" s="7"/>
    </row>
    <row r="153" spans="2:17">
      <c r="B153" s="1">
        <v>10059372109742</v>
      </c>
      <c r="C153" t="s">
        <v>630</v>
      </c>
      <c r="D153" t="s">
        <v>644</v>
      </c>
      <c r="F153" t="s">
        <v>630</v>
      </c>
      <c r="G153" s="2" t="s">
        <v>704</v>
      </c>
      <c r="L153" t="s">
        <v>630</v>
      </c>
      <c r="M153" t="s">
        <v>705</v>
      </c>
      <c r="O153" s="7" t="s">
        <v>677</v>
      </c>
    </row>
    <row r="154" spans="2:17">
      <c r="B154" s="1">
        <v>10059372109743</v>
      </c>
      <c r="C154" t="s">
        <v>630</v>
      </c>
      <c r="D154" t="s">
        <v>598</v>
      </c>
      <c r="F154" t="s">
        <v>630</v>
      </c>
      <c r="G154" s="2" t="s">
        <v>706</v>
      </c>
      <c r="L154" t="s">
        <v>630</v>
      </c>
      <c r="M154" t="s">
        <v>707</v>
      </c>
      <c r="O154" s="7" t="s">
        <v>677</v>
      </c>
    </row>
    <row r="156" spans="2:17">
      <c r="B156" s="1">
        <v>10091257462319</v>
      </c>
      <c r="C156" t="s">
        <v>632</v>
      </c>
      <c r="D156" t="s">
        <v>397</v>
      </c>
      <c r="F156" t="s">
        <v>632</v>
      </c>
      <c r="G156" s="2" t="s">
        <v>708</v>
      </c>
      <c r="L156" t="s">
        <v>632</v>
      </c>
    </row>
    <row r="157" spans="2:17">
      <c r="B157" s="1">
        <v>10109901557657</v>
      </c>
      <c r="C157" t="s">
        <v>633</v>
      </c>
      <c r="D157" t="s">
        <v>397</v>
      </c>
      <c r="F157" t="s">
        <v>633</v>
      </c>
      <c r="G157" s="2" t="s">
        <v>709</v>
      </c>
      <c r="L157" t="s">
        <v>633</v>
      </c>
    </row>
    <row r="158" spans="2:17">
      <c r="B158" s="1">
        <v>71357337413</v>
      </c>
      <c r="C158" t="s">
        <v>634</v>
      </c>
      <c r="D158" t="s">
        <v>397</v>
      </c>
      <c r="F158" t="s">
        <v>634</v>
      </c>
      <c r="G158" s="2" t="s">
        <v>710</v>
      </c>
      <c r="L158" t="s">
        <v>637</v>
      </c>
    </row>
    <row r="159" spans="2:17">
      <c r="B159" s="1">
        <v>10021525459615</v>
      </c>
      <c r="C159" t="s">
        <v>1302</v>
      </c>
      <c r="D159" t="s">
        <v>397</v>
      </c>
      <c r="F159" t="s">
        <v>1302</v>
      </c>
      <c r="G159" s="2" t="s">
        <v>1303</v>
      </c>
      <c r="L159" t="s">
        <v>1302</v>
      </c>
    </row>
    <row r="160" spans="2:17">
      <c r="B160" s="1">
        <v>10102886877630</v>
      </c>
      <c r="C160" t="s">
        <v>636</v>
      </c>
      <c r="D160" t="s">
        <v>397</v>
      </c>
      <c r="F160" t="s">
        <v>636</v>
      </c>
      <c r="G160" s="2" t="s">
        <v>709</v>
      </c>
      <c r="L160" t="s">
        <v>636</v>
      </c>
    </row>
    <row r="162" spans="2:15">
      <c r="B162" s="1">
        <v>10021524980748</v>
      </c>
      <c r="C162" t="s">
        <v>1302</v>
      </c>
      <c r="D162" t="s">
        <v>397</v>
      </c>
      <c r="F162" t="s">
        <v>635</v>
      </c>
      <c r="G162" s="2" t="s">
        <v>1303</v>
      </c>
      <c r="L162" t="s">
        <v>1302</v>
      </c>
    </row>
    <row r="163" spans="2:15">
      <c r="B163" s="1">
        <v>10105004784687</v>
      </c>
      <c r="C163" t="s">
        <v>637</v>
      </c>
      <c r="D163" t="s">
        <v>397</v>
      </c>
      <c r="F163" t="s">
        <v>637</v>
      </c>
      <c r="G163" s="2" t="s">
        <v>712</v>
      </c>
      <c r="L163" t="s">
        <v>637</v>
      </c>
    </row>
    <row r="164" spans="2:15">
      <c r="B164" s="1">
        <v>10108527146197</v>
      </c>
      <c r="C164" t="s">
        <v>638</v>
      </c>
      <c r="D164" t="s">
        <v>397</v>
      </c>
      <c r="F164" t="s">
        <v>638</v>
      </c>
      <c r="G164" s="2" t="s">
        <v>713</v>
      </c>
      <c r="L164" t="s">
        <v>637</v>
      </c>
    </row>
    <row r="165" spans="2:15">
      <c r="B165" s="1">
        <v>10030495964728</v>
      </c>
      <c r="C165" t="s">
        <v>639</v>
      </c>
      <c r="D165" t="s">
        <v>397</v>
      </c>
      <c r="F165" t="s">
        <v>639</v>
      </c>
      <c r="G165" s="2" t="s">
        <v>920</v>
      </c>
      <c r="L165" t="s">
        <v>639</v>
      </c>
    </row>
    <row r="166" spans="2:15">
      <c r="B166" s="1">
        <v>10035626675403</v>
      </c>
      <c r="C166" t="s">
        <v>640</v>
      </c>
      <c r="D166" t="s">
        <v>397</v>
      </c>
      <c r="F166" t="s">
        <v>640</v>
      </c>
      <c r="G166" s="2" t="s">
        <v>920</v>
      </c>
      <c r="L166" t="s">
        <v>640</v>
      </c>
    </row>
    <row r="167" spans="2:15">
      <c r="B167" s="1" t="s">
        <v>868</v>
      </c>
      <c r="C167" t="s">
        <v>868</v>
      </c>
      <c r="D167" t="s">
        <v>869</v>
      </c>
      <c r="F167" t="s">
        <v>868</v>
      </c>
      <c r="G167" s="2" t="s">
        <v>903</v>
      </c>
      <c r="L167" t="s">
        <v>868</v>
      </c>
    </row>
    <row r="169" spans="2:15">
      <c r="B169" s="1">
        <v>10041911146208</v>
      </c>
      <c r="C169" t="s">
        <v>880</v>
      </c>
      <c r="D169" t="s">
        <v>397</v>
      </c>
      <c r="F169" t="s">
        <v>877</v>
      </c>
      <c r="G169" s="2" t="s">
        <v>711</v>
      </c>
      <c r="I169" t="s">
        <v>641</v>
      </c>
      <c r="L169" t="s">
        <v>641</v>
      </c>
    </row>
    <row r="172" spans="2:15">
      <c r="B172" s="1">
        <v>10052598645712</v>
      </c>
      <c r="C172" t="s">
        <v>877</v>
      </c>
      <c r="D172" t="s">
        <v>397</v>
      </c>
      <c r="F172" t="s">
        <v>877</v>
      </c>
      <c r="G172" s="2" t="s">
        <v>711</v>
      </c>
      <c r="I172" t="s">
        <v>641</v>
      </c>
      <c r="L172" t="s">
        <v>641</v>
      </c>
    </row>
    <row r="173" spans="2:15">
      <c r="B173" s="1">
        <v>10059371655300</v>
      </c>
      <c r="C173" t="s">
        <v>878</v>
      </c>
      <c r="D173" t="s">
        <v>644</v>
      </c>
      <c r="F173" t="s">
        <v>877</v>
      </c>
      <c r="G173" s="2" t="s">
        <v>711</v>
      </c>
      <c r="I173" t="s">
        <v>641</v>
      </c>
      <c r="L173" t="s">
        <v>641</v>
      </c>
      <c r="M173" t="s">
        <v>705</v>
      </c>
      <c r="O173" s="7" t="s">
        <v>677</v>
      </c>
    </row>
    <row r="174" spans="2:15">
      <c r="B174" s="1">
        <v>10059371655301</v>
      </c>
      <c r="C174" t="s">
        <v>879</v>
      </c>
      <c r="D174" t="s">
        <v>598</v>
      </c>
      <c r="F174" t="s">
        <v>877</v>
      </c>
      <c r="G174" s="2" t="s">
        <v>711</v>
      </c>
      <c r="I174" t="s">
        <v>641</v>
      </c>
      <c r="L174" t="s">
        <v>641</v>
      </c>
      <c r="M174" t="s">
        <v>707</v>
      </c>
      <c r="O174" s="7" t="s">
        <v>677</v>
      </c>
    </row>
    <row r="176" spans="2:15">
      <c r="B176" s="1">
        <v>10117965576192</v>
      </c>
      <c r="C176" t="s">
        <v>642</v>
      </c>
      <c r="F176" t="s">
        <v>642</v>
      </c>
      <c r="G176" t="s">
        <v>714</v>
      </c>
      <c r="L176" t="s">
        <v>642</v>
      </c>
    </row>
    <row r="177" spans="2:12">
      <c r="B177" s="1">
        <v>10117965576193</v>
      </c>
      <c r="C177" t="s">
        <v>643</v>
      </c>
      <c r="D177" t="s">
        <v>397</v>
      </c>
      <c r="F177" t="s">
        <v>643</v>
      </c>
      <c r="G177" t="s">
        <v>715</v>
      </c>
      <c r="L177" t="s">
        <v>643</v>
      </c>
    </row>
    <row r="179" spans="2:12">
      <c r="B179" s="1">
        <v>10121656405280</v>
      </c>
      <c r="C179" t="s">
        <v>741</v>
      </c>
      <c r="F179" t="s">
        <v>741</v>
      </c>
      <c r="G179" t="s">
        <v>743</v>
      </c>
      <c r="L179" t="s">
        <v>742</v>
      </c>
    </row>
    <row r="180" spans="2:12">
      <c r="B180" s="1">
        <v>10121656405281</v>
      </c>
      <c r="C180" t="s">
        <v>742</v>
      </c>
      <c r="F180" t="s">
        <v>742</v>
      </c>
      <c r="G180" t="s">
        <v>744</v>
      </c>
      <c r="L180" t="s">
        <v>742</v>
      </c>
    </row>
  </sheetData>
  <mergeCells count="4">
    <mergeCell ref="F7:G8"/>
    <mergeCell ref="H7:J8"/>
    <mergeCell ref="L7:N8"/>
    <mergeCell ref="O7:R8"/>
  </mergeCells>
  <phoneticPr fontId="1" type="noConversion"/>
  <conditionalFormatting sqref="B184 B11:B181 B187">
    <cfRule type="duplicateValues" dxfId="8" priority="1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7324B-46B5-4A0D-82E8-37A64B3C9D16}">
  <sheetPr codeName="Sheet9"/>
  <dimension ref="A1:R164"/>
  <sheetViews>
    <sheetView zoomScaleNormal="100" workbookViewId="0">
      <pane xSplit="1" ySplit="10" topLeftCell="B100" activePane="bottomRight" state="frozen"/>
      <selection pane="topRight" activeCell="B1" sqref="B1"/>
      <selection pane="bottomLeft" activeCell="A11" sqref="A11"/>
      <selection pane="bottomRight" activeCell="B138" sqref="B138:R138"/>
    </sheetView>
  </sheetViews>
  <sheetFormatPr defaultRowHeight="14.25" outlineLevelCol="1"/>
  <cols>
    <col min="1" max="1" width="11" bestFit="1" customWidth="1"/>
    <col min="2" max="2" width="22.5" style="1" customWidth="1"/>
    <col min="3" max="3" width="34.375" bestFit="1" customWidth="1" outlineLevel="1"/>
    <col min="4" max="4" width="26.125" customWidth="1" outlineLevel="1"/>
    <col min="5" max="5" width="11.5" customWidth="1" outlineLevel="1"/>
    <col min="6" max="7" width="22.375" bestFit="1" customWidth="1"/>
    <col min="8" max="8" width="18" customWidth="1"/>
    <col min="9" max="9" width="21.5" bestFit="1" customWidth="1"/>
    <col min="10" max="10" width="23.875" customWidth="1"/>
    <col min="11" max="12" width="22.5" customWidth="1"/>
    <col min="13" max="13" width="29.5" customWidth="1"/>
    <col min="14" max="14" width="26.25" customWidth="1"/>
    <col min="15" max="17" width="24.125" customWidth="1"/>
    <col min="18" max="18" width="20.375" bestFit="1" customWidth="1"/>
    <col min="19" max="19" width="17.375" bestFit="1" customWidth="1"/>
  </cols>
  <sheetData>
    <row r="1" spans="1:18">
      <c r="A1" t="s">
        <v>237</v>
      </c>
      <c r="B1" s="1" t="s">
        <v>528</v>
      </c>
    </row>
    <row r="2" spans="1:18">
      <c r="A2" t="s">
        <v>3</v>
      </c>
      <c r="B2" s="1" t="s">
        <v>943</v>
      </c>
    </row>
    <row r="3" spans="1:18">
      <c r="A3" t="s">
        <v>1</v>
      </c>
      <c r="B3" s="1" t="s">
        <v>942</v>
      </c>
    </row>
    <row r="4" spans="1:18">
      <c r="A4" t="s">
        <v>2</v>
      </c>
      <c r="B4" s="1" t="s">
        <v>10</v>
      </c>
    </row>
    <row r="5" spans="1:18">
      <c r="A5" t="s">
        <v>17</v>
      </c>
      <c r="B5" s="2"/>
    </row>
    <row r="6" spans="1:18" ht="15" thickBot="1"/>
    <row r="7" spans="1:18" ht="19.5" thickTop="1" thickBot="1">
      <c r="F7" s="34" t="s">
        <v>410</v>
      </c>
      <c r="G7" s="35"/>
      <c r="H7" s="36"/>
      <c r="I7" s="33" t="s">
        <v>411</v>
      </c>
      <c r="J7" s="33"/>
      <c r="K7" s="33"/>
      <c r="L7" s="10"/>
      <c r="M7" s="40" t="s">
        <v>412</v>
      </c>
      <c r="N7" s="41"/>
      <c r="O7" s="44" t="s">
        <v>415</v>
      </c>
      <c r="P7" s="45"/>
      <c r="Q7" s="45"/>
      <c r="R7" s="46"/>
    </row>
    <row r="8" spans="1:18" ht="19.5" thickTop="1" thickBot="1">
      <c r="F8" s="37"/>
      <c r="G8" s="38"/>
      <c r="H8" s="39"/>
      <c r="I8" s="33"/>
      <c r="J8" s="33"/>
      <c r="K8" s="33"/>
      <c r="L8" s="10"/>
      <c r="M8" s="42"/>
      <c r="N8" s="43"/>
      <c r="O8" s="47"/>
      <c r="P8" s="48"/>
      <c r="Q8" s="48"/>
      <c r="R8" s="49"/>
    </row>
    <row r="9" spans="1:18" ht="15.75" thickTop="1" thickBot="1"/>
    <row r="10" spans="1:18" ht="61.5" customHeight="1" thickTop="1" thickBot="1">
      <c r="B10" s="6" t="s">
        <v>0</v>
      </c>
      <c r="C10" t="s">
        <v>16</v>
      </c>
      <c r="D10" t="s">
        <v>15</v>
      </c>
      <c r="E10" t="s">
        <v>406</v>
      </c>
      <c r="F10" s="3" t="s">
        <v>944</v>
      </c>
      <c r="G10" s="3" t="s">
        <v>945</v>
      </c>
      <c r="H10" s="3" t="s">
        <v>8</v>
      </c>
      <c r="I10" s="3" t="s">
        <v>314</v>
      </c>
      <c r="J10" s="3" t="s">
        <v>315</v>
      </c>
      <c r="K10" s="3" t="s">
        <v>316</v>
      </c>
      <c r="L10" s="3" t="s">
        <v>320</v>
      </c>
      <c r="M10" s="4" t="s">
        <v>885</v>
      </c>
      <c r="N10" s="4" t="s">
        <v>881</v>
      </c>
      <c r="O10" s="4" t="s">
        <v>859</v>
      </c>
      <c r="P10" s="4" t="s">
        <v>882</v>
      </c>
      <c r="Q10" s="4" t="s">
        <v>857</v>
      </c>
      <c r="R10" s="4" t="s">
        <v>858</v>
      </c>
    </row>
    <row r="11" spans="1:18" ht="15" thickTop="1">
      <c r="B11" t="s">
        <v>948</v>
      </c>
      <c r="C11" t="str">
        <f>IF(LEN(表1_539[[#This Row],[导出文件名]])=2,LEFT(表1_539[[#This Row],[导出文件名]],1)&amp;"    "&amp;RIGHT(表1_539[[#This Row],[导出文件名]],1),表1_539[[#This Row],[导出文件名]])</f>
        <v>刘孟宗</v>
      </c>
      <c r="D11" t="s">
        <v>946</v>
      </c>
      <c r="F11" t="s">
        <v>948</v>
      </c>
      <c r="G11" t="s">
        <v>946</v>
      </c>
    </row>
    <row r="12" spans="1:18">
      <c r="B12" t="s">
        <v>949</v>
      </c>
      <c r="C12" t="str">
        <f>IF(LEN(表1_539[[#This Row],[导出文件名]])=2,LEFT(表1_539[[#This Row],[导出文件名]],1)&amp;"    "&amp;RIGHT(表1_539[[#This Row],[导出文件名]],1),表1_539[[#This Row],[导出文件名]])</f>
        <v>郑天宇</v>
      </c>
      <c r="D12" t="s">
        <v>946</v>
      </c>
      <c r="F12" t="s">
        <v>949</v>
      </c>
      <c r="G12" t="s">
        <v>946</v>
      </c>
    </row>
    <row r="13" spans="1:18">
      <c r="B13" s="1" t="s">
        <v>950</v>
      </c>
      <c r="C13" t="str">
        <f>IF(LEN(表1_539[[#This Row],[导出文件名]])=2,LEFT(表1_539[[#This Row],[导出文件名]],1)&amp;"    "&amp;RIGHT(表1_539[[#This Row],[导出文件名]],1),表1_539[[#This Row],[导出文件名]])</f>
        <v>黄小磊</v>
      </c>
      <c r="D13" t="s">
        <v>946</v>
      </c>
      <c r="F13" t="s">
        <v>950</v>
      </c>
      <c r="G13" t="s">
        <v>946</v>
      </c>
    </row>
    <row r="14" spans="1:18">
      <c r="B14" s="1" t="s">
        <v>951</v>
      </c>
      <c r="C14" t="str">
        <f>IF(LEN(表1_539[[#This Row],[导出文件名]])=2,LEFT(表1_539[[#This Row],[导出文件名]],1)&amp;"    "&amp;RIGHT(表1_539[[#This Row],[导出文件名]],1),表1_539[[#This Row],[导出文件名]])</f>
        <v>肖国平</v>
      </c>
      <c r="D14" t="s">
        <v>946</v>
      </c>
      <c r="F14" t="s">
        <v>951</v>
      </c>
      <c r="G14" t="s">
        <v>946</v>
      </c>
      <c r="N14" s="7"/>
    </row>
    <row r="15" spans="1:18">
      <c r="B15" s="1" t="s">
        <v>1048</v>
      </c>
      <c r="C15" t="str">
        <f>IF(LEN(表1_539[[#This Row],[导出文件名]])=2,LEFT(表1_539[[#This Row],[导出文件名]],1)&amp;"    "&amp;RIGHT(表1_539[[#This Row],[导出文件名]],1),表1_539[[#This Row],[导出文件名]])</f>
        <v>邓    悦</v>
      </c>
      <c r="D15" t="s">
        <v>946</v>
      </c>
      <c r="F15" t="s">
        <v>1104</v>
      </c>
      <c r="G15" t="s">
        <v>946</v>
      </c>
    </row>
    <row r="16" spans="1:18">
      <c r="B16" s="1" t="s">
        <v>952</v>
      </c>
      <c r="C16" t="str">
        <f>IF(LEN(表1_539[[#This Row],[导出文件名]])=2,LEFT(表1_539[[#This Row],[导出文件名]],1)&amp;"    "&amp;RIGHT(表1_539[[#This Row],[导出文件名]],1),表1_539[[#This Row],[导出文件名]])</f>
        <v>黄嘉博</v>
      </c>
      <c r="D16" t="s">
        <v>946</v>
      </c>
      <c r="F16" t="s">
        <v>952</v>
      </c>
      <c r="G16" t="s">
        <v>946</v>
      </c>
    </row>
    <row r="17" spans="2:17">
      <c r="B17" s="1" t="s">
        <v>953</v>
      </c>
      <c r="C17" t="str">
        <f>IF(LEN(表1_539[[#This Row],[导出文件名]])=2,LEFT(表1_539[[#This Row],[导出文件名]],1)&amp;"    "&amp;RIGHT(表1_539[[#This Row],[导出文件名]],1),表1_539[[#This Row],[导出文件名]])</f>
        <v>杨容生</v>
      </c>
      <c r="D17" t="s">
        <v>946</v>
      </c>
      <c r="F17" t="s">
        <v>953</v>
      </c>
      <c r="G17" t="s">
        <v>946</v>
      </c>
    </row>
    <row r="18" spans="2:17">
      <c r="B18" s="1" t="s">
        <v>954</v>
      </c>
      <c r="C18" t="str">
        <f>IF(LEN(表1_539[[#This Row],[导出文件名]])=2,LEFT(表1_539[[#This Row],[导出文件名]],1)&amp;"    "&amp;RIGHT(表1_539[[#This Row],[导出文件名]],1),表1_539[[#This Row],[导出文件名]])</f>
        <v>鲁昊鑫</v>
      </c>
      <c r="D18" t="s">
        <v>946</v>
      </c>
      <c r="F18" t="s">
        <v>954</v>
      </c>
      <c r="G18" t="s">
        <v>946</v>
      </c>
      <c r="N18" s="7"/>
    </row>
    <row r="19" spans="2:17">
      <c r="B19" s="1" t="s">
        <v>1049</v>
      </c>
      <c r="C19" t="str">
        <f>IF(LEN(表1_539[[#This Row],[导出文件名]])=2,LEFT(表1_539[[#This Row],[导出文件名]],1)&amp;"    "&amp;RIGHT(表1_539[[#This Row],[导出文件名]],1),表1_539[[#This Row],[导出文件名]])</f>
        <v>陈    栋</v>
      </c>
      <c r="D19" t="s">
        <v>946</v>
      </c>
      <c r="F19" t="s">
        <v>1105</v>
      </c>
      <c r="G19" t="s">
        <v>946</v>
      </c>
    </row>
    <row r="20" spans="2:17">
      <c r="B20" s="1" t="s">
        <v>955</v>
      </c>
      <c r="C20" t="str">
        <f>IF(LEN(表1_539[[#This Row],[导出文件名]])=2,LEFT(表1_539[[#This Row],[导出文件名]],1)&amp;"    "&amp;RIGHT(表1_539[[#This Row],[导出文件名]],1),表1_539[[#This Row],[导出文件名]])</f>
        <v>赖佳伟</v>
      </c>
      <c r="D20" t="s">
        <v>946</v>
      </c>
      <c r="F20" t="s">
        <v>955</v>
      </c>
      <c r="G20" t="s">
        <v>946</v>
      </c>
    </row>
    <row r="21" spans="2:17">
      <c r="B21" s="1" t="s">
        <v>1050</v>
      </c>
      <c r="C21" t="str">
        <f>IF(LEN(表1_539[[#This Row],[导出文件名]])=2,LEFT(表1_539[[#This Row],[导出文件名]],1)&amp;"    "&amp;RIGHT(表1_539[[#This Row],[导出文件名]],1),表1_539[[#This Row],[导出文件名]])</f>
        <v>姚    锐</v>
      </c>
      <c r="D21" t="s">
        <v>947</v>
      </c>
      <c r="F21" t="s">
        <v>1106</v>
      </c>
      <c r="G21" t="s">
        <v>947</v>
      </c>
      <c r="N21" s="7"/>
    </row>
    <row r="22" spans="2:17">
      <c r="B22" s="1" t="s">
        <v>956</v>
      </c>
      <c r="C22" t="str">
        <f>IF(LEN(表1_539[[#This Row],[导出文件名]])=2,LEFT(表1_539[[#This Row],[导出文件名]],1)&amp;"    "&amp;RIGHT(表1_539[[#This Row],[导出文件名]],1),表1_539[[#This Row],[导出文件名]])</f>
        <v>叶延勇</v>
      </c>
      <c r="D22" t="s">
        <v>946</v>
      </c>
      <c r="F22" t="s">
        <v>956</v>
      </c>
      <c r="G22" t="s">
        <v>946</v>
      </c>
    </row>
    <row r="23" spans="2:17">
      <c r="B23" s="1" t="s">
        <v>957</v>
      </c>
      <c r="C23" t="str">
        <f>IF(LEN(表1_539[[#This Row],[导出文件名]])=2,LEFT(表1_539[[#This Row],[导出文件名]],1)&amp;"    "&amp;RIGHT(表1_539[[#This Row],[导出文件名]],1),表1_539[[#This Row],[导出文件名]])</f>
        <v>杨清宇</v>
      </c>
      <c r="D23" t="s">
        <v>946</v>
      </c>
      <c r="F23" t="s">
        <v>957</v>
      </c>
      <c r="G23" t="s">
        <v>946</v>
      </c>
      <c r="N23" s="7"/>
    </row>
    <row r="24" spans="2:17">
      <c r="B24" s="1" t="s">
        <v>958</v>
      </c>
      <c r="C24" t="str">
        <f>IF(LEN(表1_539[[#This Row],[导出文件名]])=2,LEFT(表1_539[[#This Row],[导出文件名]],1)&amp;"    "&amp;RIGHT(表1_539[[#This Row],[导出文件名]],1),表1_539[[#This Row],[导出文件名]])</f>
        <v>莫正伟</v>
      </c>
      <c r="D24" t="s">
        <v>946</v>
      </c>
      <c r="F24" t="s">
        <v>958</v>
      </c>
      <c r="G24" t="s">
        <v>946</v>
      </c>
    </row>
    <row r="25" spans="2:17">
      <c r="B25" s="1" t="s">
        <v>1051</v>
      </c>
      <c r="C25" t="str">
        <f>IF(LEN(表1_539[[#This Row],[导出文件名]])=2,LEFT(表1_539[[#This Row],[导出文件名]],1)&amp;"    "&amp;RIGHT(表1_539[[#This Row],[导出文件名]],1),表1_539[[#This Row],[导出文件名]])</f>
        <v>周    辉</v>
      </c>
      <c r="D25" t="s">
        <v>946</v>
      </c>
      <c r="F25" t="s">
        <v>1107</v>
      </c>
      <c r="G25" t="s">
        <v>946</v>
      </c>
      <c r="N25" s="7"/>
    </row>
    <row r="26" spans="2:17">
      <c r="B26" s="1" t="s">
        <v>1052</v>
      </c>
      <c r="C26" t="str">
        <f>IF(LEN(表1_539[[#This Row],[导出文件名]])=2,LEFT(表1_539[[#This Row],[导出文件名]],1)&amp;"    "&amp;RIGHT(表1_539[[#This Row],[导出文件名]],1),表1_539[[#This Row],[导出文件名]])</f>
        <v>罗    平</v>
      </c>
      <c r="D26" t="s">
        <v>947</v>
      </c>
      <c r="F26" t="s">
        <v>1108</v>
      </c>
      <c r="G26" t="s">
        <v>947</v>
      </c>
    </row>
    <row r="27" spans="2:17">
      <c r="B27" s="7" t="s">
        <v>959</v>
      </c>
      <c r="C27" t="str">
        <f>IF(LEN(表1_539[[#This Row],[导出文件名]])=2,LEFT(表1_539[[#This Row],[导出文件名]],1)&amp;"    "&amp;RIGHT(表1_539[[#This Row],[导出文件名]],1),表1_539[[#This Row],[导出文件名]])</f>
        <v>陈秋峰</v>
      </c>
      <c r="D27" t="s">
        <v>946</v>
      </c>
      <c r="F27" s="5" t="s">
        <v>959</v>
      </c>
      <c r="G27" t="s">
        <v>946</v>
      </c>
      <c r="H27" s="5"/>
      <c r="M27" s="7"/>
      <c r="N27" s="7"/>
      <c r="O27" s="7"/>
      <c r="P27" s="7"/>
      <c r="Q27" s="7"/>
    </row>
    <row r="28" spans="2:17">
      <c r="B28" s="7" t="s">
        <v>960</v>
      </c>
      <c r="C28" t="str">
        <f>IF(LEN(表1_539[[#This Row],[导出文件名]])=2,LEFT(表1_539[[#This Row],[导出文件名]],1)&amp;"    "&amp;RIGHT(表1_539[[#This Row],[导出文件名]],1),表1_539[[#This Row],[导出文件名]])</f>
        <v>汤先羽</v>
      </c>
      <c r="D28" t="s">
        <v>946</v>
      </c>
      <c r="F28" s="5" t="s">
        <v>960</v>
      </c>
      <c r="G28" t="s">
        <v>946</v>
      </c>
      <c r="H28" s="5"/>
      <c r="M28" s="7"/>
      <c r="N28" s="7"/>
      <c r="O28" s="7"/>
      <c r="P28" s="7"/>
      <c r="Q28" s="7"/>
    </row>
    <row r="29" spans="2:17">
      <c r="B29" s="7" t="s">
        <v>1053</v>
      </c>
      <c r="C29" t="str">
        <f>IF(LEN(表1_539[[#This Row],[导出文件名]])=2,LEFT(表1_539[[#This Row],[导出文件名]],1)&amp;"    "&amp;RIGHT(表1_539[[#This Row],[导出文件名]],1),表1_539[[#This Row],[导出文件名]])</f>
        <v>张    伟</v>
      </c>
      <c r="D29" t="s">
        <v>946</v>
      </c>
      <c r="F29" s="5" t="s">
        <v>1109</v>
      </c>
      <c r="G29" t="s">
        <v>946</v>
      </c>
      <c r="H29" s="5"/>
      <c r="M29" s="7"/>
      <c r="N29" s="7"/>
      <c r="O29" s="7"/>
      <c r="P29" s="7"/>
      <c r="Q29" s="7"/>
    </row>
    <row r="30" spans="2:17">
      <c r="B30" s="7" t="s">
        <v>961</v>
      </c>
      <c r="C30" t="str">
        <f>IF(LEN(表1_539[[#This Row],[导出文件名]])=2,LEFT(表1_539[[#This Row],[导出文件名]],1)&amp;"    "&amp;RIGHT(表1_539[[#This Row],[导出文件名]],1),表1_539[[#This Row],[导出文件名]])</f>
        <v>Carl Yang</v>
      </c>
      <c r="D30" t="s">
        <v>946</v>
      </c>
      <c r="F30" s="5" t="s">
        <v>1161</v>
      </c>
      <c r="G30" t="s">
        <v>946</v>
      </c>
      <c r="H30" s="5"/>
      <c r="M30" s="7"/>
      <c r="N30" s="7"/>
      <c r="O30" s="7"/>
      <c r="P30" s="7"/>
      <c r="Q30" s="7"/>
    </row>
    <row r="31" spans="2:17">
      <c r="B31" s="7" t="s">
        <v>962</v>
      </c>
      <c r="C31" t="str">
        <f>IF(LEN(表1_539[[#This Row],[导出文件名]])=2,LEFT(表1_539[[#This Row],[导出文件名]],1)&amp;"    "&amp;RIGHT(表1_539[[#This Row],[导出文件名]],1),表1_539[[#This Row],[导出文件名]])</f>
        <v>Eva Li</v>
      </c>
      <c r="D31" t="s">
        <v>947</v>
      </c>
      <c r="F31" s="5" t="s">
        <v>962</v>
      </c>
      <c r="G31" t="s">
        <v>947</v>
      </c>
      <c r="H31" s="5"/>
      <c r="M31" s="7"/>
      <c r="N31" s="7"/>
      <c r="O31" s="7"/>
      <c r="P31" s="7"/>
      <c r="Q31" s="7"/>
    </row>
    <row r="32" spans="2:17">
      <c r="B32" s="1" t="s">
        <v>963</v>
      </c>
      <c r="C32" t="str">
        <f>IF(LEN(表1_539[[#This Row],[导出文件名]])=2,LEFT(表1_539[[#This Row],[导出文件名]],1)&amp;"    "&amp;RIGHT(表1_539[[#This Row],[导出文件名]],1),表1_539[[#This Row],[导出文件名]])</f>
        <v>Peter Yu</v>
      </c>
      <c r="D32" t="s">
        <v>946</v>
      </c>
      <c r="F32" t="s">
        <v>1160</v>
      </c>
      <c r="G32" t="s">
        <v>946</v>
      </c>
      <c r="O32" s="7"/>
      <c r="P32" s="7"/>
      <c r="Q32" s="7"/>
    </row>
    <row r="33" spans="2:17">
      <c r="B33" s="1" t="s">
        <v>1054</v>
      </c>
      <c r="C33" t="str">
        <f>IF(LEN(表1_539[[#This Row],[导出文件名]])=2,LEFT(表1_539[[#This Row],[导出文件名]],1)&amp;"    "&amp;RIGHT(表1_539[[#This Row],[导出文件名]],1),表1_539[[#This Row],[导出文件名]])</f>
        <v>张    浩</v>
      </c>
      <c r="D33" t="s">
        <v>946</v>
      </c>
      <c r="F33" t="s">
        <v>1110</v>
      </c>
      <c r="G33" t="s">
        <v>946</v>
      </c>
      <c r="O33" s="7"/>
      <c r="P33" s="7"/>
      <c r="Q33" s="7"/>
    </row>
    <row r="34" spans="2:17">
      <c r="B34" s="1" t="s">
        <v>1055</v>
      </c>
      <c r="C34" t="str">
        <f>IF(LEN(表1_539[[#This Row],[导出文件名]])=2,LEFT(表1_539[[#This Row],[导出文件名]],1)&amp;"    "&amp;RIGHT(表1_539[[#This Row],[导出文件名]],1),表1_539[[#This Row],[导出文件名]])</f>
        <v>董    韬</v>
      </c>
      <c r="D34" t="s">
        <v>946</v>
      </c>
      <c r="F34" t="s">
        <v>1111</v>
      </c>
      <c r="G34" t="s">
        <v>946</v>
      </c>
      <c r="O34" s="7"/>
      <c r="P34" s="7"/>
      <c r="Q34" s="7"/>
    </row>
    <row r="35" spans="2:17">
      <c r="B35" s="1" t="s">
        <v>964</v>
      </c>
      <c r="C35" t="str">
        <f>IF(LEN(表1_539[[#This Row],[导出文件名]])=2,LEFT(表1_539[[#This Row],[导出文件名]],1)&amp;"    "&amp;RIGHT(表1_539[[#This Row],[导出文件名]],1),表1_539[[#This Row],[导出文件名]])</f>
        <v>曹雅婷</v>
      </c>
      <c r="D35" t="s">
        <v>947</v>
      </c>
      <c r="F35" t="s">
        <v>964</v>
      </c>
      <c r="G35" t="s">
        <v>947</v>
      </c>
      <c r="N35" s="7"/>
      <c r="O35" s="7"/>
      <c r="P35" s="7"/>
      <c r="Q35" s="7"/>
    </row>
    <row r="36" spans="2:17">
      <c r="B36" s="1" t="s">
        <v>965</v>
      </c>
      <c r="C36" t="str">
        <f>IF(LEN(表1_539[[#This Row],[导出文件名]])=2,LEFT(表1_539[[#This Row],[导出文件名]],1)&amp;"    "&amp;RIGHT(表1_539[[#This Row],[导出文件名]],1),表1_539[[#This Row],[导出文件名]])</f>
        <v>宋文凯</v>
      </c>
      <c r="D36" t="s">
        <v>946</v>
      </c>
      <c r="F36" t="s">
        <v>965</v>
      </c>
      <c r="G36" t="s">
        <v>946</v>
      </c>
      <c r="N36" s="7"/>
      <c r="O36" s="7"/>
      <c r="P36" s="7"/>
      <c r="Q36" s="7"/>
    </row>
    <row r="37" spans="2:17">
      <c r="B37" s="1" t="s">
        <v>966</v>
      </c>
      <c r="C37" t="str">
        <f>IF(LEN(表1_539[[#This Row],[导出文件名]])=2,LEFT(表1_539[[#This Row],[导出文件名]],1)&amp;"    "&amp;RIGHT(表1_539[[#This Row],[导出文件名]],1),表1_539[[#This Row],[导出文件名]])</f>
        <v>李方园</v>
      </c>
      <c r="D37" t="s">
        <v>946</v>
      </c>
      <c r="F37" t="s">
        <v>966</v>
      </c>
      <c r="G37" t="s">
        <v>946</v>
      </c>
      <c r="N37" s="7"/>
      <c r="O37" s="7"/>
      <c r="P37" s="7"/>
      <c r="Q37" s="7"/>
    </row>
    <row r="38" spans="2:17">
      <c r="B38" s="1" t="s">
        <v>967</v>
      </c>
      <c r="C38" t="str">
        <f>IF(LEN(表1_539[[#This Row],[导出文件名]])=2,LEFT(表1_539[[#This Row],[导出文件名]],1)&amp;"    "&amp;RIGHT(表1_539[[#This Row],[导出文件名]],1),表1_539[[#This Row],[导出文件名]])</f>
        <v>赖华亮</v>
      </c>
      <c r="D38" t="s">
        <v>946</v>
      </c>
      <c r="F38" t="s">
        <v>967</v>
      </c>
      <c r="G38" t="s">
        <v>946</v>
      </c>
      <c r="O38" s="7"/>
      <c r="P38" s="7"/>
      <c r="Q38" s="7"/>
    </row>
    <row r="39" spans="2:17">
      <c r="B39" s="1" t="s">
        <v>1056</v>
      </c>
      <c r="C39" t="str">
        <f>IF(LEN(表1_539[[#This Row],[导出文件名]])=2,LEFT(表1_539[[#This Row],[导出文件名]],1)&amp;"    "&amp;RIGHT(表1_539[[#This Row],[导出文件名]],1),表1_539[[#This Row],[导出文件名]])</f>
        <v>王    磊</v>
      </c>
      <c r="D39" t="s">
        <v>946</v>
      </c>
      <c r="F39" t="s">
        <v>1112</v>
      </c>
      <c r="G39" t="s">
        <v>946</v>
      </c>
      <c r="O39" s="7"/>
      <c r="P39" s="7"/>
      <c r="Q39" s="7"/>
    </row>
    <row r="40" spans="2:17">
      <c r="B40" s="1" t="s">
        <v>968</v>
      </c>
      <c r="C40" t="str">
        <f>IF(LEN(表1_539[[#This Row],[导出文件名]])=2,LEFT(表1_539[[#This Row],[导出文件名]],1)&amp;"    "&amp;RIGHT(表1_539[[#This Row],[导出文件名]],1),表1_539[[#This Row],[导出文件名]])</f>
        <v>韩红军</v>
      </c>
      <c r="D40" t="s">
        <v>946</v>
      </c>
      <c r="F40" t="s">
        <v>968</v>
      </c>
      <c r="G40" t="s">
        <v>946</v>
      </c>
      <c r="O40" s="7"/>
      <c r="P40" s="7"/>
      <c r="Q40" s="7"/>
    </row>
    <row r="41" spans="2:17">
      <c r="B41" s="1" t="s">
        <v>1057</v>
      </c>
      <c r="C41" t="str">
        <f>IF(LEN(表1_539[[#This Row],[导出文件名]])=2,LEFT(表1_539[[#This Row],[导出文件名]],1)&amp;"    "&amp;RIGHT(表1_539[[#This Row],[导出文件名]],1),表1_539[[#This Row],[导出文件名]])</f>
        <v>徐    平</v>
      </c>
      <c r="D41" t="s">
        <v>946</v>
      </c>
      <c r="F41" t="s">
        <v>1113</v>
      </c>
      <c r="G41" t="s">
        <v>946</v>
      </c>
      <c r="O41" s="7"/>
      <c r="P41" s="7"/>
      <c r="Q41" s="7"/>
    </row>
    <row r="42" spans="2:17">
      <c r="B42" s="1" t="s">
        <v>969</v>
      </c>
      <c r="C42" t="str">
        <f>IF(LEN(表1_539[[#This Row],[导出文件名]])=2,LEFT(表1_539[[#This Row],[导出文件名]],1)&amp;"    "&amp;RIGHT(表1_539[[#This Row],[导出文件名]],1),表1_539[[#This Row],[导出文件名]])</f>
        <v>庄老板</v>
      </c>
      <c r="D42" t="s">
        <v>946</v>
      </c>
      <c r="F42" t="s">
        <v>969</v>
      </c>
      <c r="G42" t="s">
        <v>946</v>
      </c>
      <c r="O42" s="7"/>
      <c r="P42" s="7"/>
      <c r="Q42" s="7"/>
    </row>
    <row r="43" spans="2:17">
      <c r="B43" s="1" t="s">
        <v>970</v>
      </c>
      <c r="C43" t="str">
        <f>IF(LEN(表1_539[[#This Row],[导出文件名]])=2,LEFT(表1_539[[#This Row],[导出文件名]],1)&amp;"    "&amp;RIGHT(表1_539[[#This Row],[导出文件名]],1),表1_539[[#This Row],[导出文件名]])</f>
        <v>贾红柱</v>
      </c>
      <c r="D43" t="s">
        <v>946</v>
      </c>
      <c r="F43" t="s">
        <v>970</v>
      </c>
      <c r="G43" t="s">
        <v>946</v>
      </c>
      <c r="O43" s="7"/>
      <c r="P43" s="7"/>
      <c r="Q43" s="7"/>
    </row>
    <row r="44" spans="2:17">
      <c r="B44" s="1" t="s">
        <v>1058</v>
      </c>
      <c r="C44" t="str">
        <f>IF(LEN(表1_539[[#This Row],[导出文件名]])=2,LEFT(表1_539[[#This Row],[导出文件名]],1)&amp;"    "&amp;RIGHT(表1_539[[#This Row],[导出文件名]],1),表1_539[[#This Row],[导出文件名]])</f>
        <v>钱    巍</v>
      </c>
      <c r="D44" t="s">
        <v>946</v>
      </c>
      <c r="F44" t="s">
        <v>1114</v>
      </c>
      <c r="G44" t="s">
        <v>946</v>
      </c>
      <c r="O44" s="7"/>
      <c r="P44" s="7"/>
      <c r="Q44" s="7"/>
    </row>
    <row r="45" spans="2:17">
      <c r="B45" s="1" t="s">
        <v>1059</v>
      </c>
      <c r="C45" t="str">
        <f>IF(LEN(表1_539[[#This Row],[导出文件名]])=2,LEFT(表1_539[[#This Row],[导出文件名]],1)&amp;"    "&amp;RIGHT(表1_539[[#This Row],[导出文件名]],1),表1_539[[#This Row],[导出文件名]])</f>
        <v>唐    勇</v>
      </c>
      <c r="D45" t="s">
        <v>946</v>
      </c>
      <c r="F45" t="s">
        <v>1115</v>
      </c>
      <c r="G45" t="s">
        <v>946</v>
      </c>
      <c r="O45" s="7"/>
      <c r="P45" s="7"/>
      <c r="Q45" s="7"/>
    </row>
    <row r="46" spans="2:17">
      <c r="B46" s="1" t="s">
        <v>1060</v>
      </c>
      <c r="C46" t="str">
        <f>IF(LEN(表1_539[[#This Row],[导出文件名]])=2,LEFT(表1_539[[#This Row],[导出文件名]],1)&amp;"    "&amp;RIGHT(表1_539[[#This Row],[导出文件名]],1),表1_539[[#This Row],[导出文件名]])</f>
        <v>钟    山</v>
      </c>
      <c r="D46" t="s">
        <v>946</v>
      </c>
      <c r="F46" t="s">
        <v>1116</v>
      </c>
      <c r="G46" t="s">
        <v>946</v>
      </c>
      <c r="O46" s="7"/>
      <c r="P46" s="7"/>
      <c r="Q46" s="7"/>
    </row>
    <row r="47" spans="2:17">
      <c r="B47" s="1" t="s">
        <v>1061</v>
      </c>
      <c r="C47" t="str">
        <f>IF(LEN(表1_539[[#This Row],[导出文件名]])=2,LEFT(表1_539[[#This Row],[导出文件名]],1)&amp;"    "&amp;RIGHT(表1_539[[#This Row],[导出文件名]],1),表1_539[[#This Row],[导出文件名]])</f>
        <v>张    林</v>
      </c>
      <c r="D47" t="s">
        <v>946</v>
      </c>
      <c r="F47" t="s">
        <v>1117</v>
      </c>
      <c r="G47" t="s">
        <v>946</v>
      </c>
      <c r="O47" s="7"/>
      <c r="P47" s="7"/>
      <c r="Q47" s="7"/>
    </row>
    <row r="48" spans="2:17">
      <c r="B48" s="1" t="s">
        <v>971</v>
      </c>
      <c r="C48" t="str">
        <f>IF(LEN(表1_539[[#This Row],[导出文件名]])=2,LEFT(表1_539[[#This Row],[导出文件名]],1)&amp;"    "&amp;RIGHT(表1_539[[#This Row],[导出文件名]],1),表1_539[[#This Row],[导出文件名]])</f>
        <v>周天林</v>
      </c>
      <c r="D48" t="s">
        <v>946</v>
      </c>
      <c r="F48" t="s">
        <v>971</v>
      </c>
      <c r="G48" t="s">
        <v>946</v>
      </c>
      <c r="O48" s="7"/>
      <c r="P48" s="7"/>
      <c r="Q48" s="7"/>
    </row>
    <row r="49" spans="2:17">
      <c r="B49" s="1" t="s">
        <v>972</v>
      </c>
      <c r="C49" t="str">
        <f>IF(LEN(表1_539[[#This Row],[导出文件名]])=2,LEFT(表1_539[[#This Row],[导出文件名]],1)&amp;"    "&amp;RIGHT(表1_539[[#This Row],[导出文件名]],1),表1_539[[#This Row],[导出文件名]])</f>
        <v>陈国保</v>
      </c>
      <c r="D49" t="s">
        <v>946</v>
      </c>
      <c r="F49" t="s">
        <v>972</v>
      </c>
      <c r="G49" t="s">
        <v>946</v>
      </c>
      <c r="O49" s="7"/>
      <c r="P49" s="7"/>
      <c r="Q49" s="7"/>
    </row>
    <row r="50" spans="2:17">
      <c r="B50" s="1" t="s">
        <v>973</v>
      </c>
      <c r="C50" t="str">
        <f>IF(LEN(表1_539[[#This Row],[导出文件名]])=2,LEFT(表1_539[[#This Row],[导出文件名]],1)&amp;"    "&amp;RIGHT(表1_539[[#This Row],[导出文件名]],1),表1_539[[#This Row],[导出文件名]])</f>
        <v>江飞航</v>
      </c>
      <c r="D50" t="s">
        <v>946</v>
      </c>
      <c r="F50" t="s">
        <v>973</v>
      </c>
      <c r="G50" t="s">
        <v>946</v>
      </c>
      <c r="O50" s="7"/>
      <c r="P50" s="7"/>
      <c r="Q50" s="7"/>
    </row>
    <row r="51" spans="2:17">
      <c r="B51" s="1" t="s">
        <v>1062</v>
      </c>
      <c r="C51" t="str">
        <f>IF(LEN(表1_539[[#This Row],[导出文件名]])=2,LEFT(表1_539[[#This Row],[导出文件名]],1)&amp;"    "&amp;RIGHT(表1_539[[#This Row],[导出文件名]],1),表1_539[[#This Row],[导出文件名]])</f>
        <v>朱    晶</v>
      </c>
      <c r="D51" t="s">
        <v>946</v>
      </c>
      <c r="F51" t="s">
        <v>1118</v>
      </c>
      <c r="G51" t="s">
        <v>946</v>
      </c>
      <c r="O51" s="7"/>
      <c r="P51" s="7"/>
      <c r="Q51" s="7"/>
    </row>
    <row r="52" spans="2:17">
      <c r="B52" s="1" t="s">
        <v>974</v>
      </c>
      <c r="C52" t="str">
        <f>IF(LEN(表1_539[[#This Row],[导出文件名]])=2,LEFT(表1_539[[#This Row],[导出文件名]],1)&amp;"    "&amp;RIGHT(表1_539[[#This Row],[导出文件名]],1),表1_539[[#This Row],[导出文件名]])</f>
        <v>刘元中</v>
      </c>
      <c r="D52" t="s">
        <v>946</v>
      </c>
      <c r="F52" t="s">
        <v>974</v>
      </c>
      <c r="G52" t="s">
        <v>946</v>
      </c>
      <c r="O52" s="7"/>
      <c r="P52" s="7"/>
      <c r="Q52" s="7"/>
    </row>
    <row r="53" spans="2:17">
      <c r="B53" s="1" t="s">
        <v>975</v>
      </c>
      <c r="C53" t="str">
        <f>IF(LEN(表1_539[[#This Row],[导出文件名]])=2,LEFT(表1_539[[#This Row],[导出文件名]],1)&amp;"    "&amp;RIGHT(表1_539[[#This Row],[导出文件名]],1),表1_539[[#This Row],[导出文件名]])</f>
        <v>刘建新</v>
      </c>
      <c r="D53" t="s">
        <v>946</v>
      </c>
      <c r="F53" t="s">
        <v>975</v>
      </c>
      <c r="G53" t="s">
        <v>946</v>
      </c>
      <c r="O53" s="7"/>
      <c r="P53" s="7"/>
      <c r="Q53" s="7"/>
    </row>
    <row r="54" spans="2:17">
      <c r="B54" s="1" t="s">
        <v>976</v>
      </c>
      <c r="C54" t="str">
        <f>IF(LEN(表1_539[[#This Row],[导出文件名]])=2,LEFT(表1_539[[#This Row],[导出文件名]],1)&amp;"    "&amp;RIGHT(表1_539[[#This Row],[导出文件名]],1),表1_539[[#This Row],[导出文件名]])</f>
        <v>吴晓航</v>
      </c>
      <c r="D54" t="s">
        <v>946</v>
      </c>
      <c r="F54" t="s">
        <v>976</v>
      </c>
      <c r="G54" t="s">
        <v>946</v>
      </c>
      <c r="O54" s="7"/>
      <c r="P54" s="7"/>
    </row>
    <row r="55" spans="2:17">
      <c r="B55" s="1" t="s">
        <v>977</v>
      </c>
      <c r="C55" t="str">
        <f>IF(LEN(表1_539[[#This Row],[导出文件名]])=2,LEFT(表1_539[[#This Row],[导出文件名]],1)&amp;"    "&amp;RIGHT(表1_539[[#This Row],[导出文件名]],1),表1_539[[#This Row],[导出文件名]])</f>
        <v>陈冬瑜</v>
      </c>
      <c r="D55" t="s">
        <v>946</v>
      </c>
      <c r="F55" t="s">
        <v>977</v>
      </c>
      <c r="G55" t="s">
        <v>946</v>
      </c>
      <c r="O55" s="7"/>
      <c r="P55" s="7"/>
      <c r="Q55" s="7"/>
    </row>
    <row r="56" spans="2:17">
      <c r="B56" s="1" t="s">
        <v>978</v>
      </c>
      <c r="C56" t="str">
        <f>IF(LEN(表1_539[[#This Row],[导出文件名]])=2,LEFT(表1_539[[#This Row],[导出文件名]],1)&amp;"    "&amp;RIGHT(表1_539[[#This Row],[导出文件名]],1),表1_539[[#This Row],[导出文件名]])</f>
        <v>MICHAEL</v>
      </c>
      <c r="D56" t="s">
        <v>946</v>
      </c>
      <c r="F56" t="s">
        <v>1045</v>
      </c>
      <c r="G56" t="s">
        <v>946</v>
      </c>
      <c r="O56" s="7"/>
      <c r="P56" s="7"/>
      <c r="Q56" s="7"/>
    </row>
    <row r="57" spans="2:17">
      <c r="B57" s="1" t="s">
        <v>1063</v>
      </c>
      <c r="C57" t="str">
        <f>IF(LEN(表1_539[[#This Row],[导出文件名]])=2,LEFT(表1_539[[#This Row],[导出文件名]],1)&amp;"    "&amp;RIGHT(表1_539[[#This Row],[导出文件名]],1),表1_539[[#This Row],[导出文件名]])</f>
        <v>锻    炼</v>
      </c>
      <c r="D57" t="s">
        <v>946</v>
      </c>
      <c r="F57" t="s">
        <v>1119</v>
      </c>
      <c r="G57" t="s">
        <v>946</v>
      </c>
      <c r="O57" s="7"/>
      <c r="P57" s="7"/>
      <c r="Q57" s="7"/>
    </row>
    <row r="58" spans="2:17">
      <c r="B58" s="1" t="s">
        <v>979</v>
      </c>
      <c r="C58" t="str">
        <f>IF(LEN(表1_539[[#This Row],[导出文件名]])=2,LEFT(表1_539[[#This Row],[导出文件名]],1)&amp;"    "&amp;RIGHT(表1_539[[#This Row],[导出文件名]],1),表1_539[[#This Row],[导出文件名]])</f>
        <v>刘婷婷</v>
      </c>
      <c r="D58" t="s">
        <v>947</v>
      </c>
      <c r="F58" t="s">
        <v>979</v>
      </c>
      <c r="G58" t="s">
        <v>947</v>
      </c>
      <c r="O58" s="7"/>
      <c r="P58" s="7"/>
      <c r="Q58" s="7"/>
    </row>
    <row r="59" spans="2:17">
      <c r="B59" s="1" t="s">
        <v>980</v>
      </c>
      <c r="C59" t="str">
        <f>IF(LEN(表1_539[[#This Row],[导出文件名]])=2,LEFT(表1_539[[#This Row],[导出文件名]],1)&amp;"    "&amp;RIGHT(表1_539[[#This Row],[导出文件名]],1),表1_539[[#This Row],[导出文件名]])</f>
        <v>陈治中</v>
      </c>
      <c r="D59" t="s">
        <v>946</v>
      </c>
      <c r="F59" t="s">
        <v>980</v>
      </c>
      <c r="G59" t="s">
        <v>946</v>
      </c>
      <c r="O59" s="7"/>
      <c r="P59" s="7"/>
      <c r="Q59" s="7"/>
    </row>
    <row r="60" spans="2:17">
      <c r="B60" s="1" t="s">
        <v>1064</v>
      </c>
      <c r="C60" t="str">
        <f>IF(LEN(表1_539[[#This Row],[导出文件名]])=2,LEFT(表1_539[[#This Row],[导出文件名]],1)&amp;"    "&amp;RIGHT(表1_539[[#This Row],[导出文件名]],1),表1_539[[#This Row],[导出文件名]])</f>
        <v>熊    鹿</v>
      </c>
      <c r="D60" t="s">
        <v>946</v>
      </c>
      <c r="F60" t="s">
        <v>1120</v>
      </c>
      <c r="G60" t="s">
        <v>946</v>
      </c>
      <c r="O60" s="7"/>
      <c r="P60" s="7"/>
      <c r="Q60" s="7"/>
    </row>
    <row r="61" spans="2:17">
      <c r="B61" s="1" t="s">
        <v>981</v>
      </c>
      <c r="C61" t="str">
        <f>IF(LEN(表1_539[[#This Row],[导出文件名]])=2,LEFT(表1_539[[#This Row],[导出文件名]],1)&amp;"    "&amp;RIGHT(表1_539[[#This Row],[导出文件名]],1),表1_539[[#This Row],[导出文件名]])</f>
        <v>马志凯</v>
      </c>
      <c r="D61" t="s">
        <v>946</v>
      </c>
      <c r="F61" t="s">
        <v>981</v>
      </c>
      <c r="G61" t="s">
        <v>946</v>
      </c>
      <c r="O61" s="7"/>
      <c r="P61" s="7"/>
      <c r="Q61" s="7"/>
    </row>
    <row r="62" spans="2:17">
      <c r="B62" s="1" t="s">
        <v>982</v>
      </c>
      <c r="C62" t="str">
        <f>IF(LEN(表1_539[[#This Row],[导出文件名]])=2,LEFT(表1_539[[#This Row],[导出文件名]],1)&amp;"    "&amp;RIGHT(表1_539[[#This Row],[导出文件名]],1),表1_539[[#This Row],[导出文件名]])</f>
        <v>张涛涛</v>
      </c>
      <c r="D62" t="s">
        <v>946</v>
      </c>
      <c r="F62" t="s">
        <v>982</v>
      </c>
      <c r="G62" t="s">
        <v>946</v>
      </c>
      <c r="O62" s="7"/>
      <c r="P62" s="7"/>
      <c r="Q62" s="7"/>
    </row>
    <row r="63" spans="2:17">
      <c r="B63" s="1" t="s">
        <v>1065</v>
      </c>
      <c r="C63" t="str">
        <f>IF(LEN(表1_539[[#This Row],[导出文件名]])=2,LEFT(表1_539[[#This Row],[导出文件名]],1)&amp;"    "&amp;RIGHT(表1_539[[#This Row],[导出文件名]],1),表1_539[[#This Row],[导出文件名]])</f>
        <v>谢    龙</v>
      </c>
      <c r="D63" t="s">
        <v>946</v>
      </c>
      <c r="F63" t="s">
        <v>1121</v>
      </c>
      <c r="G63" t="s">
        <v>946</v>
      </c>
      <c r="O63" s="7"/>
      <c r="P63" s="7"/>
      <c r="Q63" s="7"/>
    </row>
    <row r="64" spans="2:17">
      <c r="B64" s="1" t="s">
        <v>1066</v>
      </c>
      <c r="C64" t="str">
        <f>IF(LEN(表1_539[[#This Row],[导出文件名]])=2,LEFT(表1_539[[#This Row],[导出文件名]],1)&amp;"    "&amp;RIGHT(表1_539[[#This Row],[导出文件名]],1),表1_539[[#This Row],[导出文件名]])</f>
        <v>徐    青</v>
      </c>
      <c r="D64" t="s">
        <v>946</v>
      </c>
      <c r="F64" t="s">
        <v>1122</v>
      </c>
      <c r="G64" t="s">
        <v>946</v>
      </c>
      <c r="O64" s="7"/>
      <c r="P64" s="7"/>
      <c r="Q64" s="7"/>
    </row>
    <row r="65" spans="2:17">
      <c r="B65" s="1" t="s">
        <v>983</v>
      </c>
      <c r="C65" t="str">
        <f>IF(LEN(表1_539[[#This Row],[导出文件名]])=2,LEFT(表1_539[[#This Row],[导出文件名]],1)&amp;"    "&amp;RIGHT(表1_539[[#This Row],[导出文件名]],1),表1_539[[#This Row],[导出文件名]])</f>
        <v>李卫英</v>
      </c>
      <c r="D65" t="s">
        <v>946</v>
      </c>
      <c r="F65" t="s">
        <v>983</v>
      </c>
      <c r="G65" t="s">
        <v>946</v>
      </c>
      <c r="O65" s="7"/>
      <c r="P65" s="7"/>
      <c r="Q65" s="7"/>
    </row>
    <row r="66" spans="2:17">
      <c r="B66" s="1" t="s">
        <v>984</v>
      </c>
      <c r="C66" t="str">
        <f>IF(LEN(表1_539[[#This Row],[导出文件名]])=2,LEFT(表1_539[[#This Row],[导出文件名]],1)&amp;"    "&amp;RIGHT(表1_539[[#This Row],[导出文件名]],1),表1_539[[#This Row],[导出文件名]])</f>
        <v>赵怡璇</v>
      </c>
      <c r="D66" t="s">
        <v>947</v>
      </c>
      <c r="F66" t="s">
        <v>984</v>
      </c>
      <c r="G66" t="s">
        <v>947</v>
      </c>
      <c r="O66" s="7"/>
      <c r="P66" s="7"/>
      <c r="Q66" s="7"/>
    </row>
    <row r="67" spans="2:17">
      <c r="B67" s="1" t="s">
        <v>1067</v>
      </c>
      <c r="C67" t="str">
        <f>IF(LEN(表1_539[[#This Row],[导出文件名]])=2,LEFT(表1_539[[#This Row],[导出文件名]],1)&amp;"    "&amp;RIGHT(表1_539[[#This Row],[导出文件名]],1),表1_539[[#This Row],[导出文件名]])</f>
        <v>王    雁</v>
      </c>
      <c r="D67" t="s">
        <v>947</v>
      </c>
      <c r="F67" t="s">
        <v>1123</v>
      </c>
      <c r="G67" t="s">
        <v>947</v>
      </c>
      <c r="O67" s="7"/>
      <c r="P67" s="7"/>
      <c r="Q67" s="7"/>
    </row>
    <row r="68" spans="2:17">
      <c r="B68" s="1" t="s">
        <v>1068</v>
      </c>
      <c r="C68" t="str">
        <f>IF(LEN(表1_539[[#This Row],[导出文件名]])=2,LEFT(表1_539[[#This Row],[导出文件名]],1)&amp;"    "&amp;RIGHT(表1_539[[#This Row],[导出文件名]],1),表1_539[[#This Row],[导出文件名]])</f>
        <v>李    娟</v>
      </c>
      <c r="D68" t="s">
        <v>947</v>
      </c>
      <c r="F68" t="s">
        <v>1124</v>
      </c>
      <c r="G68" t="s">
        <v>947</v>
      </c>
      <c r="O68" s="7"/>
      <c r="P68" s="7"/>
      <c r="Q68" s="7"/>
    </row>
    <row r="69" spans="2:17">
      <c r="B69" s="1" t="s">
        <v>985</v>
      </c>
      <c r="C69" t="str">
        <f>IF(LEN(表1_539[[#This Row],[导出文件名]])=2,LEFT(表1_539[[#This Row],[导出文件名]],1)&amp;"    "&amp;RIGHT(表1_539[[#This Row],[导出文件名]],1),表1_539[[#This Row],[导出文件名]])</f>
        <v>刘诗媛</v>
      </c>
      <c r="D69" t="s">
        <v>947</v>
      </c>
      <c r="F69" t="s">
        <v>985</v>
      </c>
      <c r="G69" t="s">
        <v>947</v>
      </c>
      <c r="O69" s="7"/>
      <c r="P69" s="7"/>
      <c r="Q69" s="7"/>
    </row>
    <row r="70" spans="2:17">
      <c r="B70" s="1" t="s">
        <v>986</v>
      </c>
      <c r="C70" t="str">
        <f>IF(LEN(表1_539[[#This Row],[导出文件名]])=2,LEFT(表1_539[[#This Row],[导出文件名]],1)&amp;"    "&amp;RIGHT(表1_539[[#This Row],[导出文件名]],1),表1_539[[#This Row],[导出文件名]])</f>
        <v>王伶俐</v>
      </c>
      <c r="D70" t="s">
        <v>947</v>
      </c>
      <c r="F70" t="s">
        <v>986</v>
      </c>
      <c r="G70" t="s">
        <v>947</v>
      </c>
      <c r="O70" s="7"/>
      <c r="P70" s="7"/>
      <c r="Q70" s="7"/>
    </row>
    <row r="71" spans="2:17">
      <c r="B71" s="1" t="s">
        <v>1069</v>
      </c>
      <c r="C71" t="str">
        <f>IF(LEN(表1_539[[#This Row],[导出文件名]])=2,LEFT(表1_539[[#This Row],[导出文件名]],1)&amp;"    "&amp;RIGHT(表1_539[[#This Row],[导出文件名]],1),表1_539[[#This Row],[导出文件名]])</f>
        <v>陈    芳</v>
      </c>
      <c r="D71" t="s">
        <v>947</v>
      </c>
      <c r="F71" t="s">
        <v>1125</v>
      </c>
      <c r="G71" t="s">
        <v>947</v>
      </c>
      <c r="O71" s="7"/>
      <c r="P71" s="7"/>
      <c r="Q71" s="7"/>
    </row>
    <row r="72" spans="2:17">
      <c r="B72" s="1" t="s">
        <v>987</v>
      </c>
      <c r="C72" t="str">
        <f>IF(LEN(表1_539[[#This Row],[导出文件名]])=2,LEFT(表1_539[[#This Row],[导出文件名]],1)&amp;"    "&amp;RIGHT(表1_539[[#This Row],[导出文件名]],1),表1_539[[#This Row],[导出文件名]])</f>
        <v>宋晓杰</v>
      </c>
      <c r="D72" t="s">
        <v>947</v>
      </c>
      <c r="F72" t="s">
        <v>987</v>
      </c>
      <c r="G72" t="s">
        <v>947</v>
      </c>
      <c r="O72" s="7"/>
      <c r="P72" s="7"/>
      <c r="Q72" s="7"/>
    </row>
    <row r="73" spans="2:17">
      <c r="B73" s="1" t="s">
        <v>988</v>
      </c>
      <c r="C73" t="str">
        <f>IF(LEN(表1_539[[#This Row],[导出文件名]])=2,LEFT(表1_539[[#This Row],[导出文件名]],1)&amp;"    "&amp;RIGHT(表1_539[[#This Row],[导出文件名]],1),表1_539[[#This Row],[导出文件名]])</f>
        <v>邓小端</v>
      </c>
      <c r="D73" t="s">
        <v>947</v>
      </c>
      <c r="F73" t="s">
        <v>988</v>
      </c>
      <c r="G73" t="s">
        <v>947</v>
      </c>
      <c r="O73" s="7"/>
      <c r="P73" s="7"/>
      <c r="Q73" s="7"/>
    </row>
    <row r="74" spans="2:17">
      <c r="B74" s="1" t="s">
        <v>1070</v>
      </c>
      <c r="C74" t="str">
        <f>IF(LEN(表1_539[[#This Row],[导出文件名]])=2,LEFT(表1_539[[#This Row],[导出文件名]],1)&amp;"    "&amp;RIGHT(表1_539[[#This Row],[导出文件名]],1),表1_539[[#This Row],[导出文件名]])</f>
        <v>喻    兰</v>
      </c>
      <c r="D74" t="s">
        <v>947</v>
      </c>
      <c r="F74" t="s">
        <v>1126</v>
      </c>
      <c r="G74" t="s">
        <v>947</v>
      </c>
      <c r="O74" s="7"/>
      <c r="P74" s="7"/>
      <c r="Q74" s="7"/>
    </row>
    <row r="75" spans="2:17">
      <c r="B75" s="1" t="s">
        <v>989</v>
      </c>
      <c r="C75" t="str">
        <f>IF(LEN(表1_539[[#This Row],[导出文件名]])=2,LEFT(表1_539[[#This Row],[导出文件名]],1)&amp;"    "&amp;RIGHT(表1_539[[#This Row],[导出文件名]],1),表1_539[[#This Row],[导出文件名]])</f>
        <v>陈武君</v>
      </c>
      <c r="D75" t="s">
        <v>946</v>
      </c>
      <c r="F75" t="s">
        <v>989</v>
      </c>
      <c r="G75" t="s">
        <v>946</v>
      </c>
      <c r="O75" s="7"/>
      <c r="P75" s="7"/>
      <c r="Q75" s="7"/>
    </row>
    <row r="76" spans="2:17">
      <c r="B76" s="1" t="s">
        <v>1071</v>
      </c>
      <c r="C76" t="str">
        <f>IF(LEN(表1_539[[#This Row],[导出文件名]])=2,LEFT(表1_539[[#This Row],[导出文件名]],1)&amp;"    "&amp;RIGHT(表1_539[[#This Row],[导出文件名]],1),表1_539[[#This Row],[导出文件名]])</f>
        <v>张    峰</v>
      </c>
      <c r="D76" t="s">
        <v>946</v>
      </c>
      <c r="F76" t="s">
        <v>1127</v>
      </c>
      <c r="G76" t="s">
        <v>946</v>
      </c>
      <c r="O76" s="7"/>
      <c r="P76" s="7"/>
      <c r="Q76" s="7"/>
    </row>
    <row r="77" spans="2:17">
      <c r="B77" s="1" t="s">
        <v>1072</v>
      </c>
      <c r="C77" t="str">
        <f>IF(LEN(表1_539[[#This Row],[导出文件名]])=2,LEFT(表1_539[[#This Row],[导出文件名]],1)&amp;"    "&amp;RIGHT(表1_539[[#This Row],[导出文件名]],1),表1_539[[#This Row],[导出文件名]])</f>
        <v>钟    勇</v>
      </c>
      <c r="D77" t="s">
        <v>946</v>
      </c>
      <c r="F77" t="s">
        <v>1128</v>
      </c>
      <c r="G77" t="s">
        <v>946</v>
      </c>
      <c r="O77" s="7"/>
      <c r="P77" s="7"/>
      <c r="Q77" s="7"/>
    </row>
    <row r="78" spans="2:17">
      <c r="B78" s="22" t="s">
        <v>1046</v>
      </c>
      <c r="C78" t="str">
        <f>IF(LEN(表1_539[[#This Row],[导出文件名]])=2,LEFT(表1_539[[#This Row],[导出文件名]],1)&amp;"    "&amp;RIGHT(表1_539[[#This Row],[导出文件名]],1),表1_539[[#This Row],[导出文件名]])</f>
        <v>王晟林</v>
      </c>
      <c r="D78" t="s">
        <v>946</v>
      </c>
      <c r="F78" t="s">
        <v>1046</v>
      </c>
      <c r="G78" t="s">
        <v>946</v>
      </c>
      <c r="O78" s="7"/>
      <c r="P78" s="7"/>
      <c r="Q78" s="7"/>
    </row>
    <row r="79" spans="2:17">
      <c r="B79" s="1" t="s">
        <v>1073</v>
      </c>
      <c r="C79" t="str">
        <f>IF(LEN(表1_539[[#This Row],[导出文件名]])=2,LEFT(表1_539[[#This Row],[导出文件名]],1)&amp;"    "&amp;RIGHT(表1_539[[#This Row],[导出文件名]],1),表1_539[[#This Row],[导出文件名]])</f>
        <v>匡    坤</v>
      </c>
      <c r="D79" t="s">
        <v>946</v>
      </c>
      <c r="F79" t="s">
        <v>1129</v>
      </c>
      <c r="G79" t="s">
        <v>946</v>
      </c>
      <c r="O79" s="7"/>
      <c r="P79" s="7"/>
      <c r="Q79" s="7"/>
    </row>
    <row r="80" spans="2:17">
      <c r="B80" s="1" t="s">
        <v>1074</v>
      </c>
      <c r="C80" t="str">
        <f>IF(LEN(表1_539[[#This Row],[导出文件名]])=2,LEFT(表1_539[[#This Row],[导出文件名]],1)&amp;"    "&amp;RIGHT(表1_539[[#This Row],[导出文件名]],1),表1_539[[#This Row],[导出文件名]])</f>
        <v>施    波</v>
      </c>
      <c r="D80" t="s">
        <v>946</v>
      </c>
      <c r="F80" t="s">
        <v>1130</v>
      </c>
      <c r="G80" t="s">
        <v>946</v>
      </c>
      <c r="O80" s="7"/>
      <c r="P80" s="7"/>
      <c r="Q80" s="7"/>
    </row>
    <row r="81" spans="2:17">
      <c r="B81" s="1" t="s">
        <v>990</v>
      </c>
      <c r="C81" t="str">
        <f>IF(LEN(表1_539[[#This Row],[导出文件名]])=2,LEFT(表1_539[[#This Row],[导出文件名]],1)&amp;"    "&amp;RIGHT(表1_539[[#This Row],[导出文件名]],1),表1_539[[#This Row],[导出文件名]])</f>
        <v>王钰鑫</v>
      </c>
      <c r="D81" t="s">
        <v>946</v>
      </c>
      <c r="F81" t="s">
        <v>990</v>
      </c>
      <c r="G81" t="s">
        <v>946</v>
      </c>
      <c r="O81" s="7"/>
      <c r="P81" s="7"/>
      <c r="Q81" s="7"/>
    </row>
    <row r="82" spans="2:17">
      <c r="B82" s="1" t="s">
        <v>991</v>
      </c>
      <c r="C82" t="str">
        <f>IF(LEN(表1_539[[#This Row],[导出文件名]])=2,LEFT(表1_539[[#This Row],[导出文件名]],1)&amp;"    "&amp;RIGHT(表1_539[[#This Row],[导出文件名]],1),表1_539[[#This Row],[导出文件名]])</f>
        <v>周治樸</v>
      </c>
      <c r="D82" t="s">
        <v>946</v>
      </c>
      <c r="F82" t="s">
        <v>991</v>
      </c>
      <c r="G82" t="s">
        <v>946</v>
      </c>
      <c r="O82" s="7"/>
      <c r="P82" s="7"/>
      <c r="Q82" s="7"/>
    </row>
    <row r="83" spans="2:17">
      <c r="B83" s="1" t="s">
        <v>992</v>
      </c>
      <c r="C83" t="str">
        <f>IF(LEN(表1_539[[#This Row],[导出文件名]])=2,LEFT(表1_539[[#This Row],[导出文件名]],1)&amp;"    "&amp;RIGHT(表1_539[[#This Row],[导出文件名]],1),表1_539[[#This Row],[导出文件名]])</f>
        <v>崔振华</v>
      </c>
      <c r="D83" t="s">
        <v>946</v>
      </c>
      <c r="F83" t="s">
        <v>992</v>
      </c>
      <c r="G83" t="s">
        <v>946</v>
      </c>
      <c r="O83" s="7"/>
      <c r="P83" s="7"/>
      <c r="Q83" s="7"/>
    </row>
    <row r="84" spans="2:17">
      <c r="B84" s="1" t="s">
        <v>993</v>
      </c>
      <c r="C84" t="str">
        <f>IF(LEN(表1_539[[#This Row],[导出文件名]])=2,LEFT(表1_539[[#This Row],[导出文件名]],1)&amp;"    "&amp;RIGHT(表1_539[[#This Row],[导出文件名]],1),表1_539[[#This Row],[导出文件名]])</f>
        <v>沈文杰</v>
      </c>
      <c r="D84" t="s">
        <v>946</v>
      </c>
      <c r="F84" t="s">
        <v>993</v>
      </c>
      <c r="G84" t="s">
        <v>946</v>
      </c>
      <c r="O84" s="7"/>
      <c r="P84" s="7"/>
      <c r="Q84" s="7"/>
    </row>
    <row r="85" spans="2:17">
      <c r="B85" s="1" t="s">
        <v>994</v>
      </c>
      <c r="C85" t="str">
        <f>IF(LEN(表1_539[[#This Row],[导出文件名]])=2,LEFT(表1_539[[#This Row],[导出文件名]],1)&amp;"    "&amp;RIGHT(表1_539[[#This Row],[导出文件名]],1),表1_539[[#This Row],[导出文件名]])</f>
        <v>邬永刚</v>
      </c>
      <c r="D85" t="s">
        <v>946</v>
      </c>
      <c r="F85" t="s">
        <v>994</v>
      </c>
      <c r="G85" t="s">
        <v>946</v>
      </c>
      <c r="O85" s="7"/>
      <c r="P85" s="7"/>
      <c r="Q85" s="7"/>
    </row>
    <row r="86" spans="2:17">
      <c r="B86" s="1" t="s">
        <v>995</v>
      </c>
      <c r="C86" t="str">
        <f>IF(LEN(表1_539[[#This Row],[导出文件名]])=2,LEFT(表1_539[[#This Row],[导出文件名]],1)&amp;"    "&amp;RIGHT(表1_539[[#This Row],[导出文件名]],1),表1_539[[#This Row],[导出文件名]])</f>
        <v>许海墨</v>
      </c>
      <c r="D86" t="s">
        <v>946</v>
      </c>
      <c r="F86" t="s">
        <v>995</v>
      </c>
      <c r="G86" t="s">
        <v>946</v>
      </c>
      <c r="O86" s="7"/>
      <c r="P86" s="7"/>
      <c r="Q86" s="7"/>
    </row>
    <row r="87" spans="2:17">
      <c r="B87" s="1" t="s">
        <v>996</v>
      </c>
      <c r="C87" t="str">
        <f>IF(LEN(表1_539[[#This Row],[导出文件名]])=2,LEFT(表1_539[[#This Row],[导出文件名]],1)&amp;"    "&amp;RIGHT(表1_539[[#This Row],[导出文件名]],1),表1_539[[#This Row],[导出文件名]])</f>
        <v>钱亚庆</v>
      </c>
      <c r="D87" t="s">
        <v>946</v>
      </c>
      <c r="F87" s="21" t="s">
        <v>996</v>
      </c>
      <c r="G87" t="s">
        <v>946</v>
      </c>
      <c r="H87" s="21"/>
      <c r="O87" s="7"/>
      <c r="P87" s="7"/>
      <c r="Q87" s="7"/>
    </row>
    <row r="88" spans="2:17">
      <c r="B88" s="1" t="s">
        <v>1075</v>
      </c>
      <c r="C88" t="str">
        <f>IF(LEN(表1_539[[#This Row],[导出文件名]])=2,LEFT(表1_539[[#This Row],[导出文件名]],1)&amp;"    "&amp;RIGHT(表1_539[[#This Row],[导出文件名]],1),表1_539[[#This Row],[导出文件名]])</f>
        <v>顾    坤</v>
      </c>
      <c r="D88" t="s">
        <v>946</v>
      </c>
      <c r="F88" t="s">
        <v>1131</v>
      </c>
      <c r="G88" t="s">
        <v>946</v>
      </c>
      <c r="O88" s="7"/>
      <c r="P88" s="7"/>
      <c r="Q88" s="7"/>
    </row>
    <row r="89" spans="2:17">
      <c r="B89" s="1" t="s">
        <v>997</v>
      </c>
      <c r="C89" t="str">
        <f>IF(LEN(表1_539[[#This Row],[导出文件名]])=2,LEFT(表1_539[[#This Row],[导出文件名]],1)&amp;"    "&amp;RIGHT(表1_539[[#This Row],[导出文件名]],1),表1_539[[#This Row],[导出文件名]])</f>
        <v>吕德超</v>
      </c>
      <c r="D89" t="s">
        <v>946</v>
      </c>
      <c r="F89" t="s">
        <v>997</v>
      </c>
      <c r="G89" t="s">
        <v>946</v>
      </c>
      <c r="O89" s="7"/>
      <c r="P89" s="7"/>
      <c r="Q89" s="7"/>
    </row>
    <row r="90" spans="2:17">
      <c r="B90" s="1" t="s">
        <v>998</v>
      </c>
      <c r="C90" t="str">
        <f>IF(LEN(表1_539[[#This Row],[导出文件名]])=2,LEFT(表1_539[[#This Row],[导出文件名]],1)&amp;"    "&amp;RIGHT(表1_539[[#This Row],[导出文件名]],1),表1_539[[#This Row],[导出文件名]])</f>
        <v>冮明旸</v>
      </c>
      <c r="D90" t="s">
        <v>946</v>
      </c>
      <c r="F90" t="s">
        <v>998</v>
      </c>
      <c r="G90" t="s">
        <v>946</v>
      </c>
      <c r="O90" s="7"/>
      <c r="P90" s="7"/>
      <c r="Q90" s="7"/>
    </row>
    <row r="91" spans="2:17">
      <c r="B91" s="22" t="s">
        <v>1047</v>
      </c>
      <c r="C91" t="str">
        <f>IF(LEN(表1_539[[#This Row],[导出文件名]])=2,LEFT(表1_539[[#This Row],[导出文件名]],1)&amp;"    "&amp;RIGHT(表1_539[[#This Row],[导出文件名]],1),表1_539[[#This Row],[导出文件名]])</f>
        <v>骆训航</v>
      </c>
      <c r="D91" t="s">
        <v>946</v>
      </c>
      <c r="F91" t="s">
        <v>1047</v>
      </c>
      <c r="G91" t="s">
        <v>946</v>
      </c>
      <c r="O91" s="7"/>
      <c r="P91" s="7"/>
      <c r="Q91" s="7"/>
    </row>
    <row r="92" spans="2:17">
      <c r="B92" s="1" t="s">
        <v>1076</v>
      </c>
      <c r="C92" t="str">
        <f>IF(LEN(表1_539[[#This Row],[导出文件名]])=2,LEFT(表1_539[[#This Row],[导出文件名]],1)&amp;"    "&amp;RIGHT(表1_539[[#This Row],[导出文件名]],1),表1_539[[#This Row],[导出文件名]])</f>
        <v>梁    策</v>
      </c>
      <c r="D92" t="s">
        <v>946</v>
      </c>
      <c r="F92" t="s">
        <v>1132</v>
      </c>
      <c r="G92" t="s">
        <v>946</v>
      </c>
      <c r="O92" s="7"/>
      <c r="P92" s="7"/>
      <c r="Q92" s="7"/>
    </row>
    <row r="93" spans="2:17">
      <c r="B93" s="1" t="s">
        <v>1077</v>
      </c>
      <c r="C93" t="str">
        <f>IF(LEN(表1_539[[#This Row],[导出文件名]])=2,LEFT(表1_539[[#This Row],[导出文件名]],1)&amp;"    "&amp;RIGHT(表1_539[[#This Row],[导出文件名]],1),表1_539[[#This Row],[导出文件名]])</f>
        <v>刘    丰</v>
      </c>
      <c r="D93" t="s">
        <v>946</v>
      </c>
      <c r="F93" t="s">
        <v>1133</v>
      </c>
      <c r="G93" t="s">
        <v>946</v>
      </c>
      <c r="O93" s="7"/>
      <c r="P93" s="7"/>
      <c r="Q93" s="7"/>
    </row>
    <row r="94" spans="2:17">
      <c r="B94" s="1" t="s">
        <v>1078</v>
      </c>
      <c r="C94" t="str">
        <f>IF(LEN(表1_539[[#This Row],[导出文件名]])=2,LEFT(表1_539[[#This Row],[导出文件名]],1)&amp;"    "&amp;RIGHT(表1_539[[#This Row],[导出文件名]],1),表1_539[[#This Row],[导出文件名]])</f>
        <v>陈    岩</v>
      </c>
      <c r="D94" t="s">
        <v>946</v>
      </c>
      <c r="F94" t="s">
        <v>1134</v>
      </c>
      <c r="G94" t="s">
        <v>946</v>
      </c>
      <c r="O94" s="7"/>
      <c r="P94" s="7"/>
      <c r="Q94" s="7"/>
    </row>
    <row r="95" spans="2:17">
      <c r="B95" s="1" t="s">
        <v>999</v>
      </c>
      <c r="C95" t="str">
        <f>IF(LEN(表1_539[[#This Row],[导出文件名]])=2,LEFT(表1_539[[#This Row],[导出文件名]],1)&amp;"    "&amp;RIGHT(表1_539[[#This Row],[导出文件名]],1),表1_539[[#This Row],[导出文件名]])</f>
        <v>周丙双</v>
      </c>
      <c r="D95" t="s">
        <v>946</v>
      </c>
      <c r="F95" t="s">
        <v>999</v>
      </c>
      <c r="G95" t="s">
        <v>946</v>
      </c>
      <c r="O95" s="7"/>
      <c r="P95" s="7"/>
      <c r="Q95" s="7"/>
    </row>
    <row r="96" spans="2:17">
      <c r="B96" s="1" t="s">
        <v>1079</v>
      </c>
      <c r="C96" t="str">
        <f>IF(LEN(表1_539[[#This Row],[导出文件名]])=2,LEFT(表1_539[[#This Row],[导出文件名]],1)&amp;"    "&amp;RIGHT(表1_539[[#This Row],[导出文件名]],1),表1_539[[#This Row],[导出文件名]])</f>
        <v>周    凎</v>
      </c>
      <c r="D96" t="s">
        <v>946</v>
      </c>
      <c r="F96" t="s">
        <v>1135</v>
      </c>
      <c r="G96" t="s">
        <v>946</v>
      </c>
      <c r="O96" s="7"/>
      <c r="P96" s="7"/>
      <c r="Q96" s="7"/>
    </row>
    <row r="97" spans="2:17">
      <c r="B97" s="1" t="s">
        <v>1000</v>
      </c>
      <c r="C97" t="str">
        <f>IF(LEN(表1_539[[#This Row],[导出文件名]])=2,LEFT(表1_539[[#This Row],[导出文件名]],1)&amp;"    "&amp;RIGHT(表1_539[[#This Row],[导出文件名]],1),表1_539[[#This Row],[导出文件名]])</f>
        <v>潘朝钟</v>
      </c>
      <c r="D97" t="s">
        <v>946</v>
      </c>
      <c r="F97" t="s">
        <v>1000</v>
      </c>
      <c r="G97" t="s">
        <v>946</v>
      </c>
      <c r="O97" s="7"/>
      <c r="P97" s="7"/>
      <c r="Q97" s="7"/>
    </row>
    <row r="98" spans="2:17">
      <c r="B98" s="1" t="s">
        <v>1001</v>
      </c>
      <c r="C98" t="str">
        <f>IF(LEN(表1_539[[#This Row],[导出文件名]])=2,LEFT(表1_539[[#This Row],[导出文件名]],1)&amp;"    "&amp;RIGHT(表1_539[[#This Row],[导出文件名]],1),表1_539[[#This Row],[导出文件名]])</f>
        <v>李宏靖</v>
      </c>
      <c r="D98" t="s">
        <v>946</v>
      </c>
      <c r="F98" t="s">
        <v>1001</v>
      </c>
      <c r="G98" t="s">
        <v>946</v>
      </c>
      <c r="O98" s="7"/>
      <c r="P98" s="7"/>
      <c r="Q98" s="7"/>
    </row>
    <row r="99" spans="2:17">
      <c r="B99" s="1" t="s">
        <v>1002</v>
      </c>
      <c r="C99" t="str">
        <f>IF(LEN(表1_539[[#This Row],[导出文件名]])=2,LEFT(表1_539[[#This Row],[导出文件名]],1)&amp;"    "&amp;RIGHT(表1_539[[#This Row],[导出文件名]],1),表1_539[[#This Row],[导出文件名]])</f>
        <v>辛爱军</v>
      </c>
      <c r="D99" t="s">
        <v>946</v>
      </c>
      <c r="F99" t="s">
        <v>1002</v>
      </c>
      <c r="G99" t="s">
        <v>946</v>
      </c>
      <c r="O99" s="7"/>
      <c r="P99" s="7"/>
      <c r="Q99" s="7"/>
    </row>
    <row r="100" spans="2:17">
      <c r="B100" s="1" t="s">
        <v>1003</v>
      </c>
      <c r="C100" t="str">
        <f>IF(LEN(表1_539[[#This Row],[导出文件名]])=2,LEFT(表1_539[[#This Row],[导出文件名]],1)&amp;"    "&amp;RIGHT(表1_539[[#This Row],[导出文件名]],1),表1_539[[#This Row],[导出文件名]])</f>
        <v>李宏艳</v>
      </c>
      <c r="D100" t="s">
        <v>946</v>
      </c>
      <c r="F100" t="s">
        <v>1003</v>
      </c>
      <c r="G100" t="s">
        <v>946</v>
      </c>
      <c r="O100" s="7"/>
      <c r="P100" s="7"/>
    </row>
    <row r="101" spans="2:17">
      <c r="B101" s="1" t="s">
        <v>1080</v>
      </c>
      <c r="C101" t="str">
        <f>IF(LEN(表1_539[[#This Row],[导出文件名]])=2,LEFT(表1_539[[#This Row],[导出文件名]],1)&amp;"    "&amp;RIGHT(表1_539[[#This Row],[导出文件名]],1),表1_539[[#This Row],[导出文件名]])</f>
        <v>杨    述</v>
      </c>
      <c r="D101" t="s">
        <v>946</v>
      </c>
      <c r="F101" t="s">
        <v>1136</v>
      </c>
      <c r="G101" t="s">
        <v>946</v>
      </c>
      <c r="O101" s="7"/>
      <c r="P101" s="7"/>
    </row>
    <row r="102" spans="2:17">
      <c r="B102" s="1" t="s">
        <v>1004</v>
      </c>
      <c r="C102" t="str">
        <f>IF(LEN(表1_539[[#This Row],[导出文件名]])=2,LEFT(表1_539[[#This Row],[导出文件名]],1)&amp;"    "&amp;RIGHT(表1_539[[#This Row],[导出文件名]],1),表1_539[[#This Row],[导出文件名]])</f>
        <v>张清梅</v>
      </c>
      <c r="D102" t="s">
        <v>947</v>
      </c>
      <c r="F102" t="s">
        <v>1004</v>
      </c>
      <c r="G102" t="s">
        <v>947</v>
      </c>
      <c r="O102" s="7"/>
      <c r="P102" s="7"/>
    </row>
    <row r="103" spans="2:17">
      <c r="B103" s="1" t="s">
        <v>1005</v>
      </c>
      <c r="C103" t="str">
        <f>IF(LEN(表1_539[[#This Row],[导出文件名]])=2,LEFT(表1_539[[#This Row],[导出文件名]],1)&amp;"    "&amp;RIGHT(表1_539[[#This Row],[导出文件名]],1),表1_539[[#This Row],[导出文件名]])</f>
        <v>黄楚彬</v>
      </c>
      <c r="D103" t="s">
        <v>946</v>
      </c>
      <c r="F103" t="s">
        <v>1005</v>
      </c>
      <c r="G103" t="s">
        <v>946</v>
      </c>
      <c r="O103" s="7"/>
      <c r="P103" s="7"/>
    </row>
    <row r="104" spans="2:17" ht="17.25" customHeight="1">
      <c r="B104" s="1" t="s">
        <v>1006</v>
      </c>
      <c r="C104" t="str">
        <f>IF(LEN(表1_539[[#This Row],[导出文件名]])=2,LEFT(表1_539[[#This Row],[导出文件名]],1)&amp;"    "&amp;RIGHT(表1_539[[#This Row],[导出文件名]],1),表1_539[[#This Row],[导出文件名]])</f>
        <v>陈振炎</v>
      </c>
      <c r="D104" t="s">
        <v>946</v>
      </c>
      <c r="F104" s="21" t="s">
        <v>1006</v>
      </c>
      <c r="G104" t="s">
        <v>946</v>
      </c>
      <c r="H104" s="21"/>
      <c r="O104" s="7"/>
      <c r="P104" s="7"/>
    </row>
    <row r="105" spans="2:17">
      <c r="B105" s="1" t="s">
        <v>1007</v>
      </c>
      <c r="C105" t="str">
        <f>IF(LEN(表1_539[[#This Row],[导出文件名]])=2,LEFT(表1_539[[#This Row],[导出文件名]],1)&amp;"    "&amp;RIGHT(表1_539[[#This Row],[导出文件名]],1),表1_539[[#This Row],[导出文件名]])</f>
        <v>王再平</v>
      </c>
      <c r="D105" t="s">
        <v>946</v>
      </c>
      <c r="F105" t="s">
        <v>1007</v>
      </c>
      <c r="G105" t="s">
        <v>946</v>
      </c>
      <c r="O105" s="7"/>
      <c r="P105" s="7"/>
    </row>
    <row r="106" spans="2:17">
      <c r="B106" s="1" t="s">
        <v>1081</v>
      </c>
      <c r="C106" t="str">
        <f>IF(LEN(表1_539[[#This Row],[导出文件名]])=2,LEFT(表1_539[[#This Row],[导出文件名]],1)&amp;"    "&amp;RIGHT(表1_539[[#This Row],[导出文件名]],1),表1_539[[#This Row],[导出文件名]])</f>
        <v>王    欢</v>
      </c>
      <c r="D106" t="s">
        <v>947</v>
      </c>
      <c r="F106" t="s">
        <v>1137</v>
      </c>
      <c r="G106" t="s">
        <v>947</v>
      </c>
      <c r="O106" s="7"/>
      <c r="P106" s="7"/>
    </row>
    <row r="107" spans="2:17">
      <c r="B107" s="1" t="s">
        <v>1008</v>
      </c>
      <c r="C107" t="str">
        <f>IF(LEN(表1_539[[#This Row],[导出文件名]])=2,LEFT(表1_539[[#This Row],[导出文件名]],1)&amp;"    "&amp;RIGHT(表1_539[[#This Row],[导出文件名]],1),表1_539[[#This Row],[导出文件名]])</f>
        <v>谷尚波</v>
      </c>
      <c r="D107" t="s">
        <v>946</v>
      </c>
      <c r="F107" t="s">
        <v>1008</v>
      </c>
      <c r="G107" t="s">
        <v>946</v>
      </c>
      <c r="O107" s="7"/>
      <c r="P107" s="7"/>
    </row>
    <row r="108" spans="2:17">
      <c r="B108" s="1" t="s">
        <v>1009</v>
      </c>
      <c r="C108" t="str">
        <f>IF(LEN(表1_539[[#This Row],[导出文件名]])=2,LEFT(表1_539[[#This Row],[导出文件名]],1)&amp;"    "&amp;RIGHT(表1_539[[#This Row],[导出文件名]],1),表1_539[[#This Row],[导出文件名]])</f>
        <v>潘</v>
      </c>
      <c r="D108" t="s">
        <v>946</v>
      </c>
      <c r="F108" t="s">
        <v>1009</v>
      </c>
      <c r="G108" t="s">
        <v>946</v>
      </c>
      <c r="O108" s="7"/>
      <c r="P108" s="7"/>
    </row>
    <row r="109" spans="2:17">
      <c r="B109" s="1" t="s">
        <v>1010</v>
      </c>
      <c r="C109" t="str">
        <f>IF(LEN(表1_539[[#This Row],[导出文件名]])=2,LEFT(表1_539[[#This Row],[导出文件名]],1)&amp;"    "&amp;RIGHT(表1_539[[#This Row],[导出文件名]],1),表1_539[[#This Row],[导出文件名]])</f>
        <v>唐剑波</v>
      </c>
      <c r="D109" t="s">
        <v>946</v>
      </c>
      <c r="F109" t="s">
        <v>1010</v>
      </c>
      <c r="G109" t="s">
        <v>946</v>
      </c>
      <c r="O109" s="7"/>
      <c r="P109" s="7"/>
    </row>
    <row r="110" spans="2:17">
      <c r="B110" s="1" t="s">
        <v>1011</v>
      </c>
      <c r="C110" t="str">
        <f>IF(LEN(表1_539[[#This Row],[导出文件名]])=2,LEFT(表1_539[[#This Row],[导出文件名]],1)&amp;"    "&amp;RIGHT(表1_539[[#This Row],[导出文件名]],1),表1_539[[#This Row],[导出文件名]])</f>
        <v>胡金柱</v>
      </c>
      <c r="D110" t="s">
        <v>946</v>
      </c>
      <c r="F110" t="s">
        <v>1011</v>
      </c>
      <c r="G110" t="s">
        <v>946</v>
      </c>
      <c r="O110" s="7"/>
      <c r="P110" s="7"/>
    </row>
    <row r="111" spans="2:17">
      <c r="B111" s="1" t="s">
        <v>1012</v>
      </c>
      <c r="C111" t="str">
        <f>IF(LEN(表1_539[[#This Row],[导出文件名]])=2,LEFT(表1_539[[#This Row],[导出文件名]],1)&amp;"    "&amp;RIGHT(表1_539[[#This Row],[导出文件名]],1),表1_539[[#This Row],[导出文件名]])</f>
        <v>肖朝阳</v>
      </c>
      <c r="D111" t="s">
        <v>946</v>
      </c>
      <c r="F111" t="s">
        <v>1012</v>
      </c>
      <c r="G111" t="s">
        <v>946</v>
      </c>
      <c r="O111" s="7"/>
      <c r="P111" s="7"/>
    </row>
    <row r="112" spans="2:17">
      <c r="B112" s="1" t="s">
        <v>1082</v>
      </c>
      <c r="C112" t="str">
        <f>IF(LEN(表1_539[[#This Row],[导出文件名]])=2,LEFT(表1_539[[#This Row],[导出文件名]],1)&amp;"    "&amp;RIGHT(表1_539[[#This Row],[导出文件名]],1),表1_539[[#This Row],[导出文件名]])</f>
        <v>王    建</v>
      </c>
      <c r="D112" t="s">
        <v>946</v>
      </c>
      <c r="F112" t="s">
        <v>1138</v>
      </c>
      <c r="G112" t="s">
        <v>946</v>
      </c>
      <c r="O112" s="7"/>
      <c r="P112" s="7"/>
      <c r="Q112" s="7"/>
    </row>
    <row r="113" spans="2:17">
      <c r="B113" s="1" t="s">
        <v>1013</v>
      </c>
      <c r="C113" t="str">
        <f>IF(LEN(表1_539[[#This Row],[导出文件名]])=2,LEFT(表1_539[[#This Row],[导出文件名]],1)&amp;"    "&amp;RIGHT(表1_539[[#This Row],[导出文件名]],1),表1_539[[#This Row],[导出文件名]])</f>
        <v>龚举明</v>
      </c>
      <c r="D113" t="s">
        <v>946</v>
      </c>
      <c r="F113" t="s">
        <v>1013</v>
      </c>
      <c r="G113" t="s">
        <v>946</v>
      </c>
      <c r="O113" s="7"/>
      <c r="P113" s="7"/>
      <c r="Q113" s="7"/>
    </row>
    <row r="114" spans="2:17">
      <c r="B114" s="1" t="s">
        <v>1014</v>
      </c>
      <c r="C114" t="str">
        <f>IF(LEN(表1_539[[#This Row],[导出文件名]])=2,LEFT(表1_539[[#This Row],[导出文件名]],1)&amp;"    "&amp;RIGHT(表1_539[[#This Row],[导出文件名]],1),表1_539[[#This Row],[导出文件名]])</f>
        <v>万    伟</v>
      </c>
      <c r="D114" t="s">
        <v>946</v>
      </c>
      <c r="F114" t="s">
        <v>1044</v>
      </c>
      <c r="G114" t="s">
        <v>946</v>
      </c>
      <c r="O114" s="7"/>
      <c r="P114" s="7"/>
      <c r="Q114" s="7"/>
    </row>
    <row r="115" spans="2:17">
      <c r="B115" s="1" t="s">
        <v>1015</v>
      </c>
      <c r="C115" t="str">
        <f>IF(LEN(表1_539[[#This Row],[导出文件名]])=2,LEFT(表1_539[[#This Row],[导出文件名]],1)&amp;"    "&amp;RIGHT(表1_539[[#This Row],[导出文件名]],1),表1_539[[#This Row],[导出文件名]])</f>
        <v>周国建</v>
      </c>
      <c r="D115" t="s">
        <v>946</v>
      </c>
      <c r="F115" t="s">
        <v>1015</v>
      </c>
      <c r="G115" t="s">
        <v>946</v>
      </c>
      <c r="O115" s="7"/>
      <c r="P115" s="7"/>
      <c r="Q115" s="7"/>
    </row>
    <row r="116" spans="2:17">
      <c r="B116" s="1" t="s">
        <v>1016</v>
      </c>
      <c r="C116" t="str">
        <f>IF(LEN(表1_539[[#This Row],[导出文件名]])=2,LEFT(表1_539[[#This Row],[导出文件名]],1)&amp;"    "&amp;RIGHT(表1_539[[#This Row],[导出文件名]],1),表1_539[[#This Row],[导出文件名]])</f>
        <v>王伟国</v>
      </c>
      <c r="D116" t="s">
        <v>946</v>
      </c>
      <c r="F116" t="s">
        <v>1016</v>
      </c>
      <c r="G116" t="s">
        <v>946</v>
      </c>
      <c r="Q116" s="7"/>
    </row>
    <row r="117" spans="2:17">
      <c r="B117" s="1" t="s">
        <v>1083</v>
      </c>
      <c r="C117" t="str">
        <f>IF(LEN(表1_539[[#This Row],[导出文件名]])=2,LEFT(表1_539[[#This Row],[导出文件名]],1)&amp;"    "&amp;RIGHT(表1_539[[#This Row],[导出文件名]],1),表1_539[[#This Row],[导出文件名]])</f>
        <v>郭    豹</v>
      </c>
      <c r="D117" t="s">
        <v>946</v>
      </c>
      <c r="F117" t="s">
        <v>1139</v>
      </c>
      <c r="G117" t="s">
        <v>946</v>
      </c>
      <c r="Q117" s="7"/>
    </row>
    <row r="118" spans="2:17">
      <c r="B118" s="1" t="s">
        <v>1084</v>
      </c>
      <c r="C118" t="str">
        <f>IF(LEN(表1_539[[#This Row],[导出文件名]])=2,LEFT(表1_539[[#This Row],[导出文件名]],1)&amp;"    "&amp;RIGHT(表1_539[[#This Row],[导出文件名]],1),表1_539[[#This Row],[导出文件名]])</f>
        <v>朱    伟</v>
      </c>
      <c r="D118" t="s">
        <v>946</v>
      </c>
      <c r="F118" t="s">
        <v>1140</v>
      </c>
      <c r="G118" t="s">
        <v>946</v>
      </c>
      <c r="P118" s="7"/>
      <c r="Q118" s="7"/>
    </row>
    <row r="119" spans="2:17">
      <c r="B119" s="1" t="s">
        <v>1017</v>
      </c>
      <c r="C119" s="20" t="str">
        <f>IF(LEN(表1_539[[#This Row],[导出文件名]])=2,LEFT(表1_539[[#This Row],[导出文件名]],1)&amp;"    "&amp;RIGHT(表1_539[[#This Row],[导出文件名]],1),表1_539[[#This Row],[导出文件名]])</f>
        <v>林书容</v>
      </c>
      <c r="D119" t="s">
        <v>946</v>
      </c>
      <c r="F119" t="s">
        <v>1017</v>
      </c>
      <c r="G119" t="s">
        <v>946</v>
      </c>
      <c r="P119" s="7"/>
      <c r="Q119" s="7"/>
    </row>
    <row r="120" spans="2:17">
      <c r="B120" s="1" t="s">
        <v>1018</v>
      </c>
      <c r="C120" s="20" t="str">
        <f>IF(LEN(表1_539[[#This Row],[导出文件名]])=2,LEFT(表1_539[[#This Row],[导出文件名]],1)&amp;"    "&amp;RIGHT(表1_539[[#This Row],[导出文件名]],1),表1_539[[#This Row],[导出文件名]])</f>
        <v>张敏捷</v>
      </c>
      <c r="D120" t="s">
        <v>946</v>
      </c>
      <c r="F120" t="s">
        <v>1018</v>
      </c>
      <c r="G120" t="s">
        <v>946</v>
      </c>
      <c r="P120" s="7"/>
      <c r="Q120" s="7"/>
    </row>
    <row r="121" spans="2:17">
      <c r="B121" s="1" t="s">
        <v>1019</v>
      </c>
      <c r="C121" t="str">
        <f>IF(LEN(表1_539[[#This Row],[导出文件名]])=2,LEFT(表1_539[[#This Row],[导出文件名]],1)&amp;"    "&amp;RIGHT(表1_539[[#This Row],[导出文件名]],1),表1_539[[#This Row],[导出文件名]])</f>
        <v>沈湘鄂</v>
      </c>
      <c r="D121" t="s">
        <v>946</v>
      </c>
      <c r="F121" t="s">
        <v>1019</v>
      </c>
      <c r="G121" t="s">
        <v>946</v>
      </c>
      <c r="P121" s="7"/>
      <c r="Q121" s="7"/>
    </row>
    <row r="122" spans="2:17">
      <c r="B122" s="1" t="s">
        <v>1020</v>
      </c>
      <c r="C122" t="str">
        <f>IF(LEN(表1_539[[#This Row],[导出文件名]])=2,LEFT(表1_539[[#This Row],[导出文件名]],1)&amp;"    "&amp;RIGHT(表1_539[[#This Row],[导出文件名]],1),表1_539[[#This Row],[导出文件名]])</f>
        <v>张宇宁</v>
      </c>
      <c r="D122" t="s">
        <v>946</v>
      </c>
      <c r="F122" t="s">
        <v>1020</v>
      </c>
      <c r="G122" t="s">
        <v>946</v>
      </c>
      <c r="P122" s="7"/>
      <c r="Q122" s="7"/>
    </row>
    <row r="123" spans="2:17">
      <c r="B123" s="1" t="s">
        <v>1085</v>
      </c>
      <c r="C123" t="str">
        <f>IF(LEN(表1_539[[#This Row],[导出文件名]])=2,LEFT(表1_539[[#This Row],[导出文件名]],1)&amp;"    "&amp;RIGHT(表1_539[[#This Row],[导出文件名]],1),表1_539[[#This Row],[导出文件名]])</f>
        <v>王    伦</v>
      </c>
      <c r="D123" t="s">
        <v>946</v>
      </c>
      <c r="F123" t="s">
        <v>1141</v>
      </c>
      <c r="G123" t="s">
        <v>946</v>
      </c>
      <c r="P123" s="7"/>
      <c r="Q123" s="7"/>
    </row>
    <row r="124" spans="2:17">
      <c r="B124" s="1" t="s">
        <v>1086</v>
      </c>
      <c r="C124" s="20" t="str">
        <f>IF(LEN(表1_539[[#This Row],[导出文件名]])=2,LEFT(表1_539[[#This Row],[导出文件名]],1)&amp;"    "&amp;RIGHT(表1_539[[#This Row],[导出文件名]],1),表1_539[[#This Row],[导出文件名]])</f>
        <v>许    可</v>
      </c>
      <c r="D124" t="s">
        <v>947</v>
      </c>
      <c r="F124" t="s">
        <v>1142</v>
      </c>
      <c r="G124" t="s">
        <v>947</v>
      </c>
      <c r="P124" s="7"/>
      <c r="Q124" s="7"/>
    </row>
    <row r="125" spans="2:17">
      <c r="B125" s="1" t="s">
        <v>1021</v>
      </c>
      <c r="C125" s="20" t="str">
        <f>IF(LEN(表1_539[[#This Row],[导出文件名]])=2,LEFT(表1_539[[#This Row],[导出文件名]],1)&amp;"    "&amp;RIGHT(表1_539[[#This Row],[导出文件名]],1),表1_539[[#This Row],[导出文件名]])</f>
        <v>陈文金</v>
      </c>
      <c r="D125" t="s">
        <v>946</v>
      </c>
      <c r="F125" t="s">
        <v>1021</v>
      </c>
      <c r="G125" t="s">
        <v>946</v>
      </c>
      <c r="P125" s="7"/>
      <c r="Q125" s="7"/>
    </row>
    <row r="126" spans="2:17">
      <c r="B126" s="1" t="s">
        <v>1087</v>
      </c>
      <c r="C126" t="str">
        <f>IF(LEN(表1_539[[#This Row],[导出文件名]])=2,LEFT(表1_539[[#This Row],[导出文件名]],1)&amp;"    "&amp;RIGHT(表1_539[[#This Row],[导出文件名]],1),表1_539[[#This Row],[导出文件名]])</f>
        <v>李    润</v>
      </c>
      <c r="D126" t="s">
        <v>946</v>
      </c>
      <c r="F126" t="s">
        <v>1143</v>
      </c>
      <c r="G126" t="s">
        <v>946</v>
      </c>
      <c r="P126" s="7"/>
      <c r="Q126" s="7"/>
    </row>
    <row r="127" spans="2:17">
      <c r="B127" s="1" t="s">
        <v>1088</v>
      </c>
      <c r="C127" t="str">
        <f>IF(LEN(表1_539[[#This Row],[导出文件名]])=2,LEFT(表1_539[[#This Row],[导出文件名]],1)&amp;"    "&amp;RIGHT(表1_539[[#This Row],[导出文件名]],1),表1_539[[#This Row],[导出文件名]])</f>
        <v>汤    林</v>
      </c>
      <c r="D127" t="s">
        <v>946</v>
      </c>
      <c r="F127" t="s">
        <v>1144</v>
      </c>
      <c r="G127" t="s">
        <v>946</v>
      </c>
      <c r="P127" s="7"/>
      <c r="Q127" s="7"/>
    </row>
    <row r="128" spans="2:17">
      <c r="B128" s="1" t="s">
        <v>1089</v>
      </c>
      <c r="C128" t="str">
        <f>IF(LEN(表1_539[[#This Row],[导出文件名]])=2,LEFT(表1_539[[#This Row],[导出文件名]],1)&amp;"    "&amp;RIGHT(表1_539[[#This Row],[导出文件名]],1),表1_539[[#This Row],[导出文件名]])</f>
        <v>卢    蒿</v>
      </c>
      <c r="D128" t="s">
        <v>946</v>
      </c>
      <c r="F128" t="s">
        <v>1145</v>
      </c>
      <c r="G128" t="s">
        <v>946</v>
      </c>
      <c r="Q128" s="7"/>
    </row>
    <row r="129" spans="2:17">
      <c r="B129" s="1" t="s">
        <v>1022</v>
      </c>
      <c r="C129" t="str">
        <f>IF(LEN(表1_539[[#This Row],[导出文件名]])=2,LEFT(表1_539[[#This Row],[导出文件名]],1)&amp;"    "&amp;RIGHT(表1_539[[#This Row],[导出文件名]],1),表1_539[[#This Row],[导出文件名]])</f>
        <v>巫详坤</v>
      </c>
      <c r="D129" t="s">
        <v>946</v>
      </c>
      <c r="F129" t="s">
        <v>1022</v>
      </c>
      <c r="G129" t="s">
        <v>946</v>
      </c>
      <c r="Q129" s="7"/>
    </row>
    <row r="130" spans="2:17">
      <c r="B130" s="1" t="s">
        <v>1023</v>
      </c>
      <c r="C130" s="23" t="str">
        <f>IF(LEN(表1_539[[#This Row],[导出文件名]])=2,LEFT(表1_539[[#This Row],[导出文件名]],1)&amp;"    "&amp;RIGHT(表1_539[[#This Row],[导出文件名]],1),表1_539[[#This Row],[导出文件名]])</f>
        <v>刘恒伟</v>
      </c>
      <c r="D130" t="s">
        <v>946</v>
      </c>
      <c r="F130" s="5" t="s">
        <v>1023</v>
      </c>
      <c r="G130" t="s">
        <v>946</v>
      </c>
      <c r="H130" s="5"/>
      <c r="M130" s="7"/>
      <c r="Q130" s="7"/>
    </row>
    <row r="131" spans="2:17">
      <c r="B131" s="1" t="s">
        <v>1024</v>
      </c>
      <c r="C131" s="23" t="str">
        <f>IF(LEN(表1_539[[#This Row],[导出文件名]])=2,LEFT(表1_539[[#This Row],[导出文件名]],1)&amp;"    "&amp;RIGHT(表1_539[[#This Row],[导出文件名]],1),表1_539[[#This Row],[导出文件名]])</f>
        <v>刘阔阳</v>
      </c>
      <c r="D131" t="s">
        <v>946</v>
      </c>
      <c r="F131" t="s">
        <v>1024</v>
      </c>
      <c r="G131" t="s">
        <v>946</v>
      </c>
      <c r="Q131" s="7"/>
    </row>
    <row r="132" spans="2:17">
      <c r="B132" s="1" t="s">
        <v>1025</v>
      </c>
      <c r="C132" t="str">
        <f>IF(LEN(表1_539[[#This Row],[导出文件名]])=2,LEFT(表1_539[[#This Row],[导出文件名]],1)&amp;"    "&amp;RIGHT(表1_539[[#This Row],[导出文件名]],1),表1_539[[#This Row],[导出文件名]])</f>
        <v>刘晓波</v>
      </c>
      <c r="D132" t="s">
        <v>946</v>
      </c>
      <c r="F132" t="s">
        <v>1025</v>
      </c>
      <c r="G132" t="s">
        <v>946</v>
      </c>
      <c r="Q132" s="7"/>
    </row>
    <row r="133" spans="2:17">
      <c r="B133" s="1" t="s">
        <v>1090</v>
      </c>
      <c r="C133" t="str">
        <f>IF(LEN(表1_539[[#This Row],[导出文件名]])=2,LEFT(表1_539[[#This Row],[导出文件名]],1)&amp;"    "&amp;RIGHT(表1_539[[#This Row],[导出文件名]],1),表1_539[[#This Row],[导出文件名]])</f>
        <v>何    聂</v>
      </c>
      <c r="D133" t="s">
        <v>946</v>
      </c>
      <c r="F133" t="s">
        <v>1146</v>
      </c>
      <c r="G133" t="s">
        <v>946</v>
      </c>
      <c r="Q133" s="7"/>
    </row>
    <row r="134" spans="2:17">
      <c r="B134" s="1" t="s">
        <v>1026</v>
      </c>
      <c r="C134" t="str">
        <f>IF(LEN(表1_539[[#This Row],[导出文件名]])=2,LEFT(表1_539[[#This Row],[导出文件名]],1)&amp;"    "&amp;RIGHT(表1_539[[#This Row],[导出文件名]],1),表1_539[[#This Row],[导出文件名]])</f>
        <v>罗敦寅</v>
      </c>
      <c r="D134" t="s">
        <v>946</v>
      </c>
      <c r="F134" t="s">
        <v>1026</v>
      </c>
      <c r="G134" t="s">
        <v>946</v>
      </c>
      <c r="Q134" s="7"/>
    </row>
    <row r="135" spans="2:17">
      <c r="B135" s="1" t="s">
        <v>1027</v>
      </c>
      <c r="C135" s="23" t="str">
        <f>IF(LEN(表1_539[[#This Row],[导出文件名]])=2,LEFT(表1_539[[#This Row],[导出文件名]],1)&amp;"    "&amp;RIGHT(表1_539[[#This Row],[导出文件名]],1),表1_539[[#This Row],[导出文件名]])</f>
        <v>罗银春</v>
      </c>
      <c r="D135" t="s">
        <v>946</v>
      </c>
      <c r="F135" t="s">
        <v>1027</v>
      </c>
      <c r="G135" t="s">
        <v>946</v>
      </c>
      <c r="Q135" s="7"/>
    </row>
    <row r="136" spans="2:17">
      <c r="B136" s="1" t="s">
        <v>1028</v>
      </c>
      <c r="C136" s="23" t="str">
        <f>IF(LEN(表1_539[[#This Row],[导出文件名]])=2,LEFT(表1_539[[#This Row],[导出文件名]],1)&amp;"    "&amp;RIGHT(表1_539[[#This Row],[导出文件名]],1),表1_539[[#This Row],[导出文件名]])</f>
        <v>杜美玲</v>
      </c>
      <c r="D136" t="s">
        <v>947</v>
      </c>
      <c r="F136" t="s">
        <v>1028</v>
      </c>
      <c r="G136" t="s">
        <v>947</v>
      </c>
      <c r="Q136" s="7"/>
    </row>
    <row r="137" spans="2:17">
      <c r="B137" s="1" t="s">
        <v>1029</v>
      </c>
      <c r="C137" t="str">
        <f>IF(LEN(表1_539[[#This Row],[导出文件名]])=2,LEFT(表1_539[[#This Row],[导出文件名]],1)&amp;"    "&amp;RIGHT(表1_539[[#This Row],[导出文件名]],1),表1_539[[#This Row],[导出文件名]])</f>
        <v>胡海清</v>
      </c>
      <c r="D137" t="s">
        <v>946</v>
      </c>
      <c r="F137" t="s">
        <v>1029</v>
      </c>
      <c r="G137" t="s">
        <v>946</v>
      </c>
      <c r="Q137" s="7"/>
    </row>
    <row r="138" spans="2:17">
      <c r="B138" s="1" t="s">
        <v>1091</v>
      </c>
      <c r="C138" t="str">
        <f>IF(LEN(表1_539[[#This Row],[导出文件名]])=2,LEFT(表1_539[[#This Row],[导出文件名]],1)&amp;"    "&amp;RIGHT(表1_539[[#This Row],[导出文件名]],1),表1_539[[#This Row],[导出文件名]])</f>
        <v>陈    总</v>
      </c>
      <c r="D138" t="s">
        <v>946</v>
      </c>
      <c r="F138" t="s">
        <v>1147</v>
      </c>
      <c r="G138" t="s">
        <v>946</v>
      </c>
      <c r="Q138" s="7"/>
    </row>
    <row r="139" spans="2:17">
      <c r="B139" s="1" t="s">
        <v>1092</v>
      </c>
      <c r="C139" t="str">
        <f>IF(LEN(表1_539[[#This Row],[导出文件名]])=2,LEFT(表1_539[[#This Row],[导出文件名]],1)&amp;"    "&amp;RIGHT(表1_539[[#This Row],[导出文件名]],1),表1_539[[#This Row],[导出文件名]])</f>
        <v>吴    刚</v>
      </c>
      <c r="D139" t="s">
        <v>946</v>
      </c>
      <c r="F139" t="s">
        <v>1148</v>
      </c>
      <c r="G139" t="s">
        <v>946</v>
      </c>
      <c r="Q139" s="7"/>
    </row>
    <row r="140" spans="2:17">
      <c r="B140" s="1" t="s">
        <v>1030</v>
      </c>
      <c r="C140" t="str">
        <f>IF(LEN(表1_539[[#This Row],[导出文件名]])=2,LEFT(表1_539[[#This Row],[导出文件名]],1)&amp;"    "&amp;RIGHT(表1_539[[#This Row],[导出文件名]],1),表1_539[[#This Row],[导出文件名]])</f>
        <v>邓文捷</v>
      </c>
      <c r="D140" t="s">
        <v>946</v>
      </c>
      <c r="F140" t="s">
        <v>1030</v>
      </c>
      <c r="G140" t="s">
        <v>946</v>
      </c>
      <c r="Q140" s="7"/>
    </row>
    <row r="141" spans="2:17">
      <c r="B141" s="1" t="s">
        <v>1031</v>
      </c>
      <c r="C141" t="str">
        <f>IF(LEN(表1_539[[#This Row],[导出文件名]])=2,LEFT(表1_539[[#This Row],[导出文件名]],1)&amp;"    "&amp;RIGHT(表1_539[[#This Row],[导出文件名]],1),表1_539[[#This Row],[导出文件名]])</f>
        <v>肖川程</v>
      </c>
      <c r="D141" t="s">
        <v>946</v>
      </c>
      <c r="F141" t="s">
        <v>1031</v>
      </c>
      <c r="G141" t="s">
        <v>946</v>
      </c>
      <c r="Q141" s="7"/>
    </row>
    <row r="142" spans="2:17">
      <c r="B142" s="1" t="s">
        <v>1093</v>
      </c>
      <c r="C142" t="str">
        <f>IF(LEN(表1_539[[#This Row],[导出文件名]])=2,LEFT(表1_539[[#This Row],[导出文件名]],1)&amp;"    "&amp;RIGHT(表1_539[[#This Row],[导出文件名]],1),表1_539[[#This Row],[导出文件名]])</f>
        <v>马    润</v>
      </c>
      <c r="D142" t="s">
        <v>946</v>
      </c>
      <c r="F142" t="s">
        <v>1149</v>
      </c>
      <c r="G142" t="s">
        <v>946</v>
      </c>
      <c r="P142" s="7"/>
      <c r="Q142" s="7"/>
    </row>
    <row r="143" spans="2:17">
      <c r="B143" s="1" t="s">
        <v>1094</v>
      </c>
      <c r="C143" s="20" t="str">
        <f>IF(LEN(表1_539[[#This Row],[导出文件名]])=2,LEFT(表1_539[[#This Row],[导出文件名]],1)&amp;"    "&amp;RIGHT(表1_539[[#This Row],[导出文件名]],1),表1_539[[#This Row],[导出文件名]])</f>
        <v>顾    江</v>
      </c>
      <c r="D143" t="s">
        <v>946</v>
      </c>
      <c r="F143" t="s">
        <v>1150</v>
      </c>
      <c r="G143" t="s">
        <v>946</v>
      </c>
      <c r="P143" s="7"/>
      <c r="Q143" s="7"/>
    </row>
    <row r="144" spans="2:17">
      <c r="B144" s="1" t="s">
        <v>1032</v>
      </c>
      <c r="C144" s="20" t="str">
        <f>IF(LEN(表1_539[[#This Row],[导出文件名]])=2,LEFT(表1_539[[#This Row],[导出文件名]],1)&amp;"    "&amp;RIGHT(表1_539[[#This Row],[导出文件名]],1),表1_539[[#This Row],[导出文件名]])</f>
        <v>潘传峰</v>
      </c>
      <c r="D144" t="s">
        <v>946</v>
      </c>
      <c r="F144" t="s">
        <v>1032</v>
      </c>
      <c r="G144" t="s">
        <v>946</v>
      </c>
      <c r="P144" s="7"/>
      <c r="Q144" s="7"/>
    </row>
    <row r="145" spans="2:17">
      <c r="B145" s="1" t="s">
        <v>1033</v>
      </c>
      <c r="C145" t="str">
        <f>IF(LEN(表1_539[[#This Row],[导出文件名]])=2,LEFT(表1_539[[#This Row],[导出文件名]],1)&amp;"    "&amp;RIGHT(表1_539[[#This Row],[导出文件名]],1),表1_539[[#This Row],[导出文件名]])</f>
        <v>冉律师</v>
      </c>
      <c r="D145" t="s">
        <v>946</v>
      </c>
      <c r="F145" t="s">
        <v>1033</v>
      </c>
      <c r="G145" t="s">
        <v>946</v>
      </c>
      <c r="P145" s="7"/>
      <c r="Q145" s="7"/>
    </row>
    <row r="146" spans="2:17">
      <c r="B146" s="1" t="s">
        <v>1034</v>
      </c>
      <c r="C146" t="str">
        <f>IF(LEN(表1_539[[#This Row],[导出文件名]])=2,LEFT(表1_539[[#This Row],[导出文件名]],1)&amp;"    "&amp;RIGHT(表1_539[[#This Row],[导出文件名]],1),表1_539[[#This Row],[导出文件名]])</f>
        <v>杨文中</v>
      </c>
      <c r="D146" t="s">
        <v>946</v>
      </c>
      <c r="F146" t="s">
        <v>1034</v>
      </c>
      <c r="G146" t="s">
        <v>946</v>
      </c>
      <c r="P146" s="7"/>
      <c r="Q146" s="7"/>
    </row>
    <row r="147" spans="2:17">
      <c r="B147" s="1" t="s">
        <v>1035</v>
      </c>
      <c r="C147" t="str">
        <f>IF(LEN(表1_539[[#This Row],[导出文件名]])=2,LEFT(表1_539[[#This Row],[导出文件名]],1)&amp;"    "&amp;RIGHT(表1_539[[#This Row],[导出文件名]],1),表1_539[[#This Row],[导出文件名]])</f>
        <v>陈大钧</v>
      </c>
      <c r="D147" t="s">
        <v>946</v>
      </c>
      <c r="F147" t="s">
        <v>1035</v>
      </c>
      <c r="G147" t="s">
        <v>946</v>
      </c>
      <c r="P147" s="7"/>
      <c r="Q147" s="7"/>
    </row>
    <row r="148" spans="2:17">
      <c r="B148" s="1" t="s">
        <v>1036</v>
      </c>
      <c r="C148" s="20" t="str">
        <f>IF(LEN(表1_539[[#This Row],[导出文件名]])=2,LEFT(表1_539[[#This Row],[导出文件名]],1)&amp;"    "&amp;RIGHT(表1_539[[#This Row],[导出文件名]],1),表1_539[[#This Row],[导出文件名]])</f>
        <v>孙耀峰</v>
      </c>
      <c r="D148" t="s">
        <v>946</v>
      </c>
      <c r="F148" t="s">
        <v>1036</v>
      </c>
      <c r="G148" t="s">
        <v>946</v>
      </c>
      <c r="P148" s="7"/>
      <c r="Q148" s="7"/>
    </row>
    <row r="149" spans="2:17">
      <c r="B149" s="1" t="s">
        <v>1037</v>
      </c>
      <c r="C149" s="20" t="str">
        <f>IF(LEN(表1_539[[#This Row],[导出文件名]])=2,LEFT(表1_539[[#This Row],[导出文件名]],1)&amp;"    "&amp;RIGHT(表1_539[[#This Row],[导出文件名]],1),表1_539[[#This Row],[导出文件名]])</f>
        <v>曹欣瀚</v>
      </c>
      <c r="D149" t="s">
        <v>946</v>
      </c>
      <c r="F149" t="s">
        <v>1037</v>
      </c>
      <c r="G149" t="s">
        <v>946</v>
      </c>
      <c r="P149" s="7"/>
      <c r="Q149" s="7"/>
    </row>
    <row r="150" spans="2:17">
      <c r="B150" s="1" t="s">
        <v>1095</v>
      </c>
      <c r="C150" t="str">
        <f>IF(LEN(表1_539[[#This Row],[导出文件名]])=2,LEFT(表1_539[[#This Row],[导出文件名]],1)&amp;"    "&amp;RIGHT(表1_539[[#This Row],[导出文件名]],1),表1_539[[#This Row],[导出文件名]])</f>
        <v>刘    峰</v>
      </c>
      <c r="D150" t="s">
        <v>946</v>
      </c>
      <c r="F150" t="s">
        <v>1151</v>
      </c>
      <c r="G150" t="s">
        <v>946</v>
      </c>
      <c r="P150" s="7"/>
      <c r="Q150" s="7"/>
    </row>
    <row r="151" spans="2:17">
      <c r="B151" s="1" t="s">
        <v>1096</v>
      </c>
      <c r="C151" t="str">
        <f>IF(LEN(表1_539[[#This Row],[导出文件名]])=2,LEFT(表1_539[[#This Row],[导出文件名]],1)&amp;"    "&amp;RIGHT(表1_539[[#This Row],[导出文件名]],1),表1_539[[#This Row],[导出文件名]])</f>
        <v>夏    令</v>
      </c>
      <c r="D151" t="s">
        <v>946</v>
      </c>
      <c r="F151" t="s">
        <v>1152</v>
      </c>
      <c r="G151" t="s">
        <v>946</v>
      </c>
      <c r="P151" s="7"/>
      <c r="Q151" s="7"/>
    </row>
    <row r="152" spans="2:17">
      <c r="B152" s="1" t="s">
        <v>1097</v>
      </c>
      <c r="C152" t="str">
        <f>IF(LEN(表1_539[[#This Row],[导出文件名]])=2,LEFT(表1_539[[#This Row],[导出文件名]],1)&amp;"    "&amp;RIGHT(表1_539[[#This Row],[导出文件名]],1),表1_539[[#This Row],[导出文件名]])</f>
        <v>王    颖</v>
      </c>
      <c r="D152" t="s">
        <v>946</v>
      </c>
      <c r="F152" t="s">
        <v>1153</v>
      </c>
      <c r="G152" t="s">
        <v>946</v>
      </c>
      <c r="Q152" s="7"/>
    </row>
    <row r="153" spans="2:17">
      <c r="B153" s="1" t="s">
        <v>1038</v>
      </c>
      <c r="C153" t="str">
        <f>IF(LEN(表1_539[[#This Row],[导出文件名]])=2,LEFT(表1_539[[#This Row],[导出文件名]],1)&amp;"    "&amp;RIGHT(表1_539[[#This Row],[导出文件名]],1),表1_539[[#This Row],[导出文件名]])</f>
        <v>谢庆生</v>
      </c>
      <c r="D153" t="s">
        <v>946</v>
      </c>
      <c r="F153" t="s">
        <v>1038</v>
      </c>
      <c r="G153" t="s">
        <v>946</v>
      </c>
      <c r="P153" s="7"/>
      <c r="Q153" s="7"/>
    </row>
    <row r="154" spans="2:17">
      <c r="B154" s="1" t="s">
        <v>1039</v>
      </c>
      <c r="C154" t="str">
        <f>IF(LEN(表1_539[[#This Row],[导出文件名]])=2,LEFT(表1_539[[#This Row],[导出文件名]],1)&amp;"    "&amp;RIGHT(表1_539[[#This Row],[导出文件名]],1),表1_539[[#This Row],[导出文件名]])</f>
        <v>曾艳涵</v>
      </c>
      <c r="D154" t="s">
        <v>946</v>
      </c>
      <c r="F154" t="s">
        <v>1039</v>
      </c>
      <c r="G154" t="s">
        <v>946</v>
      </c>
      <c r="P154" s="7"/>
      <c r="Q154" s="7"/>
    </row>
    <row r="155" spans="2:17">
      <c r="B155" s="1" t="s">
        <v>1098</v>
      </c>
      <c r="C155" t="str">
        <f>IF(LEN(表1_539[[#This Row],[导出文件名]])=2,LEFT(表1_539[[#This Row],[导出文件名]],1)&amp;"    "&amp;RIGHT(表1_539[[#This Row],[导出文件名]],1),表1_539[[#This Row],[导出文件名]])</f>
        <v>何    杰</v>
      </c>
      <c r="D155" t="s">
        <v>946</v>
      </c>
      <c r="F155" t="s">
        <v>1154</v>
      </c>
      <c r="G155" t="s">
        <v>946</v>
      </c>
      <c r="P155" s="7"/>
      <c r="Q155" s="7"/>
    </row>
    <row r="156" spans="2:17">
      <c r="B156" s="1" t="s">
        <v>1099</v>
      </c>
      <c r="C156" t="str">
        <f>IF(LEN(表1_539[[#This Row],[导出文件名]])=2,LEFT(表1_539[[#This Row],[导出文件名]],1)&amp;"    "&amp;RIGHT(表1_539[[#This Row],[导出文件名]],1),表1_539[[#This Row],[导出文件名]])</f>
        <v>郑    理</v>
      </c>
      <c r="D156" t="s">
        <v>946</v>
      </c>
      <c r="F156" t="s">
        <v>1155</v>
      </c>
      <c r="G156" t="s">
        <v>946</v>
      </c>
    </row>
    <row r="157" spans="2:17">
      <c r="B157" s="1" t="s">
        <v>1100</v>
      </c>
      <c r="C157" t="str">
        <f>IF(LEN(表1_539[[#This Row],[导出文件名]])=2,LEFT(表1_539[[#This Row],[导出文件名]],1)&amp;"    "&amp;RIGHT(表1_539[[#This Row],[导出文件名]],1),表1_539[[#This Row],[导出文件名]])</f>
        <v>朱    蛟</v>
      </c>
      <c r="D157" t="s">
        <v>946</v>
      </c>
      <c r="F157" t="s">
        <v>1156</v>
      </c>
      <c r="G157" t="s">
        <v>946</v>
      </c>
      <c r="Q157" s="7"/>
    </row>
    <row r="158" spans="2:17">
      <c r="B158" s="1" t="s">
        <v>1040</v>
      </c>
      <c r="C158" t="str">
        <f>IF(LEN(表1_539[[#This Row],[导出文件名]])=2,LEFT(表1_539[[#This Row],[导出文件名]],1)&amp;"    "&amp;RIGHT(表1_539[[#This Row],[导出文件名]],1),表1_539[[#This Row],[导出文件名]])</f>
        <v>彭禄雨</v>
      </c>
      <c r="D158" t="s">
        <v>946</v>
      </c>
      <c r="F158" t="s">
        <v>1040</v>
      </c>
      <c r="G158" t="s">
        <v>946</v>
      </c>
      <c r="Q158" s="7"/>
    </row>
    <row r="159" spans="2:17">
      <c r="B159" s="1" t="s">
        <v>1101</v>
      </c>
      <c r="C159" t="str">
        <f>IF(LEN(表1_539[[#This Row],[导出文件名]])=2,LEFT(表1_539[[#This Row],[导出文件名]],1)&amp;"    "&amp;RIGHT(表1_539[[#This Row],[导出文件名]],1),表1_539[[#This Row],[导出文件名]])</f>
        <v>李    钢</v>
      </c>
      <c r="D159" t="s">
        <v>946</v>
      </c>
      <c r="F159" t="s">
        <v>1157</v>
      </c>
      <c r="G159" t="s">
        <v>946</v>
      </c>
      <c r="Q159" s="7"/>
    </row>
    <row r="160" spans="2:17">
      <c r="B160" s="1" t="s">
        <v>1102</v>
      </c>
      <c r="C160" t="str">
        <f>IF(LEN(表1_539[[#This Row],[导出文件名]])=2,LEFT(表1_539[[#This Row],[导出文件名]],1)&amp;"    "&amp;RIGHT(表1_539[[#This Row],[导出文件名]],1),表1_539[[#This Row],[导出文件名]])</f>
        <v>蒋    超</v>
      </c>
      <c r="D160" t="s">
        <v>946</v>
      </c>
      <c r="F160" t="s">
        <v>1158</v>
      </c>
      <c r="G160" t="s">
        <v>946</v>
      </c>
    </row>
    <row r="161" spans="2:7">
      <c r="B161" s="1" t="s">
        <v>1041</v>
      </c>
      <c r="C161" t="str">
        <f>IF(LEN(表1_539[[#This Row],[导出文件名]])=2,LEFT(表1_539[[#This Row],[导出文件名]],1)&amp;"    "&amp;RIGHT(表1_539[[#This Row],[导出文件名]],1),表1_539[[#This Row],[导出文件名]])</f>
        <v>陈思源</v>
      </c>
      <c r="D161" t="s">
        <v>946</v>
      </c>
      <c r="F161" t="s">
        <v>1041</v>
      </c>
      <c r="G161" t="s">
        <v>946</v>
      </c>
    </row>
    <row r="162" spans="2:7">
      <c r="B162" s="1" t="s">
        <v>1042</v>
      </c>
      <c r="C162" t="str">
        <f>IF(LEN(表1_539[[#This Row],[导出文件名]])=2,LEFT(表1_539[[#This Row],[导出文件名]],1)&amp;"    "&amp;RIGHT(表1_539[[#This Row],[导出文件名]],1),表1_539[[#This Row],[导出文件名]])</f>
        <v>王家国</v>
      </c>
      <c r="D162" t="s">
        <v>946</v>
      </c>
      <c r="F162" t="s">
        <v>1042</v>
      </c>
      <c r="G162" t="s">
        <v>946</v>
      </c>
    </row>
    <row r="163" spans="2:7">
      <c r="B163" s="1" t="s">
        <v>1103</v>
      </c>
      <c r="C163" t="str">
        <f>IF(LEN(表1_539[[#This Row],[导出文件名]])=2,LEFT(表1_539[[#This Row],[导出文件名]],1)&amp;"    "&amp;RIGHT(表1_539[[#This Row],[导出文件名]],1),表1_539[[#This Row],[导出文件名]])</f>
        <v>张    杨</v>
      </c>
      <c r="D163" t="s">
        <v>946</v>
      </c>
      <c r="F163" t="s">
        <v>1159</v>
      </c>
      <c r="G163" t="s">
        <v>946</v>
      </c>
    </row>
    <row r="164" spans="2:7">
      <c r="B164" s="1" t="s">
        <v>1043</v>
      </c>
      <c r="C164" t="str">
        <f>IF(LEN(表1_539[[#This Row],[导出文件名]])=2,LEFT(表1_539[[#This Row],[导出文件名]],1)&amp;"    "&amp;RIGHT(表1_539[[#This Row],[导出文件名]],1),表1_539[[#This Row],[导出文件名]])</f>
        <v>向家俊</v>
      </c>
      <c r="D164" t="s">
        <v>946</v>
      </c>
      <c r="F164" t="s">
        <v>1043</v>
      </c>
      <c r="G164" t="s">
        <v>946</v>
      </c>
    </row>
  </sheetData>
  <mergeCells count="4">
    <mergeCell ref="F7:H8"/>
    <mergeCell ref="I7:K8"/>
    <mergeCell ref="M7:N8"/>
    <mergeCell ref="O7:R8"/>
  </mergeCells>
  <phoneticPr fontId="1" type="noConversion"/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按钮1_Click">
                <anchor moveWithCells="1">
                  <from>
                    <xdr:col>5</xdr:col>
                    <xdr:colOff>857250</xdr:colOff>
                    <xdr:row>1</xdr:row>
                    <xdr:rowOff>28575</xdr:rowOff>
                  </from>
                  <to>
                    <xdr:col>5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60168-1719-430C-A47F-28B6EE4EB745}">
  <sheetPr codeName="Sheet10"/>
  <dimension ref="A1:N169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95" sqref="B95:B108"/>
    </sheetView>
  </sheetViews>
  <sheetFormatPr defaultRowHeight="14.25" outlineLevelCol="1"/>
  <cols>
    <col min="1" max="1" width="11" bestFit="1" customWidth="1"/>
    <col min="2" max="2" width="38.375" style="1" bestFit="1" customWidth="1"/>
    <col min="3" max="3" width="34.375" bestFit="1" customWidth="1" outlineLevel="1"/>
    <col min="4" max="4" width="26.125" customWidth="1" outlineLevel="1"/>
    <col min="5" max="5" width="22.375" bestFit="1" customWidth="1"/>
    <col min="6" max="6" width="36.875" bestFit="1" customWidth="1"/>
    <col min="7" max="7" width="21.5" hidden="1" customWidth="1" outlineLevel="1"/>
    <col min="8" max="8" width="23.875" hidden="1" customWidth="1" outlineLevel="1"/>
    <col min="9" max="10" width="22.5" hidden="1" customWidth="1" outlineLevel="1"/>
    <col min="11" max="11" width="24.125" customWidth="1" collapsed="1"/>
    <col min="12" max="12" width="29.5" customWidth="1"/>
    <col min="13" max="13" width="30.125" bestFit="1" customWidth="1"/>
    <col min="14" max="14" width="20.25" bestFit="1" customWidth="1"/>
  </cols>
  <sheetData>
    <row r="1" spans="1:14">
      <c r="A1" t="s">
        <v>237</v>
      </c>
      <c r="B1" s="1" t="s">
        <v>528</v>
      </c>
    </row>
    <row r="2" spans="1:14">
      <c r="A2" t="s">
        <v>3</v>
      </c>
      <c r="B2" s="1" t="s">
        <v>1183</v>
      </c>
    </row>
    <row r="3" spans="1:14">
      <c r="A3" t="s">
        <v>1</v>
      </c>
      <c r="B3" s="1" t="s">
        <v>854</v>
      </c>
    </row>
    <row r="4" spans="1:14">
      <c r="A4" t="s">
        <v>2</v>
      </c>
      <c r="B4" s="1" t="s">
        <v>10</v>
      </c>
    </row>
    <row r="5" spans="1:14">
      <c r="A5" t="s">
        <v>17</v>
      </c>
      <c r="B5" s="2" t="s">
        <v>1183</v>
      </c>
    </row>
    <row r="6" spans="1:14" ht="15" thickBot="1"/>
    <row r="7" spans="1:14" ht="19.5" thickTop="1" thickBot="1">
      <c r="E7" s="34" t="s">
        <v>410</v>
      </c>
      <c r="F7" s="35"/>
      <c r="G7" s="33" t="s">
        <v>411</v>
      </c>
      <c r="H7" s="33"/>
      <c r="I7" s="33"/>
      <c r="J7" s="10"/>
      <c r="K7" s="40" t="s">
        <v>412</v>
      </c>
      <c r="L7" s="50"/>
    </row>
    <row r="8" spans="1:14" ht="19.5" thickTop="1" thickBot="1">
      <c r="E8" s="37"/>
      <c r="F8" s="38"/>
      <c r="G8" s="33"/>
      <c r="H8" s="33"/>
      <c r="I8" s="33"/>
      <c r="J8" s="10"/>
      <c r="K8" s="42"/>
      <c r="L8" s="51"/>
    </row>
    <row r="9" spans="1:14" ht="15.75" thickTop="1" thickBot="1"/>
    <row r="10" spans="1:14" ht="61.5" customHeight="1" thickTop="1" thickBot="1">
      <c r="B10" s="6" t="s">
        <v>0</v>
      </c>
      <c r="C10" t="s">
        <v>16</v>
      </c>
      <c r="D10" t="s">
        <v>15</v>
      </c>
      <c r="E10" s="3" t="s">
        <v>416</v>
      </c>
      <c r="F10" s="3" t="s">
        <v>417</v>
      </c>
      <c r="G10" s="3" t="s">
        <v>314</v>
      </c>
      <c r="H10" s="3" t="s">
        <v>315</v>
      </c>
      <c r="I10" s="3" t="s">
        <v>316</v>
      </c>
      <c r="J10" s="3" t="s">
        <v>320</v>
      </c>
      <c r="K10" s="4" t="s">
        <v>855</v>
      </c>
      <c r="L10" s="4" t="s">
        <v>856</v>
      </c>
      <c r="M10" s="4" t="s">
        <v>885</v>
      </c>
      <c r="N10" s="4" t="s">
        <v>881</v>
      </c>
    </row>
    <row r="11" spans="1:14" ht="15" thickTop="1"/>
    <row r="12" spans="1:14">
      <c r="C12" t="s">
        <v>1162</v>
      </c>
      <c r="F12" s="2"/>
      <c r="L12" t="s">
        <v>1162</v>
      </c>
    </row>
    <row r="13" spans="1:14">
      <c r="C13" t="s">
        <v>1163</v>
      </c>
      <c r="L13" t="s">
        <v>1163</v>
      </c>
    </row>
    <row r="14" spans="1:14">
      <c r="C14" t="s">
        <v>1164</v>
      </c>
      <c r="F14" s="2"/>
      <c r="L14" t="s">
        <v>1164</v>
      </c>
    </row>
    <row r="15" spans="1:14">
      <c r="C15" t="s">
        <v>1165</v>
      </c>
      <c r="F15" s="2"/>
      <c r="L15" t="s">
        <v>1165</v>
      </c>
    </row>
    <row r="16" spans="1:14">
      <c r="C16" t="s">
        <v>1166</v>
      </c>
      <c r="F16" s="2"/>
      <c r="L16" t="s">
        <v>1166</v>
      </c>
    </row>
    <row r="17" spans="2:12">
      <c r="C17" t="s">
        <v>1167</v>
      </c>
      <c r="F17" s="2"/>
      <c r="L17" t="s">
        <v>1167</v>
      </c>
    </row>
    <row r="18" spans="2:12">
      <c r="C18" t="s">
        <v>1168</v>
      </c>
      <c r="L18" t="s">
        <v>1168</v>
      </c>
    </row>
    <row r="19" spans="2:12">
      <c r="C19" t="s">
        <v>542</v>
      </c>
      <c r="L19" t="s">
        <v>542</v>
      </c>
    </row>
    <row r="20" spans="2:12">
      <c r="C20" t="s">
        <v>1169</v>
      </c>
      <c r="F20" s="2"/>
      <c r="L20" t="s">
        <v>1169</v>
      </c>
    </row>
    <row r="21" spans="2:12">
      <c r="C21" t="s">
        <v>1170</v>
      </c>
      <c r="F21" s="2"/>
      <c r="L21" t="s">
        <v>1170</v>
      </c>
    </row>
    <row r="22" spans="2:12">
      <c r="C22" t="s">
        <v>1171</v>
      </c>
      <c r="F22" s="2"/>
      <c r="L22" t="s">
        <v>1171</v>
      </c>
    </row>
    <row r="23" spans="2:12">
      <c r="C23" t="s">
        <v>26</v>
      </c>
      <c r="F23" s="2"/>
      <c r="L23" t="s">
        <v>26</v>
      </c>
    </row>
    <row r="24" spans="2:12">
      <c r="C24" t="s">
        <v>25</v>
      </c>
      <c r="F24" s="2"/>
      <c r="L24" t="s">
        <v>25</v>
      </c>
    </row>
    <row r="25" spans="2:12">
      <c r="C25" t="s">
        <v>24</v>
      </c>
      <c r="L25" t="s">
        <v>24</v>
      </c>
    </row>
    <row r="26" spans="2:12">
      <c r="C26" t="s">
        <v>23</v>
      </c>
      <c r="F26" s="2"/>
      <c r="L26" t="s">
        <v>23</v>
      </c>
    </row>
    <row r="27" spans="2:12">
      <c r="C27" t="s">
        <v>1172</v>
      </c>
      <c r="F27" s="2"/>
      <c r="L27" t="s">
        <v>1172</v>
      </c>
    </row>
    <row r="28" spans="2:12">
      <c r="B28" s="7"/>
      <c r="C28" t="s">
        <v>22</v>
      </c>
      <c r="F28" s="2"/>
      <c r="L28" t="s">
        <v>22</v>
      </c>
    </row>
    <row r="29" spans="2:12">
      <c r="B29" s="7"/>
      <c r="C29" t="s">
        <v>21</v>
      </c>
      <c r="F29" s="2"/>
      <c r="L29" t="s">
        <v>21</v>
      </c>
    </row>
    <row r="30" spans="2:12">
      <c r="B30" s="7"/>
      <c r="C30" t="s">
        <v>1173</v>
      </c>
      <c r="F30" s="2"/>
      <c r="L30" t="s">
        <v>1173</v>
      </c>
    </row>
    <row r="31" spans="2:12">
      <c r="B31" s="7"/>
      <c r="C31" t="s">
        <v>69</v>
      </c>
      <c r="F31" s="2"/>
      <c r="L31" t="s">
        <v>69</v>
      </c>
    </row>
    <row r="32" spans="2:12">
      <c r="B32" s="7"/>
      <c r="C32" t="s">
        <v>70</v>
      </c>
      <c r="F32" s="2"/>
      <c r="L32" t="s">
        <v>70</v>
      </c>
    </row>
    <row r="33" spans="2:12">
      <c r="B33" s="7"/>
      <c r="C33" t="s">
        <v>71</v>
      </c>
      <c r="F33" s="2"/>
      <c r="L33" t="s">
        <v>71</v>
      </c>
    </row>
    <row r="34" spans="2:12">
      <c r="C34" t="s">
        <v>72</v>
      </c>
      <c r="L34" t="s">
        <v>72</v>
      </c>
    </row>
    <row r="35" spans="2:12">
      <c r="C35" t="s">
        <v>73</v>
      </c>
      <c r="F35" s="2"/>
      <c r="L35" t="s">
        <v>73</v>
      </c>
    </row>
    <row r="36" spans="2:12">
      <c r="C36" t="s">
        <v>74</v>
      </c>
      <c r="F36" s="2"/>
      <c r="L36" t="s">
        <v>74</v>
      </c>
    </row>
    <row r="37" spans="2:12">
      <c r="C37" t="s">
        <v>75</v>
      </c>
      <c r="L37" t="s">
        <v>75</v>
      </c>
    </row>
    <row r="38" spans="2:12">
      <c r="C38" t="s">
        <v>76</v>
      </c>
      <c r="L38" t="s">
        <v>76</v>
      </c>
    </row>
    <row r="39" spans="2:12">
      <c r="C39" t="s">
        <v>77</v>
      </c>
      <c r="L39" t="s">
        <v>77</v>
      </c>
    </row>
    <row r="40" spans="2:12">
      <c r="C40" t="s">
        <v>78</v>
      </c>
      <c r="L40" t="s">
        <v>78</v>
      </c>
    </row>
    <row r="41" spans="2:12">
      <c r="B41"/>
      <c r="C41" t="s">
        <v>861</v>
      </c>
      <c r="L41" t="s">
        <v>861</v>
      </c>
    </row>
    <row r="42" spans="2:12">
      <c r="B42"/>
      <c r="C42" t="s">
        <v>1174</v>
      </c>
      <c r="L42" t="s">
        <v>1174</v>
      </c>
    </row>
    <row r="43" spans="2:12">
      <c r="C43" t="s">
        <v>364</v>
      </c>
      <c r="L43" t="s">
        <v>364</v>
      </c>
    </row>
    <row r="44" spans="2:12">
      <c r="C44" t="s">
        <v>1175</v>
      </c>
      <c r="L44" t="s">
        <v>1175</v>
      </c>
    </row>
    <row r="45" spans="2:12">
      <c r="C45" t="s">
        <v>172</v>
      </c>
      <c r="L45" t="s">
        <v>172</v>
      </c>
    </row>
    <row r="46" spans="2:12">
      <c r="C46" t="s">
        <v>171</v>
      </c>
      <c r="L46" t="s">
        <v>171</v>
      </c>
    </row>
    <row r="47" spans="2:12">
      <c r="C47" t="s">
        <v>112</v>
      </c>
      <c r="L47" t="s">
        <v>112</v>
      </c>
    </row>
    <row r="48" spans="2:12">
      <c r="B48" t="s">
        <v>1185</v>
      </c>
      <c r="C48" t="s">
        <v>113</v>
      </c>
      <c r="K48" t="s">
        <v>1184</v>
      </c>
      <c r="L48" t="s">
        <v>113</v>
      </c>
    </row>
    <row r="49" spans="2:12">
      <c r="B49" t="s">
        <v>103</v>
      </c>
      <c r="C49" t="s">
        <v>114</v>
      </c>
      <c r="K49" t="s">
        <v>1184</v>
      </c>
      <c r="L49" t="s">
        <v>114</v>
      </c>
    </row>
    <row r="50" spans="2:12">
      <c r="B50" t="s">
        <v>104</v>
      </c>
      <c r="C50" t="s">
        <v>115</v>
      </c>
      <c r="F50" s="2"/>
      <c r="K50" t="s">
        <v>1184</v>
      </c>
      <c r="L50" t="s">
        <v>115</v>
      </c>
    </row>
    <row r="51" spans="2:12">
      <c r="B51" t="s">
        <v>106</v>
      </c>
      <c r="C51" t="s">
        <v>116</v>
      </c>
      <c r="F51" s="2"/>
      <c r="K51" t="s">
        <v>1184</v>
      </c>
      <c r="L51" t="s">
        <v>116</v>
      </c>
    </row>
    <row r="52" spans="2:12">
      <c r="B52" s="1" t="s">
        <v>107</v>
      </c>
      <c r="C52" t="s">
        <v>1176</v>
      </c>
      <c r="F52" s="2"/>
      <c r="K52" t="s">
        <v>1184</v>
      </c>
      <c r="L52" t="s">
        <v>1176</v>
      </c>
    </row>
    <row r="53" spans="2:12">
      <c r="B53" s="1" t="s">
        <v>1182</v>
      </c>
      <c r="C53" t="s">
        <v>117</v>
      </c>
      <c r="F53" s="2"/>
      <c r="K53" t="s">
        <v>1184</v>
      </c>
      <c r="L53" t="s">
        <v>117</v>
      </c>
    </row>
    <row r="54" spans="2:12">
      <c r="B54" t="s">
        <v>109</v>
      </c>
      <c r="C54" t="s">
        <v>118</v>
      </c>
      <c r="F54" s="2"/>
      <c r="K54" t="s">
        <v>1184</v>
      </c>
      <c r="L54" t="s">
        <v>118</v>
      </c>
    </row>
    <row r="55" spans="2:12">
      <c r="B55" t="s">
        <v>110</v>
      </c>
      <c r="C55" t="s">
        <v>119</v>
      </c>
      <c r="F55" s="2"/>
      <c r="K55" t="s">
        <v>1184</v>
      </c>
      <c r="L55" t="s">
        <v>119</v>
      </c>
    </row>
    <row r="56" spans="2:12">
      <c r="C56" t="s">
        <v>120</v>
      </c>
      <c r="F56" s="2"/>
      <c r="L56" t="s">
        <v>120</v>
      </c>
    </row>
    <row r="57" spans="2:12">
      <c r="C57" t="s">
        <v>1177</v>
      </c>
      <c r="F57" s="2"/>
      <c r="L57" t="s">
        <v>1177</v>
      </c>
    </row>
    <row r="58" spans="2:12">
      <c r="C58" t="s">
        <v>1178</v>
      </c>
      <c r="F58" s="2"/>
      <c r="L58" t="s">
        <v>1178</v>
      </c>
    </row>
    <row r="59" spans="2:12">
      <c r="C59" t="s">
        <v>121</v>
      </c>
      <c r="F59" s="2"/>
      <c r="L59" t="s">
        <v>121</v>
      </c>
    </row>
    <row r="60" spans="2:12">
      <c r="C60" t="s">
        <v>494</v>
      </c>
      <c r="F60" s="2"/>
      <c r="L60" t="s">
        <v>494</v>
      </c>
    </row>
    <row r="61" spans="2:12">
      <c r="C61" t="s">
        <v>1179</v>
      </c>
      <c r="F61" s="2"/>
      <c r="L61" t="s">
        <v>1179</v>
      </c>
    </row>
    <row r="62" spans="2:12">
      <c r="C62" t="s">
        <v>1180</v>
      </c>
      <c r="L62" t="s">
        <v>1180</v>
      </c>
    </row>
    <row r="63" spans="2:12">
      <c r="C63" t="s">
        <v>1181</v>
      </c>
      <c r="L63" t="s">
        <v>1181</v>
      </c>
    </row>
    <row r="67" spans="3:6">
      <c r="F67" s="2"/>
    </row>
    <row r="68" spans="3:6">
      <c r="F68" s="2"/>
    </row>
    <row r="69" spans="3:6">
      <c r="F69" s="2"/>
    </row>
    <row r="70" spans="3:6">
      <c r="F70" s="2"/>
    </row>
    <row r="71" spans="3:6">
      <c r="F71" s="2"/>
    </row>
    <row r="72" spans="3:6">
      <c r="C72" t="s">
        <v>102</v>
      </c>
      <c r="F72" s="2"/>
    </row>
    <row r="73" spans="3:6">
      <c r="C73" t="s">
        <v>103</v>
      </c>
      <c r="F73" s="2"/>
    </row>
    <row r="74" spans="3:6">
      <c r="C74" t="s">
        <v>104</v>
      </c>
      <c r="F74" s="2"/>
    </row>
    <row r="75" spans="3:6">
      <c r="C75" t="s">
        <v>105</v>
      </c>
      <c r="F75" s="2"/>
    </row>
    <row r="76" spans="3:6">
      <c r="C76" t="s">
        <v>106</v>
      </c>
      <c r="F76" s="2"/>
    </row>
    <row r="77" spans="3:6">
      <c r="C77" t="s">
        <v>109</v>
      </c>
    </row>
    <row r="78" spans="3:6">
      <c r="C78" t="s">
        <v>110</v>
      </c>
      <c r="F78" s="2"/>
    </row>
    <row r="79" spans="3:6">
      <c r="F79" s="2"/>
    </row>
    <row r="80" spans="3:6">
      <c r="F80" s="2"/>
    </row>
    <row r="81" spans="2:14">
      <c r="F81" s="2"/>
    </row>
    <row r="82" spans="2:14">
      <c r="B82" s="1">
        <v>10088108110902</v>
      </c>
      <c r="F82" s="2"/>
    </row>
    <row r="83" spans="2:14">
      <c r="B83" s="1">
        <v>10088108110903</v>
      </c>
      <c r="F83" s="2"/>
    </row>
    <row r="84" spans="2:14">
      <c r="B84" s="1">
        <v>10079004855423</v>
      </c>
      <c r="C84" t="s">
        <v>329</v>
      </c>
      <c r="F84" s="2"/>
      <c r="M84" s="24" t="s">
        <v>329</v>
      </c>
      <c r="N84" s="24"/>
    </row>
    <row r="85" spans="2:14">
      <c r="B85" s="1">
        <v>10079004855424</v>
      </c>
      <c r="C85" t="s">
        <v>329</v>
      </c>
      <c r="F85" s="2"/>
      <c r="M85" s="25" t="s">
        <v>329</v>
      </c>
      <c r="N85" s="25" t="s">
        <v>347</v>
      </c>
    </row>
    <row r="86" spans="2:14">
      <c r="B86" s="1">
        <v>10079005338526</v>
      </c>
      <c r="C86" t="s">
        <v>330</v>
      </c>
      <c r="F86" s="2"/>
      <c r="M86" s="24" t="s">
        <v>330</v>
      </c>
      <c r="N86" s="24"/>
    </row>
    <row r="87" spans="2:14">
      <c r="B87" s="1">
        <v>10079005338527</v>
      </c>
      <c r="C87" t="s">
        <v>330</v>
      </c>
      <c r="F87" s="2"/>
      <c r="M87" s="25" t="s">
        <v>330</v>
      </c>
      <c r="N87" s="25" t="s">
        <v>347</v>
      </c>
    </row>
    <row r="88" spans="2:14">
      <c r="B88" s="1">
        <v>10096423596457</v>
      </c>
      <c r="C88" t="s">
        <v>331</v>
      </c>
      <c r="M88" s="26" t="s">
        <v>331</v>
      </c>
      <c r="N88" s="26"/>
    </row>
    <row r="89" spans="2:14">
      <c r="B89" s="1">
        <v>10096423596458</v>
      </c>
      <c r="C89" t="s">
        <v>331</v>
      </c>
      <c r="F89" s="2"/>
      <c r="M89" s="27" t="s">
        <v>331</v>
      </c>
      <c r="N89" s="27" t="s">
        <v>348</v>
      </c>
    </row>
    <row r="90" spans="2:14">
      <c r="B90" s="1">
        <v>10079004855425</v>
      </c>
      <c r="C90" t="s">
        <v>332</v>
      </c>
      <c r="F90" s="2"/>
      <c r="M90" s="26" t="s">
        <v>332</v>
      </c>
      <c r="N90" s="26"/>
    </row>
    <row r="91" spans="2:14">
      <c r="B91" s="1">
        <v>10079004855426</v>
      </c>
      <c r="C91" t="s">
        <v>332</v>
      </c>
      <c r="F91" s="2"/>
      <c r="M91" s="27" t="s">
        <v>332</v>
      </c>
      <c r="N91" s="25" t="s">
        <v>347</v>
      </c>
    </row>
    <row r="92" spans="2:14">
      <c r="B92" s="1">
        <v>10079004855427</v>
      </c>
      <c r="C92" t="s">
        <v>333</v>
      </c>
      <c r="F92" s="2"/>
      <c r="M92" s="26" t="s">
        <v>333</v>
      </c>
      <c r="N92" s="24"/>
    </row>
    <row r="93" spans="2:14">
      <c r="B93" s="1">
        <v>10079004855428</v>
      </c>
      <c r="C93" t="s">
        <v>333</v>
      </c>
      <c r="F93" s="2"/>
      <c r="M93" s="27" t="s">
        <v>333</v>
      </c>
      <c r="N93" s="25" t="s">
        <v>348</v>
      </c>
    </row>
    <row r="94" spans="2:14">
      <c r="F94" s="2"/>
    </row>
    <row r="95" spans="2:14">
      <c r="B95" s="1">
        <v>10079952515170</v>
      </c>
      <c r="C95" t="s">
        <v>372</v>
      </c>
      <c r="D95" t="s">
        <v>397</v>
      </c>
      <c r="F95" s="2"/>
      <c r="M95" t="s">
        <v>329</v>
      </c>
      <c r="N95" t="s">
        <v>282</v>
      </c>
    </row>
    <row r="96" spans="2:14">
      <c r="B96" s="1">
        <v>10098325451765</v>
      </c>
      <c r="C96" t="s">
        <v>372</v>
      </c>
      <c r="D96" t="s">
        <v>400</v>
      </c>
      <c r="F96" s="2"/>
      <c r="M96" t="s">
        <v>329</v>
      </c>
      <c r="N96" t="s">
        <v>1186</v>
      </c>
    </row>
    <row r="97" spans="2:14">
      <c r="B97" s="1">
        <v>10076155580250</v>
      </c>
      <c r="C97" t="s">
        <v>373</v>
      </c>
      <c r="D97" t="s">
        <v>397</v>
      </c>
      <c r="F97" s="2"/>
      <c r="M97" t="s">
        <v>330</v>
      </c>
      <c r="N97" t="s">
        <v>282</v>
      </c>
    </row>
    <row r="98" spans="2:14">
      <c r="B98" s="1">
        <v>10098325451766</v>
      </c>
      <c r="C98" t="s">
        <v>373</v>
      </c>
      <c r="D98" t="s">
        <v>400</v>
      </c>
      <c r="F98" s="2"/>
      <c r="M98" t="s">
        <v>330</v>
      </c>
      <c r="N98" t="s">
        <v>1186</v>
      </c>
    </row>
    <row r="99" spans="2:14">
      <c r="B99" s="1">
        <v>10096423783964</v>
      </c>
      <c r="C99" t="s">
        <v>374</v>
      </c>
      <c r="D99" t="s">
        <v>397</v>
      </c>
      <c r="F99" s="2"/>
      <c r="M99" t="s">
        <v>331</v>
      </c>
      <c r="N99" t="s">
        <v>282</v>
      </c>
    </row>
    <row r="100" spans="2:14">
      <c r="B100" s="1">
        <v>10098325451767</v>
      </c>
      <c r="C100" t="s">
        <v>374</v>
      </c>
      <c r="D100" t="s">
        <v>401</v>
      </c>
      <c r="F100" s="2"/>
      <c r="M100" t="s">
        <v>331</v>
      </c>
      <c r="N100" t="s">
        <v>349</v>
      </c>
    </row>
    <row r="101" spans="2:14">
      <c r="B101" s="1">
        <v>10076155580252</v>
      </c>
      <c r="C101" t="s">
        <v>375</v>
      </c>
      <c r="D101" t="s">
        <v>397</v>
      </c>
      <c r="M101" t="s">
        <v>332</v>
      </c>
      <c r="N101" t="s">
        <v>282</v>
      </c>
    </row>
    <row r="102" spans="2:14">
      <c r="B102" s="1">
        <v>10098325451768</v>
      </c>
      <c r="C102" t="s">
        <v>375</v>
      </c>
      <c r="D102" t="s">
        <v>400</v>
      </c>
      <c r="M102" t="s">
        <v>332</v>
      </c>
      <c r="N102" t="s">
        <v>1186</v>
      </c>
    </row>
    <row r="103" spans="2:14">
      <c r="B103" s="1">
        <v>10076155580254</v>
      </c>
      <c r="C103" t="s">
        <v>376</v>
      </c>
      <c r="D103" t="s">
        <v>397</v>
      </c>
      <c r="F103" s="2"/>
      <c r="M103" t="s">
        <v>333</v>
      </c>
      <c r="N103" t="s">
        <v>282</v>
      </c>
    </row>
    <row r="104" spans="2:14">
      <c r="B104" s="1">
        <v>10098325451769</v>
      </c>
      <c r="C104" t="s">
        <v>376</v>
      </c>
      <c r="D104" t="s">
        <v>401</v>
      </c>
      <c r="F104" s="2"/>
      <c r="M104" t="s">
        <v>333</v>
      </c>
      <c r="N104" t="s">
        <v>349</v>
      </c>
    </row>
    <row r="105" spans="2:14">
      <c r="B105" s="1">
        <v>10076155580248</v>
      </c>
      <c r="C105" t="s">
        <v>377</v>
      </c>
      <c r="D105" t="s">
        <v>397</v>
      </c>
      <c r="F105" s="2"/>
      <c r="M105" t="s">
        <v>329</v>
      </c>
      <c r="N105" t="s">
        <v>282</v>
      </c>
    </row>
    <row r="106" spans="2:14">
      <c r="B106" s="1">
        <v>10098325451770</v>
      </c>
      <c r="C106" t="s">
        <v>377</v>
      </c>
      <c r="D106" t="s">
        <v>400</v>
      </c>
      <c r="F106" s="2"/>
      <c r="M106" t="s">
        <v>329</v>
      </c>
      <c r="N106" t="s">
        <v>1186</v>
      </c>
    </row>
    <row r="107" spans="2:14">
      <c r="B107" s="1">
        <v>10080978603165</v>
      </c>
      <c r="C107" t="s">
        <v>378</v>
      </c>
      <c r="D107" t="s">
        <v>397</v>
      </c>
      <c r="F107" s="2"/>
      <c r="M107" t="s">
        <v>332</v>
      </c>
      <c r="N107" t="s">
        <v>282</v>
      </c>
    </row>
    <row r="108" spans="2:14">
      <c r="B108" s="1">
        <v>10098325451771</v>
      </c>
      <c r="C108" t="s">
        <v>378</v>
      </c>
      <c r="D108" t="s">
        <v>400</v>
      </c>
      <c r="F108" s="2"/>
      <c r="M108" t="s">
        <v>332</v>
      </c>
      <c r="N108" t="s">
        <v>1186</v>
      </c>
    </row>
    <row r="142" spans="6:6">
      <c r="F142" s="2"/>
    </row>
    <row r="143" spans="6:6">
      <c r="F143" s="2"/>
    </row>
    <row r="144" spans="6:6">
      <c r="F144" s="2"/>
    </row>
    <row r="145" spans="6:6">
      <c r="F145" s="2"/>
    </row>
    <row r="147" spans="6:6">
      <c r="F147" s="2"/>
    </row>
    <row r="148" spans="6:6">
      <c r="F148" s="2"/>
    </row>
    <row r="149" spans="6:6">
      <c r="F149" s="2"/>
    </row>
    <row r="151" spans="6:6">
      <c r="F151" s="2"/>
    </row>
    <row r="152" spans="6:6">
      <c r="F152" s="2"/>
    </row>
    <row r="153" spans="6:6">
      <c r="F153" s="2"/>
    </row>
    <row r="154" spans="6:6">
      <c r="F154" s="2"/>
    </row>
    <row r="155" spans="6:6">
      <c r="F155" s="2"/>
    </row>
    <row r="157" spans="6:6">
      <c r="F157" s="2"/>
    </row>
    <row r="158" spans="6:6">
      <c r="F158" s="2"/>
    </row>
    <row r="159" spans="6:6">
      <c r="F159" s="2"/>
    </row>
    <row r="160" spans="6:6">
      <c r="F160" s="2"/>
    </row>
    <row r="161" spans="2:6">
      <c r="F161" s="2"/>
    </row>
    <row r="162" spans="2:6">
      <c r="B162"/>
      <c r="F162" s="2"/>
    </row>
    <row r="164" spans="2:6">
      <c r="F164" s="2"/>
    </row>
    <row r="167" spans="2:6">
      <c r="F167" s="2"/>
    </row>
    <row r="168" spans="2:6">
      <c r="F168" s="2"/>
    </row>
    <row r="169" spans="2:6">
      <c r="F169" s="2"/>
    </row>
  </sheetData>
  <mergeCells count="3">
    <mergeCell ref="E7:F8"/>
    <mergeCell ref="G7:I8"/>
    <mergeCell ref="K7:L8"/>
  </mergeCells>
  <phoneticPr fontId="1" type="noConversion"/>
  <conditionalFormatting sqref="B11:B39 B179 B182 B47 B58:B176 B53">
    <cfRule type="duplicateValues" dxfId="2" priority="3"/>
  </conditionalFormatting>
  <pageMargins left="0.7" right="0.7" top="0.75" bottom="0.75" header="0.3" footer="0.3"/>
  <pageSetup paperSize="9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按钮1_Click">
                <anchor moveWithCells="1">
                  <from>
                    <xdr:col>4</xdr:col>
                    <xdr:colOff>857250</xdr:colOff>
                    <xdr:row>1</xdr:row>
                    <xdr:rowOff>28575</xdr:rowOff>
                  </from>
                  <to>
                    <xdr:col>4</xdr:col>
                    <xdr:colOff>1304925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8B244-7BA6-4AA7-B683-E5305A40842C}">
  <sheetPr codeName="Sheet2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命名范围</vt:lpstr>
      </vt:variant>
      <vt:variant>
        <vt:i4>52</vt:i4>
      </vt:variant>
    </vt:vector>
  </HeadingPairs>
  <TitlesOfParts>
    <vt:vector size="64" baseType="lpstr">
      <vt:lpstr>主板</vt:lpstr>
      <vt:lpstr>显卡参数新</vt:lpstr>
      <vt:lpstr>显示器参数</vt:lpstr>
      <vt:lpstr>显卡</vt:lpstr>
      <vt:lpstr>刘波</vt:lpstr>
      <vt:lpstr>显卡参数</vt:lpstr>
      <vt:lpstr>主板参数</vt:lpstr>
      <vt:lpstr>显卡大促</vt:lpstr>
      <vt:lpstr>机电散大促</vt:lpstr>
      <vt:lpstr>名单</vt:lpstr>
      <vt:lpstr>透明图生成器</vt:lpstr>
      <vt:lpstr>Sheet1</vt:lpstr>
      <vt:lpstr>机电散大促!export_folder</vt:lpstr>
      <vt:lpstr>刘波!export_folder</vt:lpstr>
      <vt:lpstr>名单!export_folder</vt:lpstr>
      <vt:lpstr>透明图生成器!export_folder</vt:lpstr>
      <vt:lpstr>显卡!export_folder</vt:lpstr>
      <vt:lpstr>显卡参数!export_folder</vt:lpstr>
      <vt:lpstr>显卡参数新!export_folder</vt:lpstr>
      <vt:lpstr>显卡大促!export_folder</vt:lpstr>
      <vt:lpstr>显示器参数!export_folder</vt:lpstr>
      <vt:lpstr>主板参数!export_folder</vt:lpstr>
      <vt:lpstr>export_folder</vt:lpstr>
      <vt:lpstr>机电散大促!file_format</vt:lpstr>
      <vt:lpstr>刘波!file_format</vt:lpstr>
      <vt:lpstr>名单!file_format</vt:lpstr>
      <vt:lpstr>透明图生成器!file_format</vt:lpstr>
      <vt:lpstr>显卡!file_format</vt:lpstr>
      <vt:lpstr>显卡参数!file_format</vt:lpstr>
      <vt:lpstr>显卡参数新!file_format</vt:lpstr>
      <vt:lpstr>显卡大促!file_format</vt:lpstr>
      <vt:lpstr>显示器参数!file_format</vt:lpstr>
      <vt:lpstr>主板参数!file_format</vt:lpstr>
      <vt:lpstr>file_format</vt:lpstr>
      <vt:lpstr>机电散大促!psd_file_path</vt:lpstr>
      <vt:lpstr>名单!psd_file_path</vt:lpstr>
      <vt:lpstr>透明图生成器!psd_file_path</vt:lpstr>
      <vt:lpstr>显卡!psd_file_path</vt:lpstr>
      <vt:lpstr>显卡参数新!psd_file_path</vt:lpstr>
      <vt:lpstr>显卡大促!psd_file_path</vt:lpstr>
      <vt:lpstr>显示器参数!psd_file_path</vt:lpstr>
      <vt:lpstr>psd_file_path</vt:lpstr>
      <vt:lpstr>机电散大促!psd_name</vt:lpstr>
      <vt:lpstr>刘波!psd_name</vt:lpstr>
      <vt:lpstr>名单!psd_name</vt:lpstr>
      <vt:lpstr>透明图生成器!psd_name</vt:lpstr>
      <vt:lpstr>显卡!psd_name</vt:lpstr>
      <vt:lpstr>显卡参数!psd_name</vt:lpstr>
      <vt:lpstr>显卡参数新!psd_name</vt:lpstr>
      <vt:lpstr>显卡大促!psd_name</vt:lpstr>
      <vt:lpstr>显示器参数!psd_name</vt:lpstr>
      <vt:lpstr>主板参数!psd_name</vt:lpstr>
      <vt:lpstr>psd_name</vt:lpstr>
      <vt:lpstr>机电散大促!suffix</vt:lpstr>
      <vt:lpstr>刘波!suffix</vt:lpstr>
      <vt:lpstr>名单!suffix</vt:lpstr>
      <vt:lpstr>透明图生成器!suffix</vt:lpstr>
      <vt:lpstr>显卡!suffix</vt:lpstr>
      <vt:lpstr>显卡参数!suffix</vt:lpstr>
      <vt:lpstr>显卡参数新!suffix</vt:lpstr>
      <vt:lpstr>显卡大促!suffix</vt:lpstr>
      <vt:lpstr>显示器参数!suffix</vt:lpstr>
      <vt:lpstr>主板参数!suffix</vt:lpstr>
      <vt:lpstr>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2025-04-26T04:06:59Z</dcterms:modified>
</cp:coreProperties>
</file>